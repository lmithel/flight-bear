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225" codeName="{8C4F1C90-05EB-6A55-5F09-09C24B55AC0B}"/>
  <workbookPr codeName="ThisWorkbook" autoCompressPictures="0"/>
  <workbookProtection workbookPassword="E5B1" lockStructure="1"/>
  <bookViews>
    <workbookView xWindow="240" yWindow="240" windowWidth="25360" windowHeight="15760" tabRatio="695" activeTab="3"/>
  </bookViews>
  <sheets>
    <sheet name="Instructions" sheetId="11" r:id="rId1"/>
    <sheet name="Page 1" sheetId="16" r:id="rId2"/>
    <sheet name="Page 2" sheetId="6" r:id="rId3"/>
    <sheet name="Page 3" sheetId="17" r:id="rId4"/>
    <sheet name="Page 4" sheetId="19" r:id="rId5"/>
    <sheet name="Page 5" sheetId="10" r:id="rId6"/>
    <sheet name="LOCK_ME_Page 6_Rate Table" sheetId="13" state="hidden" r:id="rId7"/>
    <sheet name="CLBC_Pmt Table" sheetId="20" state="hidden" r:id="rId8"/>
  </sheets>
  <definedNames>
    <definedName name="_xlnm._FilterDatabase" localSheetId="3" hidden="1">'Page 3'!$A$8:$AW$8</definedName>
    <definedName name="Flag">'LOCK_ME_Page 6_Rate Table'!$B$67:$B$71</definedName>
    <definedName name="GSAFLAG">'LOCK_ME_Page 6_Rate Table'!$C$114:$C$119</definedName>
    <definedName name="Level">'LOCK_ME_Page 6_Rate Table'!$B$33:$B$41</definedName>
    <definedName name="MaxHourlyRate">'LOCK_ME_Page 6_Rate Table'!$C$28</definedName>
    <definedName name="_xlnm.Print_Area" localSheetId="0">Instructions!$A$1:$K$46</definedName>
    <definedName name="_xlnm.Print_Area" localSheetId="6">'LOCK_ME_Page 6_Rate Table'!$A$1:$I$112</definedName>
    <definedName name="_xlnm.Print_Area" localSheetId="1">'Page 1'!$A$1:$K$46</definedName>
    <definedName name="_xlnm.Print_Area" localSheetId="2">'Page 2'!$A$1:$G$50</definedName>
    <definedName name="_xlnm.Print_Area" localSheetId="3">'Page 3'!$A$1:$AH$60</definedName>
    <definedName name="_xlnm.Print_Area" localSheetId="4">'Page 4'!$A$1:$T$62</definedName>
    <definedName name="_xlnm.Print_Area" localSheetId="5">'Page 5'!$A$1:$K$42</definedName>
    <definedName name="_xlnm.Print_Titles" localSheetId="3">'Page 3'!$A:$C</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35" i="16" l="1"/>
  <c r="H12" i="19"/>
  <c r="AA60" i="17"/>
  <c r="AA9" i="17"/>
  <c r="E17" i="6"/>
  <c r="F17" i="6"/>
  <c r="H13" i="19"/>
  <c r="H16" i="19"/>
  <c r="H14" i="19"/>
  <c r="H15"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H57" i="19"/>
  <c r="H58" i="19"/>
  <c r="H59" i="19"/>
  <c r="H60" i="19"/>
  <c r="H61" i="19"/>
  <c r="Z60" i="19"/>
  <c r="Z61" i="19"/>
  <c r="Z59" i="19"/>
  <c r="Z58" i="19"/>
  <c r="Z57" i="19"/>
  <c r="Z56" i="19"/>
  <c r="Z55" i="19"/>
  <c r="Z54" i="19"/>
  <c r="Z53" i="19"/>
  <c r="Z52" i="19"/>
  <c r="Z51" i="19"/>
  <c r="Z50" i="19"/>
  <c r="Z49" i="19"/>
  <c r="Z48" i="19"/>
  <c r="Z47" i="19"/>
  <c r="Z46" i="19"/>
  <c r="Z45" i="19"/>
  <c r="Z44" i="19"/>
  <c r="Z43" i="19"/>
  <c r="Z42" i="19"/>
  <c r="Z41" i="19"/>
  <c r="Z40" i="19"/>
  <c r="Z39" i="19"/>
  <c r="Z38" i="19"/>
  <c r="Z37" i="19"/>
  <c r="Z36" i="19"/>
  <c r="Z35" i="19"/>
  <c r="Z34" i="19"/>
  <c r="Z33" i="19"/>
  <c r="Z32" i="19"/>
  <c r="Z31" i="19"/>
  <c r="Z30" i="19"/>
  <c r="Z29" i="19"/>
  <c r="Z28" i="19"/>
  <c r="Z27" i="19"/>
  <c r="Z26" i="19"/>
  <c r="Z25" i="19"/>
  <c r="Z24" i="19"/>
  <c r="Z23" i="19"/>
  <c r="Z22" i="19"/>
  <c r="Z21" i="19"/>
  <c r="Z20" i="19"/>
  <c r="Z19" i="19"/>
  <c r="Z18" i="19"/>
  <c r="Z17" i="19"/>
  <c r="Z16" i="19"/>
  <c r="Z15" i="19"/>
  <c r="Z14" i="19"/>
  <c r="Z13" i="19"/>
  <c r="C15" i="16"/>
  <c r="T59" i="17"/>
  <c r="T58" i="17"/>
  <c r="T57" i="17"/>
  <c r="T56" i="17"/>
  <c r="T55" i="17"/>
  <c r="T54" i="17"/>
  <c r="T53" i="17"/>
  <c r="T52" i="17"/>
  <c r="T51" i="17"/>
  <c r="T50" i="17"/>
  <c r="T49" i="17"/>
  <c r="T48" i="17"/>
  <c r="T47" i="17"/>
  <c r="T46" i="17"/>
  <c r="T45" i="17"/>
  <c r="T44" i="17"/>
  <c r="T43" i="17"/>
  <c r="T42" i="17"/>
  <c r="T41" i="17"/>
  <c r="T40" i="17"/>
  <c r="T39" i="17"/>
  <c r="T38" i="17"/>
  <c r="T37" i="17"/>
  <c r="T36" i="17"/>
  <c r="T35" i="17"/>
  <c r="T34" i="17"/>
  <c r="T33" i="17"/>
  <c r="T32" i="17"/>
  <c r="T31" i="17"/>
  <c r="T30" i="17"/>
  <c r="T29" i="17"/>
  <c r="T28" i="17"/>
  <c r="T27" i="17"/>
  <c r="T26" i="17"/>
  <c r="T25" i="17"/>
  <c r="T24" i="17"/>
  <c r="T23" i="17"/>
  <c r="T22" i="17"/>
  <c r="T21" i="17"/>
  <c r="T20" i="17"/>
  <c r="T19" i="17"/>
  <c r="T18" i="17"/>
  <c r="T17" i="17"/>
  <c r="T16" i="17"/>
  <c r="T15" i="17"/>
  <c r="T14" i="17"/>
  <c r="T13" i="17"/>
  <c r="T12" i="17"/>
  <c r="T11" i="17"/>
  <c r="T10" i="17"/>
  <c r="O12" i="19"/>
  <c r="P12" i="19"/>
  <c r="Z60" i="17"/>
  <c r="Z9" i="17"/>
  <c r="E16" i="6"/>
  <c r="F16" i="6"/>
  <c r="D22" i="6"/>
  <c r="J5" i="6"/>
  <c r="E55" i="13"/>
  <c r="E56" i="13"/>
  <c r="E57" i="13"/>
  <c r="E58" i="13"/>
  <c r="E59" i="13"/>
  <c r="E60" i="13"/>
  <c r="E61" i="13"/>
  <c r="E62" i="13"/>
  <c r="E54" i="13"/>
  <c r="E46" i="13"/>
  <c r="E47" i="13"/>
  <c r="E48" i="13"/>
  <c r="E49" i="13"/>
  <c r="E50" i="13"/>
  <c r="E51" i="13"/>
  <c r="E52" i="13"/>
  <c r="E53" i="13"/>
  <c r="E45" i="13"/>
  <c r="D15" i="19"/>
  <c r="Y15" i="19"/>
  <c r="H38" i="10"/>
  <c r="M33" i="16"/>
  <c r="N29" i="16"/>
  <c r="M29" i="16"/>
  <c r="N33" i="16"/>
  <c r="D61" i="13"/>
  <c r="D53" i="13"/>
  <c r="L61"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12" i="19"/>
  <c r="M12" i="19"/>
  <c r="B17" i="19"/>
  <c r="F108" i="13"/>
  <c r="F107" i="13"/>
  <c r="F106" i="13"/>
  <c r="F105" i="13"/>
  <c r="F104" i="13"/>
  <c r="F103" i="13"/>
  <c r="F102" i="13"/>
  <c r="F101" i="13"/>
  <c r="F100" i="13"/>
  <c r="F99" i="13"/>
  <c r="F98" i="13"/>
  <c r="F97" i="13"/>
  <c r="F96" i="13"/>
  <c r="F95" i="13"/>
  <c r="F94" i="13"/>
  <c r="F93" i="13"/>
  <c r="F92" i="13"/>
  <c r="F91" i="13"/>
  <c r="F90" i="13"/>
  <c r="F89" i="13"/>
  <c r="F88" i="13"/>
  <c r="F87" i="13"/>
  <c r="F86" i="13"/>
  <c r="F85" i="13"/>
  <c r="F84"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M61" i="19"/>
  <c r="M60" i="19"/>
  <c r="M59" i="19"/>
  <c r="M58" i="19"/>
  <c r="M57" i="19"/>
  <c r="M56" i="19"/>
  <c r="M55" i="19"/>
  <c r="M54" i="19"/>
  <c r="M53" i="19"/>
  <c r="M52" i="19"/>
  <c r="M51" i="19"/>
  <c r="M50" i="19"/>
  <c r="M49" i="19"/>
  <c r="M48" i="19"/>
  <c r="M47" i="19"/>
  <c r="M46" i="19"/>
  <c r="M45" i="19"/>
  <c r="M44" i="19"/>
  <c r="M43" i="19"/>
  <c r="M42"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3"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G35" i="19"/>
  <c r="G34" i="19"/>
  <c r="G33" i="19"/>
  <c r="G32" i="19"/>
  <c r="G31" i="19"/>
  <c r="G30" i="19"/>
  <c r="G29" i="19"/>
  <c r="G28" i="19"/>
  <c r="G27" i="19"/>
  <c r="G26" i="19"/>
  <c r="G25" i="19"/>
  <c r="G24" i="19"/>
  <c r="G23" i="19"/>
  <c r="G22" i="19"/>
  <c r="G21" i="19"/>
  <c r="G20" i="19"/>
  <c r="G19" i="19"/>
  <c r="G18" i="19"/>
  <c r="G17" i="19"/>
  <c r="G16" i="19"/>
  <c r="G15" i="19"/>
  <c r="G14" i="19"/>
  <c r="G13" i="19"/>
  <c r="G12" i="19"/>
  <c r="N9" i="17"/>
  <c r="N60" i="17"/>
  <c r="A8" i="20"/>
  <c r="A9" i="20"/>
  <c r="A10" i="20"/>
  <c r="K62" i="19"/>
  <c r="F62" i="19"/>
  <c r="M14" i="19"/>
  <c r="O13" i="19"/>
  <c r="P13" i="19"/>
  <c r="O14" i="19"/>
  <c r="P14" i="19"/>
  <c r="O15" i="19"/>
  <c r="O16" i="19"/>
  <c r="P16" i="19"/>
  <c r="O17" i="19"/>
  <c r="P17" i="19"/>
  <c r="O18" i="19"/>
  <c r="P18" i="19"/>
  <c r="O19" i="19"/>
  <c r="P19" i="19"/>
  <c r="O20" i="19"/>
  <c r="P20" i="19"/>
  <c r="O21" i="19"/>
  <c r="P21" i="19"/>
  <c r="O22" i="19"/>
  <c r="P22" i="19"/>
  <c r="O23" i="19"/>
  <c r="P23" i="19"/>
  <c r="O24" i="19"/>
  <c r="P24" i="19"/>
  <c r="O25" i="19"/>
  <c r="P25" i="19"/>
  <c r="O26" i="19"/>
  <c r="P26" i="19"/>
  <c r="O27" i="19"/>
  <c r="P27" i="19"/>
  <c r="O28" i="19"/>
  <c r="P28" i="19"/>
  <c r="O29" i="19"/>
  <c r="P29" i="19"/>
  <c r="O30" i="19"/>
  <c r="P30" i="19"/>
  <c r="O31" i="19"/>
  <c r="P31" i="19"/>
  <c r="O32" i="19"/>
  <c r="P32" i="19"/>
  <c r="O33" i="19"/>
  <c r="P33" i="19"/>
  <c r="O34" i="19"/>
  <c r="P34" i="19"/>
  <c r="O35" i="19"/>
  <c r="P35" i="19"/>
  <c r="O36" i="19"/>
  <c r="P36" i="19"/>
  <c r="O37" i="19"/>
  <c r="P37" i="19"/>
  <c r="O38" i="19"/>
  <c r="P38" i="19"/>
  <c r="O39" i="19"/>
  <c r="P39" i="19"/>
  <c r="O40" i="19"/>
  <c r="P40" i="19"/>
  <c r="O41" i="19"/>
  <c r="P41" i="19"/>
  <c r="O42" i="19"/>
  <c r="P42" i="19"/>
  <c r="O43" i="19"/>
  <c r="P43" i="19"/>
  <c r="O44" i="19"/>
  <c r="P44" i="19"/>
  <c r="O45" i="19"/>
  <c r="P45" i="19"/>
  <c r="O46" i="19"/>
  <c r="P46" i="19"/>
  <c r="O47" i="19"/>
  <c r="P47" i="19"/>
  <c r="O48" i="19"/>
  <c r="P48" i="19"/>
  <c r="O49" i="19"/>
  <c r="P49" i="19"/>
  <c r="O50" i="19"/>
  <c r="P50" i="19"/>
  <c r="O51" i="19"/>
  <c r="P51" i="19"/>
  <c r="O52" i="19"/>
  <c r="P52" i="19"/>
  <c r="O53" i="19"/>
  <c r="P53" i="19"/>
  <c r="O54" i="19"/>
  <c r="P54" i="19"/>
  <c r="O55" i="19"/>
  <c r="P55" i="19"/>
  <c r="O56" i="19"/>
  <c r="P56" i="19"/>
  <c r="O57" i="19"/>
  <c r="P57" i="19"/>
  <c r="O58" i="19"/>
  <c r="P58" i="19"/>
  <c r="O59" i="19"/>
  <c r="P59" i="19"/>
  <c r="O60" i="19"/>
  <c r="P60" i="19"/>
  <c r="O61" i="19"/>
  <c r="P61" i="19"/>
  <c r="H11" i="20"/>
  <c r="I11" i="20"/>
  <c r="M9" i="16"/>
  <c r="AF8" i="17"/>
  <c r="N6" i="17"/>
  <c r="M6" i="17"/>
  <c r="K31" i="6"/>
  <c r="Z6" i="17"/>
  <c r="O6" i="17"/>
  <c r="P15" i="19"/>
  <c r="F7" i="20"/>
  <c r="G62" i="19"/>
  <c r="A5" i="19"/>
  <c r="A4" i="19"/>
  <c r="A5" i="10"/>
  <c r="A4" i="10"/>
  <c r="F5" i="17"/>
  <c r="F4" i="17"/>
  <c r="A5" i="6"/>
  <c r="A4" i="6"/>
  <c r="M62" i="19"/>
  <c r="L62" i="19"/>
  <c r="D61" i="19"/>
  <c r="Y61" i="19"/>
  <c r="D60" i="19"/>
  <c r="Y60" i="19"/>
  <c r="D59" i="19"/>
  <c r="Y59" i="19"/>
  <c r="D58" i="19"/>
  <c r="Y58" i="19"/>
  <c r="D57" i="19"/>
  <c r="Y57" i="19"/>
  <c r="D56" i="19"/>
  <c r="Y56" i="19"/>
  <c r="D55" i="19"/>
  <c r="Y55" i="19"/>
  <c r="D54" i="19"/>
  <c r="Y54" i="19"/>
  <c r="D53" i="19"/>
  <c r="Y53" i="19"/>
  <c r="D52" i="19"/>
  <c r="Y52" i="19"/>
  <c r="D51" i="19"/>
  <c r="Y51" i="19"/>
  <c r="D50" i="19"/>
  <c r="Y50" i="19"/>
  <c r="D49" i="19"/>
  <c r="Y49" i="19"/>
  <c r="D48" i="19"/>
  <c r="Y48" i="19"/>
  <c r="D47" i="19"/>
  <c r="Y47" i="19"/>
  <c r="D46" i="19"/>
  <c r="Y46" i="19"/>
  <c r="D45" i="19"/>
  <c r="Y45" i="19"/>
  <c r="D44" i="19"/>
  <c r="Y44" i="19"/>
  <c r="D43" i="19"/>
  <c r="Y43" i="19"/>
  <c r="D42" i="19"/>
  <c r="Y42" i="19"/>
  <c r="D41" i="19"/>
  <c r="Y41" i="19"/>
  <c r="D40" i="19"/>
  <c r="Y40" i="19"/>
  <c r="D39" i="19"/>
  <c r="Y39" i="19"/>
  <c r="D38" i="19"/>
  <c r="Y38" i="19"/>
  <c r="D37" i="19"/>
  <c r="Y37" i="19"/>
  <c r="D36" i="19"/>
  <c r="Y36" i="19"/>
  <c r="D35" i="19"/>
  <c r="Y35" i="19"/>
  <c r="D34" i="19"/>
  <c r="Y34" i="19"/>
  <c r="D33" i="19"/>
  <c r="Y33" i="19"/>
  <c r="D32" i="19"/>
  <c r="Y32" i="19"/>
  <c r="D31" i="19"/>
  <c r="Y31" i="19"/>
  <c r="D30" i="19"/>
  <c r="Y30" i="19"/>
  <c r="D29" i="19"/>
  <c r="Y29" i="19"/>
  <c r="D28" i="19"/>
  <c r="Y28" i="19"/>
  <c r="D27" i="19"/>
  <c r="Y27" i="19"/>
  <c r="D26" i="19"/>
  <c r="Y26" i="19"/>
  <c r="D25" i="19"/>
  <c r="Y25" i="19"/>
  <c r="D24" i="19"/>
  <c r="Y24" i="19"/>
  <c r="D23" i="19"/>
  <c r="Y23" i="19"/>
  <c r="D22" i="19"/>
  <c r="Y22" i="19"/>
  <c r="D21" i="19"/>
  <c r="Y21" i="19"/>
  <c r="D20" i="19"/>
  <c r="Y20" i="19"/>
  <c r="D19" i="19"/>
  <c r="Y19" i="19"/>
  <c r="D18" i="19"/>
  <c r="Y18" i="19"/>
  <c r="D17" i="19"/>
  <c r="Y17" i="19"/>
  <c r="D16" i="19"/>
  <c r="Y16" i="19"/>
  <c r="V15" i="19"/>
  <c r="D14" i="19"/>
  <c r="Y14" i="19"/>
  <c r="D13" i="19"/>
  <c r="Y13" i="19"/>
  <c r="D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12"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13" i="19"/>
  <c r="B14" i="19"/>
  <c r="B15" i="19"/>
  <c r="B16" i="19"/>
  <c r="B18" i="19"/>
  <c r="B19" i="19"/>
  <c r="B20" i="19"/>
  <c r="B21" i="19"/>
  <c r="B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2" i="19"/>
  <c r="A1" i="19"/>
  <c r="Z12" i="19"/>
  <c r="Y12" i="19"/>
  <c r="V17" i="19"/>
  <c r="X17" i="19"/>
  <c r="V19" i="19"/>
  <c r="R19" i="19"/>
  <c r="Q19" i="19"/>
  <c r="U19" i="19"/>
  <c r="V21" i="19"/>
  <c r="X21" i="19"/>
  <c r="V18" i="19"/>
  <c r="X18" i="19"/>
  <c r="V20" i="19"/>
  <c r="R20" i="19"/>
  <c r="Q20" i="19"/>
  <c r="U20" i="19"/>
  <c r="V13" i="19"/>
  <c r="W13" i="19"/>
  <c r="V12" i="19"/>
  <c r="R12" i="19"/>
  <c r="V16" i="19"/>
  <c r="R16" i="19"/>
  <c r="Q16" i="19"/>
  <c r="U16" i="19"/>
  <c r="V14" i="19"/>
  <c r="R14" i="19"/>
  <c r="Q14" i="19"/>
  <c r="U14" i="19"/>
  <c r="I22" i="19"/>
  <c r="J22" i="19"/>
  <c r="V22" i="19"/>
  <c r="I24" i="19"/>
  <c r="J24" i="19"/>
  <c r="V24" i="19"/>
  <c r="I26" i="19"/>
  <c r="J26" i="19"/>
  <c r="V26" i="19"/>
  <c r="I28" i="19"/>
  <c r="J28" i="19"/>
  <c r="V28" i="19"/>
  <c r="I30" i="19"/>
  <c r="J30" i="19"/>
  <c r="V30" i="19"/>
  <c r="I32" i="19"/>
  <c r="J32" i="19"/>
  <c r="V32" i="19"/>
  <c r="I34" i="19"/>
  <c r="J34" i="19"/>
  <c r="V34" i="19"/>
  <c r="I36" i="19"/>
  <c r="J36" i="19"/>
  <c r="V36" i="19"/>
  <c r="I38" i="19"/>
  <c r="J38" i="19"/>
  <c r="V38" i="19"/>
  <c r="I40" i="19"/>
  <c r="J40" i="19"/>
  <c r="V40" i="19"/>
  <c r="I42" i="19"/>
  <c r="J42" i="19"/>
  <c r="V42" i="19"/>
  <c r="I44" i="19"/>
  <c r="J44" i="19"/>
  <c r="V44" i="19"/>
  <c r="I46" i="19"/>
  <c r="J46" i="19"/>
  <c r="V46" i="19"/>
  <c r="I48" i="19"/>
  <c r="J48" i="19"/>
  <c r="V48" i="19"/>
  <c r="I50" i="19"/>
  <c r="J50" i="19"/>
  <c r="V50" i="19"/>
  <c r="I52" i="19"/>
  <c r="J52" i="19"/>
  <c r="V52" i="19"/>
  <c r="I54" i="19"/>
  <c r="J54" i="19"/>
  <c r="V54" i="19"/>
  <c r="I56" i="19"/>
  <c r="J56" i="19"/>
  <c r="V56" i="19"/>
  <c r="I58" i="19"/>
  <c r="J58" i="19"/>
  <c r="V58" i="19"/>
  <c r="I60" i="19"/>
  <c r="J60" i="19"/>
  <c r="V60" i="19"/>
  <c r="X15" i="19"/>
  <c r="R15" i="19"/>
  <c r="W15" i="19"/>
  <c r="I23" i="19"/>
  <c r="J23" i="19"/>
  <c r="V23" i="19"/>
  <c r="I25" i="19"/>
  <c r="J25" i="19"/>
  <c r="V25" i="19"/>
  <c r="I27" i="19"/>
  <c r="J27" i="19"/>
  <c r="V27" i="19"/>
  <c r="I29" i="19"/>
  <c r="J29" i="19"/>
  <c r="V29" i="19"/>
  <c r="I31" i="19"/>
  <c r="J31" i="19"/>
  <c r="V31" i="19"/>
  <c r="I33" i="19"/>
  <c r="J33" i="19"/>
  <c r="V33" i="19"/>
  <c r="I35" i="19"/>
  <c r="J35" i="19"/>
  <c r="V35" i="19"/>
  <c r="I37" i="19"/>
  <c r="J37" i="19"/>
  <c r="V37" i="19"/>
  <c r="I39" i="19"/>
  <c r="J39" i="19"/>
  <c r="V39" i="19"/>
  <c r="I41" i="19"/>
  <c r="J41" i="19"/>
  <c r="V41" i="19"/>
  <c r="I43" i="19"/>
  <c r="J43" i="19"/>
  <c r="V43" i="19"/>
  <c r="I45" i="19"/>
  <c r="J45" i="19"/>
  <c r="V45" i="19"/>
  <c r="I47" i="19"/>
  <c r="J47" i="19"/>
  <c r="V47" i="19"/>
  <c r="I49" i="19"/>
  <c r="J49" i="19"/>
  <c r="V49" i="19"/>
  <c r="I51" i="19"/>
  <c r="J51" i="19"/>
  <c r="V51" i="19"/>
  <c r="I53" i="19"/>
  <c r="J53" i="19"/>
  <c r="V53" i="19"/>
  <c r="I55" i="19"/>
  <c r="J55" i="19"/>
  <c r="V55" i="19"/>
  <c r="I57" i="19"/>
  <c r="J57" i="19"/>
  <c r="V57" i="19"/>
  <c r="I59" i="19"/>
  <c r="J59" i="19"/>
  <c r="V59" i="19"/>
  <c r="I61" i="19"/>
  <c r="J61" i="19"/>
  <c r="V61" i="19"/>
  <c r="I12" i="19"/>
  <c r="I14" i="19"/>
  <c r="I16" i="19"/>
  <c r="J16" i="19"/>
  <c r="I18" i="19"/>
  <c r="J18" i="19"/>
  <c r="I20" i="19"/>
  <c r="J20" i="19"/>
  <c r="I13" i="19"/>
  <c r="I15" i="19"/>
  <c r="J15" i="19"/>
  <c r="I17" i="19"/>
  <c r="J17" i="19"/>
  <c r="I19" i="19"/>
  <c r="J19" i="19"/>
  <c r="I21" i="19"/>
  <c r="J21" i="19"/>
  <c r="H39" i="10"/>
  <c r="H36" i="10"/>
  <c r="H35" i="10"/>
  <c r="F9" i="10"/>
  <c r="G9" i="10"/>
  <c r="F11" i="10"/>
  <c r="G11" i="10"/>
  <c r="M41" i="16"/>
  <c r="AJ20" i="17"/>
  <c r="AJ21" i="17"/>
  <c r="AJ22" i="17"/>
  <c r="M22" i="17"/>
  <c r="O22" i="17"/>
  <c r="AF22" i="17"/>
  <c r="AJ23" i="17"/>
  <c r="M23" i="17"/>
  <c r="O23" i="17"/>
  <c r="AF23" i="17"/>
  <c r="AJ24" i="17"/>
  <c r="AJ25" i="17"/>
  <c r="AJ26" i="17"/>
  <c r="AJ27" i="17"/>
  <c r="AJ28" i="17"/>
  <c r="AJ29" i="17"/>
  <c r="AJ30" i="17"/>
  <c r="AJ31" i="17"/>
  <c r="AJ32" i="17"/>
  <c r="AJ33" i="17"/>
  <c r="AJ34" i="17"/>
  <c r="AJ35" i="17"/>
  <c r="AJ36" i="17"/>
  <c r="AJ37" i="17"/>
  <c r="AJ38" i="17"/>
  <c r="AJ39" i="17"/>
  <c r="AJ40" i="17"/>
  <c r="AJ41" i="17"/>
  <c r="AJ42" i="17"/>
  <c r="AJ43" i="17"/>
  <c r="AJ44" i="17"/>
  <c r="AJ45" i="17"/>
  <c r="AJ46" i="17"/>
  <c r="AJ47" i="17"/>
  <c r="AJ48" i="17"/>
  <c r="AJ49" i="17"/>
  <c r="AJ50" i="17"/>
  <c r="AJ51" i="17"/>
  <c r="AJ52" i="17"/>
  <c r="AJ53" i="17"/>
  <c r="AJ54" i="17"/>
  <c r="AJ55" i="17"/>
  <c r="AJ56" i="17"/>
  <c r="AJ57" i="17"/>
  <c r="AJ58" i="17"/>
  <c r="AJ59" i="17"/>
  <c r="M49" i="17"/>
  <c r="O49" i="17"/>
  <c r="AF49" i="17"/>
  <c r="M50" i="17"/>
  <c r="O50" i="17"/>
  <c r="AF50" i="17"/>
  <c r="M51" i="17"/>
  <c r="O51" i="17"/>
  <c r="AF51" i="17"/>
  <c r="M52" i="17"/>
  <c r="O52" i="17"/>
  <c r="AF52" i="17"/>
  <c r="M53" i="17"/>
  <c r="O53" i="17"/>
  <c r="AF53" i="17"/>
  <c r="M54" i="17"/>
  <c r="O54" i="17"/>
  <c r="AF54" i="17"/>
  <c r="M55" i="17"/>
  <c r="O55" i="17"/>
  <c r="AF55" i="17"/>
  <c r="M56" i="17"/>
  <c r="O56" i="17"/>
  <c r="AF56" i="17"/>
  <c r="M57" i="17"/>
  <c r="O57" i="17"/>
  <c r="AF57" i="17"/>
  <c r="M58" i="17"/>
  <c r="O58" i="17"/>
  <c r="AF58" i="17"/>
  <c r="M59" i="17"/>
  <c r="O59" i="17"/>
  <c r="AF59" i="17"/>
  <c r="M48" i="17"/>
  <c r="O48" i="17"/>
  <c r="AF48" i="17"/>
  <c r="M47" i="17"/>
  <c r="O47" i="17"/>
  <c r="AF47" i="17"/>
  <c r="M46" i="17"/>
  <c r="O46" i="17"/>
  <c r="AF46" i="17"/>
  <c r="M45" i="17"/>
  <c r="O45" i="17"/>
  <c r="AF45" i="17"/>
  <c r="M44" i="17"/>
  <c r="O44" i="17"/>
  <c r="AF44" i="17"/>
  <c r="M43" i="17"/>
  <c r="O43" i="17"/>
  <c r="AF43" i="17"/>
  <c r="M42" i="17"/>
  <c r="O42" i="17"/>
  <c r="AF42" i="17"/>
  <c r="M41" i="17"/>
  <c r="O41" i="17"/>
  <c r="AF41" i="17"/>
  <c r="M40" i="17"/>
  <c r="O40" i="17"/>
  <c r="AF40" i="17"/>
  <c r="M39" i="17"/>
  <c r="O39" i="17"/>
  <c r="AF39" i="17"/>
  <c r="M38" i="17"/>
  <c r="O38" i="17"/>
  <c r="AF38" i="17"/>
  <c r="M37" i="17"/>
  <c r="O37" i="17"/>
  <c r="AF37" i="17"/>
  <c r="M36" i="17"/>
  <c r="O36" i="17"/>
  <c r="AF36" i="17"/>
  <c r="M35" i="17"/>
  <c r="O35" i="17"/>
  <c r="AF35" i="17"/>
  <c r="M34" i="17"/>
  <c r="O34" i="17"/>
  <c r="AF34" i="17"/>
  <c r="M33" i="17"/>
  <c r="O33" i="17"/>
  <c r="AF33" i="17"/>
  <c r="M32" i="17"/>
  <c r="O32" i="17"/>
  <c r="AF32" i="17"/>
  <c r="M31" i="17"/>
  <c r="O31" i="17"/>
  <c r="AF31" i="17"/>
  <c r="M30" i="17"/>
  <c r="O30" i="17"/>
  <c r="AF30" i="17"/>
  <c r="M29" i="17"/>
  <c r="O29" i="17"/>
  <c r="AF29" i="17"/>
  <c r="M28" i="17"/>
  <c r="O28" i="17"/>
  <c r="AF28" i="17"/>
  <c r="M27" i="17"/>
  <c r="O27" i="17"/>
  <c r="AF27" i="17"/>
  <c r="M26" i="17"/>
  <c r="O26" i="17"/>
  <c r="AF26" i="17"/>
  <c r="M25" i="17"/>
  <c r="O25" i="17"/>
  <c r="AF25" i="17"/>
  <c r="M24" i="17"/>
  <c r="O24" i="17"/>
  <c r="AF24" i="17"/>
  <c r="AJ19" i="17"/>
  <c r="AJ18" i="17"/>
  <c r="AJ17" i="17"/>
  <c r="AJ16" i="17"/>
  <c r="AJ15" i="17"/>
  <c r="AJ14" i="17"/>
  <c r="AJ13" i="17"/>
  <c r="AJ12" i="17"/>
  <c r="AJ11" i="17"/>
  <c r="A11" i="17"/>
  <c r="AL11" i="17"/>
  <c r="AL10" i="17"/>
  <c r="AJ10" i="17"/>
  <c r="F2" i="17"/>
  <c r="F1" i="17"/>
  <c r="C1" i="13"/>
  <c r="Q12" i="19"/>
  <c r="U12" i="19"/>
  <c r="W12" i="19"/>
  <c r="Q15" i="19"/>
  <c r="U15" i="19"/>
  <c r="X19" i="19"/>
  <c r="R21" i="19"/>
  <c r="Q21" i="19"/>
  <c r="U21" i="19"/>
  <c r="X14" i="19"/>
  <c r="W19" i="19"/>
  <c r="W18" i="19"/>
  <c r="R17" i="19"/>
  <c r="X20" i="19"/>
  <c r="R18" i="19"/>
  <c r="Q18" i="19"/>
  <c r="U18" i="19"/>
  <c r="R13" i="19"/>
  <c r="W21" i="19"/>
  <c r="W17" i="19"/>
  <c r="W20" i="19"/>
  <c r="X16" i="19"/>
  <c r="X12" i="19"/>
  <c r="X13" i="19"/>
  <c r="W16" i="19"/>
  <c r="W14" i="19"/>
  <c r="X61" i="19"/>
  <c r="R61" i="19"/>
  <c r="Q61" i="19"/>
  <c r="U61" i="19"/>
  <c r="W61" i="19"/>
  <c r="X59" i="19"/>
  <c r="R59" i="19"/>
  <c r="Q59" i="19"/>
  <c r="U59" i="19"/>
  <c r="W59" i="19"/>
  <c r="X57" i="19"/>
  <c r="R57" i="19"/>
  <c r="Q57" i="19"/>
  <c r="U57" i="19"/>
  <c r="W57" i="19"/>
  <c r="X55" i="19"/>
  <c r="R55" i="19"/>
  <c r="Q55" i="19"/>
  <c r="U55" i="19"/>
  <c r="W55" i="19"/>
  <c r="X53" i="19"/>
  <c r="R53" i="19"/>
  <c r="Q53" i="19"/>
  <c r="U53" i="19"/>
  <c r="W53" i="19"/>
  <c r="X51" i="19"/>
  <c r="R51" i="19"/>
  <c r="Q51" i="19"/>
  <c r="U51" i="19"/>
  <c r="W51" i="19"/>
  <c r="X49" i="19"/>
  <c r="R49" i="19"/>
  <c r="Q49" i="19"/>
  <c r="U49" i="19"/>
  <c r="W49" i="19"/>
  <c r="X47" i="19"/>
  <c r="R47" i="19"/>
  <c r="Q47" i="19"/>
  <c r="U47" i="19"/>
  <c r="W47" i="19"/>
  <c r="X45" i="19"/>
  <c r="R45" i="19"/>
  <c r="Q45" i="19"/>
  <c r="U45" i="19"/>
  <c r="W45" i="19"/>
  <c r="X43" i="19"/>
  <c r="R43" i="19"/>
  <c r="Q43" i="19"/>
  <c r="U43" i="19"/>
  <c r="W43" i="19"/>
  <c r="X41" i="19"/>
  <c r="R41" i="19"/>
  <c r="Q41" i="19"/>
  <c r="U41" i="19"/>
  <c r="W41" i="19"/>
  <c r="X39" i="19"/>
  <c r="R39" i="19"/>
  <c r="Q39" i="19"/>
  <c r="U39" i="19"/>
  <c r="W39" i="19"/>
  <c r="X37" i="19"/>
  <c r="R37" i="19"/>
  <c r="Q37" i="19"/>
  <c r="U37" i="19"/>
  <c r="W37" i="19"/>
  <c r="X35" i="19"/>
  <c r="R35" i="19"/>
  <c r="Q35" i="19"/>
  <c r="U35" i="19"/>
  <c r="W35" i="19"/>
  <c r="X33" i="19"/>
  <c r="R33" i="19"/>
  <c r="Q33" i="19"/>
  <c r="U33" i="19"/>
  <c r="W33" i="19"/>
  <c r="X31" i="19"/>
  <c r="R31" i="19"/>
  <c r="Q31" i="19"/>
  <c r="U31" i="19"/>
  <c r="W31" i="19"/>
  <c r="X29" i="19"/>
  <c r="R29" i="19"/>
  <c r="Q29" i="19"/>
  <c r="U29" i="19"/>
  <c r="W29" i="19"/>
  <c r="X27" i="19"/>
  <c r="R27" i="19"/>
  <c r="Q27" i="19"/>
  <c r="U27" i="19"/>
  <c r="W27" i="19"/>
  <c r="X25" i="19"/>
  <c r="R25" i="19"/>
  <c r="Q25" i="19"/>
  <c r="U25" i="19"/>
  <c r="W25" i="19"/>
  <c r="X23" i="19"/>
  <c r="R23" i="19"/>
  <c r="Q23" i="19"/>
  <c r="U23" i="19"/>
  <c r="W23" i="19"/>
  <c r="T19" i="19"/>
  <c r="R17" i="17"/>
  <c r="T15" i="19"/>
  <c r="R13" i="17"/>
  <c r="R60" i="19"/>
  <c r="Q60" i="19"/>
  <c r="U60" i="19"/>
  <c r="X60" i="19"/>
  <c r="W60" i="19"/>
  <c r="R58" i="19"/>
  <c r="Q58" i="19"/>
  <c r="U58" i="19"/>
  <c r="X58" i="19"/>
  <c r="W58" i="19"/>
  <c r="R56" i="19"/>
  <c r="Q56" i="19"/>
  <c r="U56" i="19"/>
  <c r="X56" i="19"/>
  <c r="W56" i="19"/>
  <c r="R54" i="19"/>
  <c r="Q54" i="19"/>
  <c r="U54" i="19"/>
  <c r="X54" i="19"/>
  <c r="W54" i="19"/>
  <c r="R52" i="19"/>
  <c r="Q52" i="19"/>
  <c r="U52" i="19"/>
  <c r="X52" i="19"/>
  <c r="W52" i="19"/>
  <c r="R50" i="19"/>
  <c r="Q50" i="19"/>
  <c r="U50" i="19"/>
  <c r="X50" i="19"/>
  <c r="W50" i="19"/>
  <c r="R48" i="19"/>
  <c r="Q48" i="19"/>
  <c r="U48" i="19"/>
  <c r="X48" i="19"/>
  <c r="W48" i="19"/>
  <c r="R46" i="19"/>
  <c r="Q46" i="19"/>
  <c r="U46" i="19"/>
  <c r="X46" i="19"/>
  <c r="W46" i="19"/>
  <c r="R44" i="19"/>
  <c r="Q44" i="19"/>
  <c r="U44" i="19"/>
  <c r="X44" i="19"/>
  <c r="W44" i="19"/>
  <c r="R42" i="19"/>
  <c r="Q42" i="19"/>
  <c r="U42" i="19"/>
  <c r="X42" i="19"/>
  <c r="W42" i="19"/>
  <c r="R40" i="19"/>
  <c r="Q40" i="19"/>
  <c r="U40" i="19"/>
  <c r="X40" i="19"/>
  <c r="W40" i="19"/>
  <c r="R38" i="19"/>
  <c r="Q38" i="19"/>
  <c r="U38" i="19"/>
  <c r="X38" i="19"/>
  <c r="W38" i="19"/>
  <c r="R36" i="19"/>
  <c r="Q36" i="19"/>
  <c r="U36" i="19"/>
  <c r="X36" i="19"/>
  <c r="W36" i="19"/>
  <c r="R34" i="19"/>
  <c r="Q34" i="19"/>
  <c r="U34" i="19"/>
  <c r="X34" i="19"/>
  <c r="W34" i="19"/>
  <c r="R32" i="19"/>
  <c r="Q32" i="19"/>
  <c r="U32" i="19"/>
  <c r="X32" i="19"/>
  <c r="W32" i="19"/>
  <c r="R30" i="19"/>
  <c r="Q30" i="19"/>
  <c r="U30" i="19"/>
  <c r="X30" i="19"/>
  <c r="W30" i="19"/>
  <c r="R28" i="19"/>
  <c r="Q28" i="19"/>
  <c r="U28" i="19"/>
  <c r="X28" i="19"/>
  <c r="W28" i="19"/>
  <c r="R26" i="19"/>
  <c r="Q26" i="19"/>
  <c r="U26" i="19"/>
  <c r="X26" i="19"/>
  <c r="W26" i="19"/>
  <c r="R24" i="19"/>
  <c r="Q24" i="19"/>
  <c r="U24" i="19"/>
  <c r="X24" i="19"/>
  <c r="W24" i="19"/>
  <c r="R22" i="19"/>
  <c r="Q22" i="19"/>
  <c r="U22" i="19"/>
  <c r="X22" i="19"/>
  <c r="W22" i="19"/>
  <c r="T20" i="19"/>
  <c r="R18" i="17"/>
  <c r="T16" i="19"/>
  <c r="R14" i="17"/>
  <c r="P23" i="17"/>
  <c r="P25" i="17"/>
  <c r="P27" i="17"/>
  <c r="P29" i="17"/>
  <c r="P31" i="17"/>
  <c r="P33" i="17"/>
  <c r="P35" i="17"/>
  <c r="P37" i="17"/>
  <c r="P39" i="17"/>
  <c r="P41" i="17"/>
  <c r="P43" i="17"/>
  <c r="P45" i="17"/>
  <c r="P47" i="17"/>
  <c r="P59" i="17"/>
  <c r="P57" i="17"/>
  <c r="P55" i="17"/>
  <c r="P53" i="17"/>
  <c r="P51" i="17"/>
  <c r="P49" i="17"/>
  <c r="P22" i="17"/>
  <c r="P24" i="17"/>
  <c r="P26" i="17"/>
  <c r="P28" i="17"/>
  <c r="P30" i="17"/>
  <c r="P32" i="17"/>
  <c r="P34" i="17"/>
  <c r="P36" i="17"/>
  <c r="P38" i="17"/>
  <c r="P40" i="17"/>
  <c r="P42" i="17"/>
  <c r="P44" i="17"/>
  <c r="P46" i="17"/>
  <c r="P48" i="17"/>
  <c r="P58" i="17"/>
  <c r="P56" i="17"/>
  <c r="P54" i="17"/>
  <c r="P52" i="17"/>
  <c r="P50" i="17"/>
  <c r="J12" i="19"/>
  <c r="J14" i="19"/>
  <c r="T14" i="19"/>
  <c r="R12" i="17"/>
  <c r="J13" i="19"/>
  <c r="H37" i="10"/>
  <c r="H40" i="10"/>
  <c r="I27" i="10"/>
  <c r="F10" i="10"/>
  <c r="G10" i="10"/>
  <c r="A12" i="17"/>
  <c r="A1" i="6"/>
  <c r="A1" i="10"/>
  <c r="A1" i="16"/>
  <c r="A2" i="6"/>
  <c r="A2" i="10"/>
  <c r="A2" i="16"/>
  <c r="T12" i="19"/>
  <c r="R10" i="17"/>
  <c r="Q13" i="19"/>
  <c r="U13" i="19"/>
  <c r="T13" i="19"/>
  <c r="H10" i="10"/>
  <c r="T17" i="19"/>
  <c r="R15" i="17"/>
  <c r="Q17" i="19"/>
  <c r="U17" i="19"/>
  <c r="T21" i="19"/>
  <c r="R19" i="17"/>
  <c r="T18" i="19"/>
  <c r="R16" i="17"/>
  <c r="K11" i="19"/>
  <c r="O11" i="19"/>
  <c r="E35" i="6"/>
  <c r="I62" i="19"/>
  <c r="F11" i="19"/>
  <c r="G11" i="19"/>
  <c r="P62" i="19"/>
  <c r="P11" i="19"/>
  <c r="F35" i="6"/>
  <c r="J9" i="20"/>
  <c r="I11" i="19"/>
  <c r="E34" i="6"/>
  <c r="O62" i="19"/>
  <c r="L11" i="19"/>
  <c r="M11" i="19"/>
  <c r="J62" i="19"/>
  <c r="J11" i="19"/>
  <c r="F34" i="6"/>
  <c r="T24" i="19"/>
  <c r="R22" i="17"/>
  <c r="V22" i="17"/>
  <c r="T28" i="19"/>
  <c r="R26" i="17"/>
  <c r="V26" i="17"/>
  <c r="T32" i="19"/>
  <c r="R30" i="17"/>
  <c r="V30" i="17"/>
  <c r="T36" i="19"/>
  <c r="R34" i="17"/>
  <c r="V34" i="17"/>
  <c r="T40" i="19"/>
  <c r="R38" i="17"/>
  <c r="V38" i="17"/>
  <c r="T44" i="19"/>
  <c r="R42" i="17"/>
  <c r="V42" i="17"/>
  <c r="T48" i="19"/>
  <c r="R46" i="17"/>
  <c r="V46" i="17"/>
  <c r="T52" i="19"/>
  <c r="R50" i="17"/>
  <c r="V50" i="17"/>
  <c r="T56" i="19"/>
  <c r="R54" i="17"/>
  <c r="V54" i="17"/>
  <c r="T60" i="19"/>
  <c r="R58" i="17"/>
  <c r="V58" i="17"/>
  <c r="T23" i="19"/>
  <c r="R21" i="17"/>
  <c r="T27" i="19"/>
  <c r="R25" i="17"/>
  <c r="V25" i="17"/>
  <c r="T31" i="19"/>
  <c r="R29" i="17"/>
  <c r="V29" i="17"/>
  <c r="T35" i="19"/>
  <c r="R33" i="17"/>
  <c r="V33" i="17"/>
  <c r="T39" i="19"/>
  <c r="R37" i="17"/>
  <c r="V37" i="17"/>
  <c r="T43" i="19"/>
  <c r="R41" i="17"/>
  <c r="V41" i="17"/>
  <c r="T47" i="19"/>
  <c r="R45" i="17"/>
  <c r="V45" i="17"/>
  <c r="T51" i="19"/>
  <c r="R49" i="17"/>
  <c r="V49" i="17"/>
  <c r="T55" i="19"/>
  <c r="R53" i="17"/>
  <c r="V53" i="17"/>
  <c r="T59" i="19"/>
  <c r="R57" i="17"/>
  <c r="V57" i="17"/>
  <c r="T22" i="19"/>
  <c r="R20" i="17"/>
  <c r="T26" i="19"/>
  <c r="R24" i="17"/>
  <c r="V24" i="17"/>
  <c r="T30" i="19"/>
  <c r="R28" i="17"/>
  <c r="V28" i="17"/>
  <c r="T34" i="19"/>
  <c r="R32" i="17"/>
  <c r="V32" i="17"/>
  <c r="T38" i="19"/>
  <c r="R36" i="17"/>
  <c r="V36" i="17"/>
  <c r="T42" i="19"/>
  <c r="R40" i="17"/>
  <c r="V40" i="17"/>
  <c r="T46" i="19"/>
  <c r="R44" i="17"/>
  <c r="V44" i="17"/>
  <c r="T50" i="19"/>
  <c r="R48" i="17"/>
  <c r="V48" i="17"/>
  <c r="T54" i="19"/>
  <c r="R52" i="17"/>
  <c r="V52" i="17"/>
  <c r="T58" i="19"/>
  <c r="R56" i="17"/>
  <c r="V56" i="17"/>
  <c r="T25" i="19"/>
  <c r="R23" i="17"/>
  <c r="V23" i="17"/>
  <c r="T29" i="19"/>
  <c r="R27" i="17"/>
  <c r="V27" i="17"/>
  <c r="T33" i="19"/>
  <c r="R31" i="17"/>
  <c r="V31" i="17"/>
  <c r="T37" i="19"/>
  <c r="R35" i="17"/>
  <c r="V35" i="17"/>
  <c r="T41" i="19"/>
  <c r="R39" i="17"/>
  <c r="V39" i="17"/>
  <c r="T45" i="19"/>
  <c r="R43" i="17"/>
  <c r="V43" i="17"/>
  <c r="T49" i="19"/>
  <c r="R47" i="17"/>
  <c r="V47" i="17"/>
  <c r="T53" i="19"/>
  <c r="R51" i="17"/>
  <c r="V51" i="17"/>
  <c r="T57" i="19"/>
  <c r="R55" i="17"/>
  <c r="V55" i="17"/>
  <c r="T61" i="19"/>
  <c r="R59" i="17"/>
  <c r="V59" i="17"/>
  <c r="Q10" i="17"/>
  <c r="AG10" i="17"/>
  <c r="R11" i="17"/>
  <c r="F12" i="10"/>
  <c r="Q12" i="17"/>
  <c r="AG12" i="17"/>
  <c r="Q16" i="17"/>
  <c r="AG16" i="17"/>
  <c r="Q19" i="17"/>
  <c r="AG19" i="17"/>
  <c r="Q14" i="17"/>
  <c r="AG14" i="17"/>
  <c r="Q13" i="17"/>
  <c r="AG13" i="17"/>
  <c r="Q17" i="17"/>
  <c r="AG17" i="17"/>
  <c r="Q18" i="17"/>
  <c r="AG18" i="17"/>
  <c r="AL12" i="17"/>
  <c r="A13" i="17"/>
  <c r="Q11" i="17"/>
  <c r="AG11" i="17"/>
  <c r="X52" i="17"/>
  <c r="Y52" i="17"/>
  <c r="X55" i="17"/>
  <c r="Y55" i="17"/>
  <c r="X47" i="17"/>
  <c r="Y47" i="17"/>
  <c r="X39" i="17"/>
  <c r="Y39" i="17"/>
  <c r="X31" i="17"/>
  <c r="Y31" i="17"/>
  <c r="X44" i="17"/>
  <c r="Y44" i="17"/>
  <c r="X36" i="17"/>
  <c r="Y36" i="17"/>
  <c r="X28" i="17"/>
  <c r="Y28" i="17"/>
  <c r="X53" i="17"/>
  <c r="Y53" i="17"/>
  <c r="X45" i="17"/>
  <c r="Y45" i="17"/>
  <c r="X37" i="17"/>
  <c r="Y37" i="17"/>
  <c r="X29" i="17"/>
  <c r="Y29" i="17"/>
  <c r="X54" i="17"/>
  <c r="Y54" i="17"/>
  <c r="X46" i="17"/>
  <c r="Y46" i="17"/>
  <c r="X38" i="17"/>
  <c r="Y38" i="17"/>
  <c r="X30" i="17"/>
  <c r="Y30" i="17"/>
  <c r="X59" i="17"/>
  <c r="Y59" i="17"/>
  <c r="X51" i="17"/>
  <c r="Y51" i="17"/>
  <c r="X43" i="17"/>
  <c r="Y43" i="17"/>
  <c r="X35" i="17"/>
  <c r="Y35" i="17"/>
  <c r="X27" i="17"/>
  <c r="Y27" i="17"/>
  <c r="X56" i="17"/>
  <c r="Y56" i="17"/>
  <c r="X48" i="17"/>
  <c r="Y48" i="17"/>
  <c r="X40" i="17"/>
  <c r="Y40" i="17"/>
  <c r="X32" i="17"/>
  <c r="Y32" i="17"/>
  <c r="X24" i="17"/>
  <c r="Y24" i="17"/>
  <c r="X57" i="17"/>
  <c r="Y57" i="17"/>
  <c r="X49" i="17"/>
  <c r="Y49" i="17"/>
  <c r="X41" i="17"/>
  <c r="Y41" i="17"/>
  <c r="X33" i="17"/>
  <c r="Y33" i="17"/>
  <c r="X25" i="17"/>
  <c r="Y25" i="17"/>
  <c r="X58" i="17"/>
  <c r="Y58" i="17"/>
  <c r="X50" i="17"/>
  <c r="Y50" i="17"/>
  <c r="X42" i="17"/>
  <c r="Y42" i="17"/>
  <c r="X34" i="17"/>
  <c r="Y34" i="17"/>
  <c r="X26" i="17"/>
  <c r="Y26" i="17"/>
  <c r="W54" i="17"/>
  <c r="Q15" i="17"/>
  <c r="AG15" i="17"/>
  <c r="W52" i="17"/>
  <c r="W55" i="17"/>
  <c r="W47" i="17"/>
  <c r="W39" i="17"/>
  <c r="W31" i="17"/>
  <c r="W44" i="17"/>
  <c r="W36" i="17"/>
  <c r="W28" i="17"/>
  <c r="W53" i="17"/>
  <c r="W45" i="17"/>
  <c r="W37" i="17"/>
  <c r="W29" i="17"/>
  <c r="W46" i="17"/>
  <c r="W38" i="17"/>
  <c r="W30" i="17"/>
  <c r="W59" i="17"/>
  <c r="W51" i="17"/>
  <c r="W43" i="17"/>
  <c r="W35" i="17"/>
  <c r="W27" i="17"/>
  <c r="W56" i="17"/>
  <c r="W48" i="17"/>
  <c r="W40" i="17"/>
  <c r="W32" i="17"/>
  <c r="W24" i="17"/>
  <c r="W57" i="17"/>
  <c r="W49" i="17"/>
  <c r="W41" i="17"/>
  <c r="W33" i="17"/>
  <c r="W25" i="17"/>
  <c r="W58" i="17"/>
  <c r="W50" i="17"/>
  <c r="W42" i="17"/>
  <c r="W34" i="17"/>
  <c r="W26" i="17"/>
  <c r="G8" i="20"/>
  <c r="Q11" i="19"/>
  <c r="G9" i="20"/>
  <c r="Q62" i="19"/>
  <c r="Q59" i="17"/>
  <c r="Q55" i="17"/>
  <c r="Q51" i="17"/>
  <c r="Q47" i="17"/>
  <c r="Q43" i="17"/>
  <c r="Q39" i="17"/>
  <c r="Q35" i="17"/>
  <c r="Q31" i="17"/>
  <c r="Q27" i="17"/>
  <c r="Q23" i="17"/>
  <c r="Q57" i="17"/>
  <c r="Q53" i="17"/>
  <c r="Q49" i="17"/>
  <c r="Q45" i="17"/>
  <c r="Q41" i="17"/>
  <c r="Q37" i="17"/>
  <c r="Q33" i="17"/>
  <c r="Q29" i="17"/>
  <c r="Q25" i="17"/>
  <c r="Q21" i="17"/>
  <c r="Q56" i="17"/>
  <c r="Q52" i="17"/>
  <c r="Q48" i="17"/>
  <c r="Q44" i="17"/>
  <c r="Q40" i="17"/>
  <c r="Q36" i="17"/>
  <c r="Q32" i="17"/>
  <c r="Q28" i="17"/>
  <c r="Q24" i="17"/>
  <c r="Q20" i="17"/>
  <c r="Q58" i="17"/>
  <c r="Q54" i="17"/>
  <c r="Q50" i="17"/>
  <c r="Q46" i="17"/>
  <c r="Q42" i="17"/>
  <c r="Q38" i="17"/>
  <c r="Q34" i="17"/>
  <c r="Q30" i="17"/>
  <c r="Q26" i="17"/>
  <c r="Q22" i="17"/>
  <c r="T62" i="19"/>
  <c r="R60" i="17"/>
  <c r="R9" i="17"/>
  <c r="T11" i="19"/>
  <c r="A27" i="10"/>
  <c r="G12" i="10"/>
  <c r="B27" i="10"/>
  <c r="J3" i="6"/>
  <c r="J8" i="20"/>
  <c r="AL13" i="17"/>
  <c r="A14" i="17"/>
  <c r="D23" i="6"/>
  <c r="I22" i="6"/>
  <c r="I23" i="6"/>
  <c r="AB51" i="17"/>
  <c r="AB38" i="17"/>
  <c r="AB54" i="17"/>
  <c r="AB37" i="17"/>
  <c r="AB34" i="17"/>
  <c r="AB50" i="17"/>
  <c r="AB25" i="17"/>
  <c r="AB41" i="17"/>
  <c r="AB57" i="17"/>
  <c r="AB32" i="17"/>
  <c r="AB48" i="17"/>
  <c r="AB27" i="17"/>
  <c r="AB43" i="17"/>
  <c r="AB59" i="17"/>
  <c r="AB30" i="17"/>
  <c r="AB46" i="17"/>
  <c r="AB29" i="17"/>
  <c r="AB45" i="17"/>
  <c r="AB53" i="17"/>
  <c r="AB28" i="17"/>
  <c r="AB36" i="17"/>
  <c r="AB44" i="17"/>
  <c r="AB31" i="17"/>
  <c r="AB39" i="17"/>
  <c r="AB47" i="17"/>
  <c r="AB55" i="17"/>
  <c r="AB52" i="17"/>
  <c r="AH42" i="17"/>
  <c r="AB42" i="17"/>
  <c r="AH58" i="17"/>
  <c r="AB58" i="17"/>
  <c r="AH33" i="17"/>
  <c r="AB33" i="17"/>
  <c r="AH49" i="17"/>
  <c r="AB49" i="17"/>
  <c r="AH24" i="17"/>
  <c r="AB24" i="17"/>
  <c r="AH56" i="17"/>
  <c r="AB56" i="17"/>
  <c r="AH35" i="17"/>
  <c r="AB35" i="17"/>
  <c r="AH26" i="17"/>
  <c r="AB26" i="17"/>
  <c r="AH40" i="17"/>
  <c r="AB40" i="17"/>
  <c r="AH34" i="17"/>
  <c r="AH50" i="17"/>
  <c r="AH25" i="17"/>
  <c r="AH41" i="17"/>
  <c r="AH57" i="17"/>
  <c r="AH32" i="17"/>
  <c r="AH48" i="17"/>
  <c r="AH27" i="17"/>
  <c r="AH43" i="17"/>
  <c r="AH51" i="17"/>
  <c r="AH59" i="17"/>
  <c r="AH30" i="17"/>
  <c r="AH38" i="17"/>
  <c r="AH46" i="17"/>
  <c r="AH54" i="17"/>
  <c r="AH29" i="17"/>
  <c r="AH37" i="17"/>
  <c r="AH45" i="17"/>
  <c r="AH53" i="17"/>
  <c r="AH28" i="17"/>
  <c r="AH36" i="17"/>
  <c r="AH44" i="17"/>
  <c r="AH31" i="17"/>
  <c r="AH39" i="17"/>
  <c r="AH47" i="17"/>
  <c r="AH55" i="17"/>
  <c r="AH52" i="17"/>
  <c r="U26" i="17"/>
  <c r="AG26" i="17"/>
  <c r="U34" i="17"/>
  <c r="AG34" i="17"/>
  <c r="U42" i="17"/>
  <c r="AG42" i="17"/>
  <c r="U50" i="17"/>
  <c r="AG50" i="17"/>
  <c r="U58" i="17"/>
  <c r="AG58" i="17"/>
  <c r="U24" i="17"/>
  <c r="AG24" i="17"/>
  <c r="U32" i="17"/>
  <c r="AG32" i="17"/>
  <c r="U40" i="17"/>
  <c r="AG40" i="17"/>
  <c r="U48" i="17"/>
  <c r="AG48" i="17"/>
  <c r="U56" i="17"/>
  <c r="AG56" i="17"/>
  <c r="U25" i="17"/>
  <c r="AG25" i="17"/>
  <c r="U33" i="17"/>
  <c r="AG33" i="17"/>
  <c r="U41" i="17"/>
  <c r="AG41" i="17"/>
  <c r="U49" i="17"/>
  <c r="AG49" i="17"/>
  <c r="U57" i="17"/>
  <c r="AG57" i="17"/>
  <c r="U27" i="17"/>
  <c r="AG27" i="17"/>
  <c r="U35" i="17"/>
  <c r="AG35" i="17"/>
  <c r="U43" i="17"/>
  <c r="AG43" i="17"/>
  <c r="U51" i="17"/>
  <c r="AG51" i="17"/>
  <c r="U59" i="17"/>
  <c r="AG59" i="17"/>
  <c r="U22" i="17"/>
  <c r="AG22" i="17"/>
  <c r="U30" i="17"/>
  <c r="AG30" i="17"/>
  <c r="U38" i="17"/>
  <c r="AG38" i="17"/>
  <c r="U46" i="17"/>
  <c r="AG46" i="17"/>
  <c r="U54" i="17"/>
  <c r="AG54" i="17"/>
  <c r="AG20" i="17"/>
  <c r="U28" i="17"/>
  <c r="AG28" i="17"/>
  <c r="U36" i="17"/>
  <c r="AG36" i="17"/>
  <c r="U44" i="17"/>
  <c r="AG44" i="17"/>
  <c r="U52" i="17"/>
  <c r="AG52" i="17"/>
  <c r="AG21" i="17"/>
  <c r="U29" i="17"/>
  <c r="AG29" i="17"/>
  <c r="U37" i="17"/>
  <c r="AG37" i="17"/>
  <c r="U45" i="17"/>
  <c r="AG45" i="17"/>
  <c r="U53" i="17"/>
  <c r="AG53" i="17"/>
  <c r="U23" i="17"/>
  <c r="AG23" i="17"/>
  <c r="U31" i="17"/>
  <c r="AG31" i="17"/>
  <c r="U47" i="17"/>
  <c r="AG47" i="17"/>
  <c r="U55" i="17"/>
  <c r="AG55" i="17"/>
  <c r="U39" i="17"/>
  <c r="AG39" i="17"/>
  <c r="Q9" i="17"/>
  <c r="Q60" i="17"/>
  <c r="J2" i="6"/>
  <c r="D35" i="10"/>
  <c r="C27" i="10"/>
  <c r="D27" i="10"/>
  <c r="E27" i="10"/>
  <c r="D36" i="10"/>
  <c r="AL14" i="17"/>
  <c r="A15" i="17"/>
  <c r="AD26" i="17"/>
  <c r="AD32" i="17"/>
  <c r="AD39" i="17"/>
  <c r="AD45" i="17"/>
  <c r="AD40" i="17"/>
  <c r="AD35" i="17"/>
  <c r="AD49" i="17"/>
  <c r="AD58" i="17"/>
  <c r="AD29" i="17"/>
  <c r="AD55" i="17"/>
  <c r="AD36" i="17"/>
  <c r="AD46" i="17"/>
  <c r="AD59" i="17"/>
  <c r="AD27" i="17"/>
  <c r="AD41" i="17"/>
  <c r="AD50" i="17"/>
  <c r="AD54" i="17"/>
  <c r="AD38" i="17"/>
  <c r="AD56" i="17"/>
  <c r="AD52" i="17"/>
  <c r="AD47" i="17"/>
  <c r="AD31" i="17"/>
  <c r="AD44" i="17"/>
  <c r="AD28" i="17"/>
  <c r="AD53" i="17"/>
  <c r="AD37" i="17"/>
  <c r="AD30" i="17"/>
  <c r="AD43" i="17"/>
  <c r="AD48" i="17"/>
  <c r="AD57" i="17"/>
  <c r="AD25" i="17"/>
  <c r="AD34" i="17"/>
  <c r="AD51" i="17"/>
  <c r="AD24" i="17"/>
  <c r="AD33" i="17"/>
  <c r="AD42" i="17"/>
  <c r="AG9" i="17"/>
  <c r="AG60" i="17"/>
  <c r="J27" i="10"/>
  <c r="K27" i="10"/>
  <c r="F11" i="6"/>
  <c r="F9" i="6"/>
  <c r="D37" i="10"/>
  <c r="F27" i="10"/>
  <c r="G27" i="10"/>
  <c r="H27" i="10"/>
  <c r="E9" i="6"/>
  <c r="AL15" i="17"/>
  <c r="A16" i="17"/>
  <c r="E11" i="6"/>
  <c r="E10" i="6"/>
  <c r="F10" i="6"/>
  <c r="F12" i="6"/>
  <c r="AL16" i="17"/>
  <c r="A17" i="17"/>
  <c r="C12" i="13"/>
  <c r="E12" i="6"/>
  <c r="AL17" i="17"/>
  <c r="A18" i="17"/>
  <c r="I24" i="6"/>
  <c r="AL18" i="17"/>
  <c r="A19" i="17"/>
  <c r="I14" i="6"/>
  <c r="F14" i="6"/>
  <c r="D45" i="13"/>
  <c r="D46" i="13"/>
  <c r="D47" i="13"/>
  <c r="D48" i="13"/>
  <c r="D49" i="13"/>
  <c r="D50" i="13"/>
  <c r="D51" i="13"/>
  <c r="D52" i="13"/>
  <c r="D54" i="13"/>
  <c r="D55" i="13"/>
  <c r="D56" i="13"/>
  <c r="D57" i="13"/>
  <c r="D58" i="13"/>
  <c r="D59" i="13"/>
  <c r="D60" i="13"/>
  <c r="D62" i="13"/>
  <c r="M20" i="17"/>
  <c r="O20" i="17"/>
  <c r="M21" i="17"/>
  <c r="O21" i="17"/>
  <c r="M12" i="17"/>
  <c r="O12" i="17"/>
  <c r="AF12" i="17"/>
  <c r="M16" i="17"/>
  <c r="O16" i="17"/>
  <c r="AF16" i="17"/>
  <c r="M11" i="17"/>
  <c r="O11" i="17"/>
  <c r="AF11" i="17"/>
  <c r="M15" i="17"/>
  <c r="O15" i="17"/>
  <c r="AF15" i="17"/>
  <c r="M19" i="17"/>
  <c r="O19" i="17"/>
  <c r="AF19" i="17"/>
  <c r="M10" i="17"/>
  <c r="M14" i="17"/>
  <c r="O14" i="17"/>
  <c r="AF14" i="17"/>
  <c r="M18" i="17"/>
  <c r="O18" i="17"/>
  <c r="AF18" i="17"/>
  <c r="M13" i="17"/>
  <c r="O13" i="17"/>
  <c r="AF13" i="17"/>
  <c r="M17" i="17"/>
  <c r="O17" i="17"/>
  <c r="AF17" i="17"/>
  <c r="AL19" i="17"/>
  <c r="A20" i="17"/>
  <c r="AF21" i="17"/>
  <c r="P21" i="17"/>
  <c r="V21" i="17"/>
  <c r="U21" i="17"/>
  <c r="AF20" i="17"/>
  <c r="P20" i="17"/>
  <c r="V20" i="17"/>
  <c r="U20" i="17"/>
  <c r="P17" i="17"/>
  <c r="V17" i="17"/>
  <c r="P18" i="17"/>
  <c r="V18" i="17"/>
  <c r="P13" i="17"/>
  <c r="P14" i="17"/>
  <c r="V14" i="17"/>
  <c r="P19" i="17"/>
  <c r="V19" i="17"/>
  <c r="P12" i="17"/>
  <c r="V12" i="17"/>
  <c r="P15" i="17"/>
  <c r="V15" i="17"/>
  <c r="P16" i="17"/>
  <c r="P11" i="17"/>
  <c r="O10" i="17"/>
  <c r="AF10" i="17"/>
  <c r="M9" i="17"/>
  <c r="M60" i="17"/>
  <c r="AL20" i="17"/>
  <c r="A21" i="17"/>
  <c r="U17" i="17"/>
  <c r="U19" i="17"/>
  <c r="U18" i="17"/>
  <c r="U15" i="17"/>
  <c r="U12" i="17"/>
  <c r="U14" i="17"/>
  <c r="P10" i="17"/>
  <c r="V10" i="17"/>
  <c r="AI60" i="17"/>
  <c r="O60" i="17"/>
  <c r="O9" i="17"/>
  <c r="E30" i="6"/>
  <c r="E31" i="6"/>
  <c r="AL21" i="17"/>
  <c r="A22" i="17"/>
  <c r="P60" i="17"/>
  <c r="AI9" i="17"/>
  <c r="P9" i="17"/>
  <c r="AL22" i="17"/>
  <c r="A23" i="17"/>
  <c r="U13" i="17"/>
  <c r="V13" i="17"/>
  <c r="F30" i="6"/>
  <c r="F31" i="6"/>
  <c r="AL23" i="17"/>
  <c r="A24" i="17"/>
  <c r="V16" i="17"/>
  <c r="U16" i="17"/>
  <c r="S9" i="17"/>
  <c r="E36" i="6"/>
  <c r="U11" i="17"/>
  <c r="V11" i="17"/>
  <c r="S60" i="17"/>
  <c r="U10" i="17"/>
  <c r="AL24" i="17"/>
  <c r="A25" i="17"/>
  <c r="J1" i="6"/>
  <c r="E37" i="6"/>
  <c r="E39" i="6"/>
  <c r="F24" i="6"/>
  <c r="E24" i="6"/>
  <c r="T60" i="17"/>
  <c r="U60" i="17"/>
  <c r="U9" i="17"/>
  <c r="T9" i="17"/>
  <c r="F36" i="6"/>
  <c r="AL25" i="17"/>
  <c r="A26" i="17"/>
  <c r="F37" i="6"/>
  <c r="F39" i="6"/>
  <c r="V60" i="17"/>
  <c r="V9" i="17"/>
  <c r="AL26" i="17"/>
  <c r="A27" i="17"/>
  <c r="W23" i="17"/>
  <c r="W22" i="17"/>
  <c r="W21" i="17"/>
  <c r="W20" i="17"/>
  <c r="W19" i="17"/>
  <c r="W18" i="17"/>
  <c r="W17" i="17"/>
  <c r="W15" i="17"/>
  <c r="W14" i="17"/>
  <c r="W12" i="17"/>
  <c r="W16" i="17"/>
  <c r="W11" i="17"/>
  <c r="W10" i="17"/>
  <c r="W13" i="17"/>
  <c r="AL27" i="17"/>
  <c r="A28" i="17"/>
  <c r="I15" i="6"/>
  <c r="A10" i="6"/>
  <c r="H10" i="6"/>
  <c r="H9" i="6"/>
  <c r="F15" i="6"/>
  <c r="F18" i="6"/>
  <c r="W9" i="17"/>
  <c r="W60" i="17"/>
  <c r="AL28" i="17"/>
  <c r="A29" i="17"/>
  <c r="A11" i="6"/>
  <c r="A12" i="6"/>
  <c r="E15" i="6"/>
  <c r="AL29" i="17"/>
  <c r="A30" i="17"/>
  <c r="H11" i="6"/>
  <c r="AL30" i="17"/>
  <c r="A31" i="17"/>
  <c r="E14" i="6"/>
  <c r="X23" i="17"/>
  <c r="X21" i="17"/>
  <c r="X22" i="17"/>
  <c r="X19" i="17"/>
  <c r="X20" i="17"/>
  <c r="X17" i="17"/>
  <c r="X18" i="17"/>
  <c r="E18" i="6"/>
  <c r="E19" i="6"/>
  <c r="E22" i="6"/>
  <c r="X15" i="17"/>
  <c r="X14" i="17"/>
  <c r="X12" i="17"/>
  <c r="X16" i="17"/>
  <c r="X13" i="17"/>
  <c r="X11" i="17"/>
  <c r="X10" i="17"/>
  <c r="AL31" i="17"/>
  <c r="A32" i="17"/>
  <c r="F22" i="6"/>
  <c r="AF60" i="17"/>
  <c r="AF9" i="17"/>
  <c r="X60" i="17"/>
  <c r="X9" i="17"/>
  <c r="AL32" i="17"/>
  <c r="A33" i="17"/>
  <c r="AL33" i="17"/>
  <c r="A34" i="17"/>
  <c r="AL34" i="17"/>
  <c r="A35" i="17"/>
  <c r="A14" i="6"/>
  <c r="H12" i="6"/>
  <c r="AL35" i="17"/>
  <c r="A36" i="17"/>
  <c r="H14" i="6"/>
  <c r="A15" i="6"/>
  <c r="A16" i="6"/>
  <c r="A17" i="6"/>
  <c r="H17" i="6"/>
  <c r="A18" i="6"/>
  <c r="H16" i="6"/>
  <c r="AL36" i="17"/>
  <c r="A37" i="17"/>
  <c r="H15" i="6"/>
  <c r="H18" i="6"/>
  <c r="AL37" i="17"/>
  <c r="A38" i="17"/>
  <c r="E23" i="6"/>
  <c r="Y23" i="17"/>
  <c r="AL38" i="17"/>
  <c r="A39" i="17"/>
  <c r="F19" i="6"/>
  <c r="AB23" i="17"/>
  <c r="AD23" i="17"/>
  <c r="AH23" i="17"/>
  <c r="Y21" i="17"/>
  <c r="AH21" i="17"/>
  <c r="Y22" i="17"/>
  <c r="Y19" i="17"/>
  <c r="AB19" i="17"/>
  <c r="AD19" i="17"/>
  <c r="Y20" i="17"/>
  <c r="Y17" i="17"/>
  <c r="AB17" i="17"/>
  <c r="AD17" i="17"/>
  <c r="Y18" i="17"/>
  <c r="F23" i="6"/>
  <c r="F25" i="6"/>
  <c r="Y15" i="17"/>
  <c r="Y14" i="17"/>
  <c r="Y10" i="17"/>
  <c r="Y12" i="17"/>
  <c r="Y16" i="17"/>
  <c r="Y13" i="17"/>
  <c r="Y11" i="17"/>
  <c r="E25" i="6"/>
  <c r="E27" i="6"/>
  <c r="G7" i="20"/>
  <c r="AL39" i="17"/>
  <c r="A40" i="17"/>
  <c r="AB21" i="17"/>
  <c r="AD21" i="17"/>
  <c r="AH19" i="17"/>
  <c r="AH22" i="17"/>
  <c r="AB22" i="17"/>
  <c r="AD22" i="17"/>
  <c r="AH20" i="17"/>
  <c r="AB20" i="17"/>
  <c r="AD20" i="17"/>
  <c r="G23" i="6"/>
  <c r="AH17" i="17"/>
  <c r="AH18" i="17"/>
  <c r="AB18" i="17"/>
  <c r="AD18" i="17"/>
  <c r="AB15" i="17"/>
  <c r="AD15" i="17"/>
  <c r="AH15" i="17"/>
  <c r="AH13" i="17"/>
  <c r="AB13" i="17"/>
  <c r="AD13" i="17"/>
  <c r="AH12" i="17"/>
  <c r="AB12" i="17"/>
  <c r="AD12" i="17"/>
  <c r="AH14" i="17"/>
  <c r="AB14" i="17"/>
  <c r="AD14" i="17"/>
  <c r="AH11" i="17"/>
  <c r="AB11" i="17"/>
  <c r="AD11" i="17"/>
  <c r="AH16" i="17"/>
  <c r="AB16" i="17"/>
  <c r="AD16" i="17"/>
  <c r="AH10" i="17"/>
  <c r="AB10" i="17"/>
  <c r="AD10" i="17"/>
  <c r="Y60" i="17"/>
  <c r="Y9" i="17"/>
  <c r="E41" i="6"/>
  <c r="G10" i="20"/>
  <c r="G11" i="20"/>
  <c r="F27" i="6"/>
  <c r="AC9" i="17"/>
  <c r="J7" i="20"/>
  <c r="AL40" i="17"/>
  <c r="A41" i="17"/>
  <c r="AH9" i="17"/>
  <c r="AD9" i="17"/>
  <c r="AB9" i="17"/>
  <c r="AC10" i="17"/>
  <c r="AH60" i="17"/>
  <c r="F41" i="6"/>
  <c r="G36" i="6"/>
  <c r="AB60" i="17"/>
  <c r="J10" i="20"/>
  <c r="J11" i="20"/>
  <c r="AL41" i="17"/>
  <c r="A42" i="17"/>
  <c r="G17" i="6"/>
  <c r="G9" i="6"/>
  <c r="G16" i="6"/>
  <c r="AC13" i="17"/>
  <c r="AE13" i="17"/>
  <c r="AC17" i="17"/>
  <c r="AE17" i="17"/>
  <c r="AC21" i="17"/>
  <c r="AE21" i="17"/>
  <c r="AC25" i="17"/>
  <c r="AE25" i="17"/>
  <c r="AC29" i="17"/>
  <c r="AE29" i="17"/>
  <c r="AC33" i="17"/>
  <c r="AE33" i="17"/>
  <c r="AC37" i="17"/>
  <c r="AE37" i="17"/>
  <c r="AC41" i="17"/>
  <c r="AE41" i="17"/>
  <c r="AC45" i="17"/>
  <c r="AE45" i="17"/>
  <c r="AC49" i="17"/>
  <c r="AE49" i="17"/>
  <c r="AC53" i="17"/>
  <c r="AE53" i="17"/>
  <c r="AC57" i="17"/>
  <c r="AE57" i="17"/>
  <c r="AC12" i="17"/>
  <c r="AE12" i="17"/>
  <c r="AC16" i="17"/>
  <c r="AE16" i="17"/>
  <c r="AC20" i="17"/>
  <c r="AE20" i="17"/>
  <c r="AC24" i="17"/>
  <c r="AE24" i="17"/>
  <c r="AC28" i="17"/>
  <c r="AE28" i="17"/>
  <c r="AC32" i="17"/>
  <c r="AE32" i="17"/>
  <c r="AC36" i="17"/>
  <c r="AE36" i="17"/>
  <c r="AC40" i="17"/>
  <c r="AE40" i="17"/>
  <c r="AC44" i="17"/>
  <c r="AE44" i="17"/>
  <c r="AC48" i="17"/>
  <c r="AE48" i="17"/>
  <c r="AC52" i="17"/>
  <c r="AE52" i="17"/>
  <c r="AC56" i="17"/>
  <c r="AE56" i="17"/>
  <c r="AC11" i="17"/>
  <c r="AE11" i="17"/>
  <c r="AC15" i="17"/>
  <c r="AE15" i="17"/>
  <c r="AC19" i="17"/>
  <c r="AE19" i="17"/>
  <c r="AC23" i="17"/>
  <c r="AE23" i="17"/>
  <c r="AC27" i="17"/>
  <c r="AE27" i="17"/>
  <c r="AC31" i="17"/>
  <c r="AE31" i="17"/>
  <c r="AC35" i="17"/>
  <c r="AE35" i="17"/>
  <c r="AC39" i="17"/>
  <c r="AE39" i="17"/>
  <c r="AC43" i="17"/>
  <c r="AE43" i="17"/>
  <c r="AC47" i="17"/>
  <c r="AE47" i="17"/>
  <c r="AC51" i="17"/>
  <c r="AE51" i="17"/>
  <c r="AC55" i="17"/>
  <c r="AE55" i="17"/>
  <c r="AC59" i="17"/>
  <c r="AE59" i="17"/>
  <c r="AC14" i="17"/>
  <c r="AE14" i="17"/>
  <c r="AC18" i="17"/>
  <c r="AE18" i="17"/>
  <c r="AC22" i="17"/>
  <c r="AE22" i="17"/>
  <c r="AC26" i="17"/>
  <c r="AE26" i="17"/>
  <c r="AC30" i="17"/>
  <c r="AE30" i="17"/>
  <c r="AC34" i="17"/>
  <c r="AE34" i="17"/>
  <c r="AC38" i="17"/>
  <c r="AE38" i="17"/>
  <c r="AC42" i="17"/>
  <c r="AE42" i="17"/>
  <c r="AC46" i="17"/>
  <c r="AE46" i="17"/>
  <c r="AC50" i="17"/>
  <c r="AE50" i="17"/>
  <c r="AC54" i="17"/>
  <c r="AE54" i="17"/>
  <c r="AC58" i="17"/>
  <c r="AE58" i="17"/>
  <c r="AE10" i="17"/>
  <c r="AD60" i="17"/>
  <c r="G35" i="6"/>
  <c r="G30" i="6"/>
  <c r="G31" i="6"/>
  <c r="G34" i="6"/>
  <c r="G14" i="6"/>
  <c r="G15" i="6"/>
  <c r="G11" i="6"/>
  <c r="G22" i="6"/>
  <c r="G24" i="6"/>
  <c r="G10" i="6"/>
  <c r="AL42" i="17"/>
  <c r="A43" i="17"/>
  <c r="G37" i="6"/>
  <c r="G39" i="6"/>
  <c r="G18" i="6"/>
  <c r="AE9" i="17"/>
  <c r="AC60" i="17"/>
  <c r="AE60" i="17"/>
  <c r="G25" i="6"/>
  <c r="G12" i="6"/>
  <c r="AL43" i="17"/>
  <c r="A44" i="17"/>
  <c r="G19" i="6"/>
  <c r="G41" i="6"/>
  <c r="AL44" i="17"/>
  <c r="A45" i="17"/>
  <c r="G27" i="6"/>
  <c r="AL45" i="17"/>
  <c r="A46" i="17"/>
  <c r="AL46" i="17"/>
  <c r="A47" i="17"/>
  <c r="AL47" i="17"/>
  <c r="A48" i="17"/>
  <c r="A49" i="17"/>
  <c r="A50" i="17"/>
  <c r="AL49" i="17"/>
  <c r="AL48" i="17"/>
  <c r="A51" i="17"/>
  <c r="AL50" i="17"/>
  <c r="A52" i="17"/>
  <c r="AL51" i="17"/>
  <c r="A53" i="17"/>
  <c r="AL52" i="17"/>
  <c r="A22" i="6"/>
  <c r="A23" i="6"/>
  <c r="A54" i="17"/>
  <c r="AL53" i="17"/>
  <c r="A24" i="6"/>
  <c r="A30" i="6"/>
  <c r="H23" i="6"/>
  <c r="H22" i="6"/>
  <c r="A34" i="6"/>
  <c r="A35" i="6"/>
  <c r="A36" i="6"/>
  <c r="H36" i="6"/>
  <c r="A55" i="17"/>
  <c r="AL54" i="17"/>
  <c r="H24" i="6"/>
  <c r="H30" i="6"/>
  <c r="H35" i="6"/>
  <c r="A56" i="17"/>
  <c r="AL55" i="17"/>
  <c r="H34" i="6"/>
  <c r="A57" i="17"/>
  <c r="AL56" i="17"/>
  <c r="A58" i="17"/>
  <c r="AL57" i="17"/>
  <c r="A59" i="17"/>
  <c r="AL59" i="17"/>
  <c r="AL58" i="17"/>
  <c r="E44" i="6"/>
  <c r="F43" i="6"/>
  <c r="F44" i="6"/>
</calcChain>
</file>

<file path=xl/comments1.xml><?xml version="1.0" encoding="utf-8"?>
<comments xmlns="http://schemas.openxmlformats.org/spreadsheetml/2006/main">
  <authors>
    <author>shkumar</author>
    <author>jeshuang</author>
    <author>Carla  Thiesen</author>
  </authors>
  <commentList>
    <comment ref="B7" authorId="0">
      <text>
        <r>
          <rPr>
            <sz val="8"/>
            <color indexed="81"/>
            <rFont val="Century Gothic"/>
            <family val="2"/>
          </rPr>
          <t>Please indicate the name of the organisation requesting funding from CLBC for services to be provided.  This is the entity contracting with CLBC.</t>
        </r>
      </text>
    </comment>
    <comment ref="G7" authorId="1">
      <text>
        <r>
          <rPr>
            <sz val="8"/>
            <color indexed="81"/>
            <rFont val="Century Gothic"/>
            <family val="2"/>
          </rPr>
          <t xml:space="preserve">Please enter your OCG (Office of the Comptroller General) Number if you know it.  If you do not know, CLBC Staff will enter the number per the CLBC Reporting Portal (previously known as MARS database).  Please consult CLBC HQ if this is a new service provider without a current OCG number.
</t>
        </r>
      </text>
    </comment>
    <comment ref="B9" authorId="0">
      <text>
        <r>
          <rPr>
            <sz val="8"/>
            <color indexed="81"/>
            <rFont val="Century Gothic"/>
            <family val="2"/>
          </rPr>
          <t>Please indicate the name used for the program in which you will provide services.</t>
        </r>
      </text>
    </comment>
    <comment ref="G9" authorId="1">
      <text>
        <r>
          <rPr>
            <sz val="8"/>
            <color indexed="81"/>
            <rFont val="Century Gothic"/>
            <family val="2"/>
          </rPr>
          <t xml:space="preserve">Please choose from the drop down menu to indicate if program is for Home Sharing or Live in Support. 
</t>
        </r>
      </text>
    </comment>
    <comment ref="B11" authorId="0">
      <text>
        <r>
          <rPr>
            <sz val="8"/>
            <color indexed="81"/>
            <rFont val="Century Gothic"/>
            <family val="2"/>
          </rPr>
          <t>Please indicate the date of this data submission.</t>
        </r>
      </text>
    </comment>
    <comment ref="G11" authorId="2">
      <text>
        <r>
          <rPr>
            <sz val="8"/>
            <color indexed="81"/>
            <rFont val="Century Gothic"/>
            <family val="2"/>
          </rPr>
          <t>Please enter the number of hours per week that your agency considers full time (e.g. 37.5 or 40) employment.  This should be between 33 to 40 hours.</t>
        </r>
        <r>
          <rPr>
            <sz val="8"/>
            <color indexed="81"/>
            <rFont val="Tahoma"/>
            <family val="2"/>
          </rPr>
          <t xml:space="preserve">
</t>
        </r>
        <r>
          <rPr>
            <sz val="8"/>
            <color indexed="81"/>
            <rFont val="Century Gothic"/>
            <family val="2"/>
          </rPr>
          <t>(The default here is considered to be 37.5 hours unless you specify otherwise).</t>
        </r>
      </text>
    </comment>
    <comment ref="B13" authorId="2">
      <text>
        <r>
          <rPr>
            <sz val="8"/>
            <color indexed="81"/>
            <rFont val="Century Gothic"/>
            <family val="2"/>
          </rPr>
          <t>For new contract submissions: enter "not applicable". 
For Existing contracts: enter contract number.</t>
        </r>
        <r>
          <rPr>
            <sz val="8"/>
            <color indexed="81"/>
            <rFont val="Tahoma"/>
            <family val="2"/>
          </rPr>
          <t xml:space="preserve">
</t>
        </r>
      </text>
    </comment>
    <comment ref="G13" authorId="1">
      <text>
        <r>
          <rPr>
            <sz val="8"/>
            <color indexed="81"/>
            <rFont val="Century Gothic"/>
            <family val="2"/>
          </rPr>
          <t xml:space="preserve">If you are incorporated as a Microboard Society, please indicate "yes" or "no" in the drop-down menu.  (The default position here is "no", not a microboard).
</t>
        </r>
      </text>
    </comment>
    <comment ref="B15" authorId="2">
      <text>
        <r>
          <rPr>
            <sz val="8"/>
            <color indexed="81"/>
            <rFont val="Century Gothic"/>
            <family val="2"/>
          </rPr>
          <t xml:space="preserve">The Number of Individuals in Shared Living is auto-calculated based on the number of individuals listed in Page 3.   It is shown here for your information only.
</t>
        </r>
      </text>
    </comment>
    <comment ref="M15" authorId="1">
      <text>
        <r>
          <rPr>
            <b/>
            <sz val="9"/>
            <color indexed="81"/>
            <rFont val="Tahoma"/>
            <family val="2"/>
          </rPr>
          <t>remove in next release, don't need this. Only support Agency coordinated.</t>
        </r>
      </text>
    </comment>
    <comment ref="G21" authorId="1">
      <text>
        <r>
          <rPr>
            <sz val="8"/>
            <color indexed="81"/>
            <rFont val="Century Gothic"/>
            <family val="2"/>
          </rPr>
          <t>Only fill in the Modification Start Date if you are modifying a contract. Leave blank if it's a new contract.</t>
        </r>
      </text>
    </comment>
    <comment ref="G23" authorId="1">
      <text>
        <r>
          <rPr>
            <sz val="8"/>
            <color indexed="81"/>
            <rFont val="Century Gothic"/>
            <family val="2"/>
          </rPr>
          <t>Only fill in the Modification End Date if you are modifying a contract. Leave blank if it's a new contract.</t>
        </r>
      </text>
    </comment>
    <comment ref="B29" authorId="1">
      <text>
        <r>
          <rPr>
            <sz val="8"/>
            <color indexed="81"/>
            <rFont val="Century Gothic"/>
            <family val="2"/>
          </rPr>
          <t>Please enter you Municipal Pension Plan (MPP) Contribution % as noted on your BC Pension Statement.  Please note, this is the MPP contribution % for your overall organisation (not the contribution % for employees in this specific location of service).</t>
        </r>
      </text>
    </comment>
    <comment ref="B31" authorId="1">
      <text>
        <r>
          <rPr>
            <sz val="8"/>
            <color indexed="81"/>
            <rFont val="Century Gothic"/>
            <family val="2"/>
          </rPr>
          <t>Please enter the % of relevant employees of your organisation participating in the Municipal Pension Plan (MPP).  Please note, this is the MPP participation % for your overall organisation (not the participation % for employees in this specific location of service).</t>
        </r>
      </text>
    </comment>
    <comment ref="B33" authorId="1">
      <text>
        <r>
          <rPr>
            <sz val="8"/>
            <color indexed="81"/>
            <rFont val="Century Gothic"/>
            <family val="2"/>
          </rPr>
          <t>Please enter your RRSP % contribution, up to 3% of wages.  NOTE:  You may only enter an RRSP % if you do NOT provide MPP.  You cannot request both MPP and RRSP.  Please note, this is the RRSP % for your overall organisation (not the % for employees in this specific location of service).</t>
        </r>
      </text>
    </comment>
    <comment ref="B35" authorId="0">
      <text>
        <r>
          <rPr>
            <sz val="8"/>
            <color indexed="81"/>
            <rFont val="Century Gothic"/>
            <family val="2"/>
          </rPr>
          <t>Please enter the % wages you pay for Long-Term Disability (LTD) insurance premiums.  Please note, this is the LTD % for your overall organisation (not the % for employees in this specific location of service).</t>
        </r>
      </text>
    </comment>
    <comment ref="B41" authorId="1">
      <text>
        <r>
          <rPr>
            <sz val="8"/>
            <color indexed="81"/>
            <rFont val="Century Gothic"/>
            <family val="2"/>
          </rPr>
          <t xml:space="preserve">This is for </t>
        </r>
        <r>
          <rPr>
            <b/>
            <sz val="8"/>
            <color indexed="81"/>
            <rFont val="Century Gothic"/>
            <family val="2"/>
          </rPr>
          <t>Non-Microboard Society</t>
        </r>
        <r>
          <rPr>
            <sz val="8"/>
            <color indexed="81"/>
            <rFont val="Century Gothic"/>
            <family val="2"/>
          </rPr>
          <t xml:space="preserve"> Agency only. 
Leave blank if you are incorporated as a Microboard Society.</t>
        </r>
      </text>
    </comment>
  </commentList>
</comments>
</file>

<file path=xl/comments2.xml><?xml version="1.0" encoding="utf-8"?>
<comments xmlns="http://schemas.openxmlformats.org/spreadsheetml/2006/main">
  <authors>
    <author>jeshuang</author>
    <author>shkumar</author>
  </authors>
  <commentList>
    <comment ref="J2" authorId="0">
      <text>
        <r>
          <rPr>
            <sz val="9"/>
            <color indexed="81"/>
            <rFont val="Tahoma"/>
            <family val="2"/>
          </rPr>
          <t>use round up FTE because it affects Direct Program Cost for Manger</t>
        </r>
      </text>
    </comment>
    <comment ref="J5" authorId="0">
      <text>
        <r>
          <rPr>
            <sz val="9"/>
            <color indexed="81"/>
            <rFont val="Tahoma"/>
            <family val="2"/>
          </rPr>
          <t>remove in next release. Don't need this anymore. Template only support Agency Coordinated service method.</t>
        </r>
      </text>
    </comment>
    <comment ref="F7" authorId="1">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t>
        </r>
      </text>
    </comment>
    <comment ref="B14" authorId="0">
      <text>
        <r>
          <rPr>
            <sz val="8"/>
            <color indexed="81"/>
            <rFont val="Century Gothic"/>
            <family val="2"/>
          </rPr>
          <t xml:space="preserve">Direct Program Costs - Manager will </t>
        </r>
        <r>
          <rPr>
            <b/>
            <sz val="8"/>
            <color indexed="81"/>
            <rFont val="Century Gothic"/>
            <family val="2"/>
          </rPr>
          <t>ONLY</t>
        </r>
        <r>
          <rPr>
            <sz val="8"/>
            <color indexed="81"/>
            <rFont val="Century Gothic"/>
            <family val="2"/>
          </rPr>
          <t xml:space="preserve"> auto-calculate if you identify yourself as a "Host Agency" in Page 1.</t>
        </r>
      </text>
    </comment>
    <comment ref="B15" authorId="0">
      <text>
        <r>
          <rPr>
            <sz val="8"/>
            <color indexed="81"/>
            <rFont val="Century Gothic"/>
            <family val="2"/>
          </rPr>
          <t xml:space="preserve">Direct Program Costs - Individual Served will </t>
        </r>
        <r>
          <rPr>
            <b/>
            <sz val="8"/>
            <color indexed="81"/>
            <rFont val="Century Gothic"/>
            <family val="2"/>
          </rPr>
          <t>ONLY</t>
        </r>
        <r>
          <rPr>
            <sz val="8"/>
            <color indexed="81"/>
            <rFont val="Century Gothic"/>
            <family val="2"/>
          </rPr>
          <t xml:space="preserve"> auto-calculate if you identify yourself as a "Host Agency" in Page 1.</t>
        </r>
      </text>
    </comment>
    <comment ref="B21" authorId="0">
      <text>
        <r>
          <rPr>
            <sz val="8"/>
            <color indexed="81"/>
            <rFont val="Century Gothic"/>
            <family val="2"/>
          </rPr>
          <t xml:space="preserve">Line 9 and 10 are administration costs applied against  Total Labour and Direct Program Costs as a percentage.
Administration will </t>
        </r>
        <r>
          <rPr>
            <b/>
            <sz val="8"/>
            <color indexed="81"/>
            <rFont val="Century Gothic"/>
            <family val="2"/>
          </rPr>
          <t>ONLY</t>
        </r>
        <r>
          <rPr>
            <sz val="8"/>
            <color indexed="81"/>
            <rFont val="Century Gothic"/>
            <family val="2"/>
          </rPr>
          <t xml:space="preserve"> auto-calculate if you identify yourself as a "Host Agency" in Page 1.</t>
        </r>
      </text>
    </comment>
    <comment ref="B22" authorId="0">
      <text>
        <r>
          <rPr>
            <sz val="8"/>
            <color indexed="81"/>
            <rFont val="Century Gothic"/>
            <family val="2"/>
          </rPr>
          <t xml:space="preserve">This line is for Non-Microboard Society Agency only. </t>
        </r>
      </text>
    </comment>
    <comment ref="F41" authorId="1">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t>
        </r>
      </text>
    </comment>
    <comment ref="B43" authorId="0">
      <text>
        <r>
          <rPr>
            <sz val="8"/>
            <color indexed="81"/>
            <rFont val="Century Gothic"/>
            <family val="2"/>
          </rPr>
          <t>If this is a contract renewal, enter any existing funding received.  If this is a new contract, enter 0.</t>
        </r>
      </text>
    </comment>
    <comment ref="F44" authorId="1">
      <text>
        <r>
          <rPr>
            <b/>
            <sz val="8"/>
            <color indexed="81"/>
            <rFont val="Century Gothic"/>
            <family val="2"/>
          </rPr>
          <t xml:space="preserve">Note to CLBC Rep:  </t>
        </r>
        <r>
          <rPr>
            <sz val="8"/>
            <color indexed="81"/>
            <rFont val="Century Gothic"/>
            <family val="2"/>
          </rPr>
          <t xml:space="preserve">The annual figures are shown for your convenience.  Please do NOT use these figures in your contract templates / Upside.  When rounding (for example to 2 decimal places) either the monthly or the annual figures will have to be out an amount.  This template has been chosen to allow the "monthly" figures supersede in accuracy.  Please use the monthly figures only to drive your contract payment tables.
</t>
        </r>
      </text>
    </comment>
  </commentList>
</comments>
</file>

<file path=xl/comments3.xml><?xml version="1.0" encoding="utf-8"?>
<comments xmlns="http://schemas.openxmlformats.org/spreadsheetml/2006/main">
  <authors>
    <author>jeshuang</author>
    <author>shkumar</author>
  </authors>
  <commentList>
    <comment ref="D8" authorId="0">
      <text>
        <r>
          <rPr>
            <sz val="8"/>
            <color indexed="81"/>
            <rFont val="Century Gothic"/>
            <family val="2"/>
          </rPr>
          <t>Please enter the date in the format of dd-mmm-yy. E.g.. 01-Jan-10</t>
        </r>
      </text>
    </comment>
    <comment ref="I8" authorId="0">
      <text>
        <r>
          <rPr>
            <sz val="8"/>
            <color indexed="81"/>
            <rFont val="Century Gothic"/>
            <family val="2"/>
          </rPr>
          <t>This is the last name of the service provider providing the shared living services. This can be a sub-contractor</t>
        </r>
      </text>
    </comment>
    <comment ref="J8" authorId="0">
      <text>
        <r>
          <rPr>
            <sz val="8"/>
            <color indexed="81"/>
            <rFont val="Century Gothic"/>
            <family val="2"/>
          </rPr>
          <t>This is the first name of the service provider providing the shared living services. This can be a sub-contractor</t>
        </r>
      </text>
    </comment>
    <comment ref="L8" authorId="1">
      <text>
        <r>
          <rPr>
            <sz val="8"/>
            <color indexed="81"/>
            <rFont val="Century Gothic"/>
            <family val="2"/>
          </rPr>
          <t>If you do not know the Guide to Support Allocation (GSA) level for this individual, choose "</t>
        </r>
        <r>
          <rPr>
            <b/>
            <sz val="8"/>
            <color indexed="81"/>
            <rFont val="Century Gothic"/>
            <family val="2"/>
          </rPr>
          <t>Unknown</t>
        </r>
        <r>
          <rPr>
            <sz val="8"/>
            <color indexed="81"/>
            <rFont val="Century Gothic"/>
            <family val="2"/>
          </rPr>
          <t xml:space="preserve">" from the drop down list. No autocalculated monthly provider amount will populate to the right (in column "monthly provider fees per funding guide").  You will need to enter the amount into the farther override right column ("override of monthly provider fees").
Please note: the GSA level MUST be an actual GSA score, </t>
        </r>
        <r>
          <rPr>
            <b/>
            <sz val="8"/>
            <color indexed="81"/>
            <rFont val="Century Gothic"/>
            <family val="2"/>
          </rPr>
          <t>NOT</t>
        </r>
        <r>
          <rPr>
            <sz val="8"/>
            <color indexed="81"/>
            <rFont val="Century Gothic"/>
            <family val="2"/>
          </rPr>
          <t xml:space="preserve"> an </t>
        </r>
        <r>
          <rPr>
            <b/>
            <sz val="8"/>
            <color indexed="81"/>
            <rFont val="Century Gothic"/>
            <family val="2"/>
          </rPr>
          <t>ESTIMATE</t>
        </r>
        <r>
          <rPr>
            <sz val="8"/>
            <color indexed="81"/>
            <rFont val="Century Gothic"/>
            <family val="2"/>
          </rPr>
          <t>.</t>
        </r>
      </text>
    </comment>
    <comment ref="N8" authorId="1">
      <text>
        <r>
          <rPr>
            <sz val="8"/>
            <color indexed="81"/>
            <rFont val="Century Gothic"/>
            <family val="2"/>
          </rPr>
          <t xml:space="preserve">If you need to provide a monthly provider fee that is different from that calculated to the left in accordance with the Funding Guide (due to grandfathering provisions or other business reasons), please enter the monthly amount you will contract in this column.  
This override column is also used when no GSA level is entered to the left as it is unknown.
</t>
        </r>
        <r>
          <rPr>
            <sz val="8"/>
            <color indexed="81"/>
            <rFont val="Century Gothic"/>
            <family val="2"/>
          </rPr>
          <t xml:space="preserve"> </t>
        </r>
      </text>
    </comment>
    <comment ref="S8" authorId="1">
      <text>
        <r>
          <rPr>
            <sz val="8"/>
            <color indexed="81"/>
            <rFont val="Century Gothic"/>
            <family val="2"/>
          </rPr>
          <t>This column is used to record additional supports not covered elsewhere.  Please Note:  If the GSA level is known, you should go to Page 4 instead to provide additional Respite and Relief, rather than using this column.</t>
        </r>
      </text>
    </comment>
    <comment ref="X8" authorId="1">
      <text>
        <r>
          <rPr>
            <sz val="8"/>
            <color indexed="81"/>
            <rFont val="Century Gothic"/>
            <family val="2"/>
          </rPr>
          <t>SCOPE:  Included here are direct program costs for the manager and the number of individuals.</t>
        </r>
      </text>
    </comment>
    <comment ref="Z8" authorId="1">
      <text>
        <r>
          <rPr>
            <sz val="8"/>
            <color indexed="81"/>
            <rFont val="Century Gothic"/>
            <family val="2"/>
          </rPr>
          <t>Use this field for any additional funding (</t>
        </r>
        <r>
          <rPr>
            <b/>
            <sz val="8"/>
            <color indexed="81"/>
            <rFont val="Century Gothic"/>
            <family val="2"/>
          </rPr>
          <t>shared living services</t>
        </r>
        <r>
          <rPr>
            <sz val="8"/>
            <color indexed="81"/>
            <rFont val="Century Gothic"/>
            <family val="2"/>
          </rPr>
          <t>) required not covered elsewhere, and please ensure you include a comment to the right indicating details.</t>
        </r>
      </text>
    </comment>
    <comment ref="AA8" authorId="1">
      <text>
        <r>
          <rPr>
            <sz val="8"/>
            <color indexed="81"/>
            <rFont val="Century Gothic"/>
            <family val="2"/>
          </rPr>
          <t>Use this field for any additional funding (</t>
        </r>
        <r>
          <rPr>
            <b/>
            <sz val="8"/>
            <color indexed="81"/>
            <rFont val="Century Gothic"/>
            <family val="2"/>
          </rPr>
          <t>coordination</t>
        </r>
        <r>
          <rPr>
            <sz val="8"/>
            <color indexed="81"/>
            <rFont val="Century Gothic"/>
            <family val="2"/>
          </rPr>
          <t xml:space="preserve"> </t>
        </r>
        <r>
          <rPr>
            <b/>
            <sz val="8"/>
            <color indexed="81"/>
            <rFont val="Century Gothic"/>
            <family val="2"/>
          </rPr>
          <t>services</t>
        </r>
        <r>
          <rPr>
            <sz val="8"/>
            <color indexed="81"/>
            <rFont val="Century Gothic"/>
            <family val="2"/>
          </rPr>
          <t>) required not covered elsewhere, and please ensure you include a comment to the right indicating details.</t>
        </r>
      </text>
    </comment>
    <comment ref="AC9" authorId="0">
      <text>
        <r>
          <rPr>
            <sz val="8"/>
            <color indexed="81"/>
            <rFont val="Century Gothic"/>
            <family val="2"/>
          </rPr>
          <t xml:space="preserve">There will be immaterial differences between monthly and annual funding amounts due to the use of 2 decimals (i.e. monthly dollar value * 12 months will not quite equal the annual dollar value).  This is NOT an error.  The monthly dollar values have been made accurate as a sum of detailed calculations.  As a second step, the annual dollar values are an approximation.  </t>
        </r>
      </text>
    </comment>
  </commentList>
</comments>
</file>

<file path=xl/comments4.xml><?xml version="1.0" encoding="utf-8"?>
<comments xmlns="http://schemas.openxmlformats.org/spreadsheetml/2006/main">
  <authors>
    <author>shkumar</author>
    <author>jeshuang</author>
  </authors>
  <commentList>
    <comment ref="E10" authorId="0">
      <text>
        <r>
          <rPr>
            <sz val="8"/>
            <color indexed="81"/>
            <rFont val="Century Gothic"/>
            <family val="2"/>
          </rPr>
          <t>If additional funding is being requested, please enter the number of flags associated with the individual requiring additional supports.  Only those individuals with flags are eligible for additional funding for supports.
Please note:  If you do NOT enter the number of flags (1 to 5), the total dollar amounts to the right will default to ZERO, regardless of any other input your provide (such as number of days of additional respite, or hours per week of relief).</t>
        </r>
      </text>
    </comment>
    <comment ref="F10" authorId="1">
      <text>
        <r>
          <rPr>
            <sz val="8"/>
            <color indexed="81"/>
            <rFont val="Century Gothic"/>
            <family val="2"/>
          </rPr>
          <t xml:space="preserve"> If the GSA level is "unknown", and you require funding for Additional Respite, you cannot do so here, but you may use the "Monthly Other Additional Support" column on Page 3.</t>
        </r>
      </text>
    </comment>
    <comment ref="H10" authorId="1">
      <text>
        <r>
          <rPr>
            <sz val="8"/>
            <color indexed="81"/>
            <rFont val="Century Gothic"/>
            <family val="2"/>
          </rPr>
          <t xml:space="preserve">The Standard Daily Respite Rate will auto-populate based on the GSA level shown on the left. If this is not the Respite Rate you pay, please override. 
</t>
        </r>
        <r>
          <rPr>
            <sz val="9"/>
            <color indexed="81"/>
            <rFont val="Tahoma"/>
            <family val="2"/>
          </rPr>
          <t xml:space="preserve">
</t>
        </r>
      </text>
    </comment>
    <comment ref="K10" authorId="1">
      <text>
        <r>
          <rPr>
            <sz val="8"/>
            <color indexed="81"/>
            <rFont val="Century Gothic"/>
            <family val="2"/>
          </rPr>
          <t xml:space="preserve"> If the GSA level is "unknown", and you require funding for Additional Relief, you cannot do so here, but you may use the "Monthly Other Additional Support" column on Page 3.</t>
        </r>
      </text>
    </comment>
    <comment ref="N10" authorId="0">
      <text>
        <r>
          <rPr>
            <sz val="8"/>
            <color indexed="81"/>
            <rFont val="Century Gothic"/>
            <family val="2"/>
          </rPr>
          <t xml:space="preserve">Please input your "actual" cost of relief - hourly wage plus hourly benefits. </t>
        </r>
      </text>
    </comment>
    <comment ref="Q10" authorId="0">
      <text>
        <r>
          <rPr>
            <sz val="8"/>
            <color indexed="81"/>
            <rFont val="Century Gothic"/>
            <family val="2"/>
          </rPr>
          <t>Please Note:  If there are no flags indicated to the left for an individual, there will be no dollars in this column for that individual regardless of any other data you have entered (e.g. Days of Respite or Hours of Relief).</t>
        </r>
      </text>
    </comment>
    <comment ref="R10" authorId="0">
      <text>
        <r>
          <rPr>
            <sz val="8"/>
            <color indexed="81"/>
            <rFont val="Century Gothic"/>
            <family val="2"/>
          </rPr>
          <t>Please Note:  If there are no flags indicated to the left for an individual, there will be no dollars in this column for that individual regardless of any other data you have entered (e.g. Days of Respite or Hours of Relief).</t>
        </r>
      </text>
    </comment>
    <comment ref="T10" authorId="0">
      <text>
        <r>
          <rPr>
            <sz val="8"/>
            <color indexed="81"/>
            <rFont val="Century Gothic"/>
            <family val="2"/>
          </rPr>
          <t>Please Note:  If there are no flags indicated to the left for an individual, there will be no dollars in this column for that individual regardless of any other data you have entered (e.g. Days of Respite or Hours of Relief).</t>
        </r>
      </text>
    </comment>
  </commentList>
</comments>
</file>

<file path=xl/comments5.xml><?xml version="1.0" encoding="utf-8"?>
<comments xmlns="http://schemas.openxmlformats.org/spreadsheetml/2006/main">
  <authors>
    <author>jeshuang</author>
  </authors>
  <commentList>
    <comment ref="F10" authorId="0">
      <text>
        <r>
          <rPr>
            <sz val="8"/>
            <color indexed="81"/>
            <rFont val="Century Gothic"/>
            <family val="2"/>
          </rPr>
          <t xml:space="preserve">Calculated Manager FTE is based on 1 to 25 ratio
</t>
        </r>
      </text>
    </comment>
    <comment ref="G10" authorId="0">
      <text>
        <r>
          <rPr>
            <b/>
            <sz val="8"/>
            <color indexed="81"/>
            <rFont val="Century Gothic"/>
            <family val="2"/>
          </rPr>
          <t xml:space="preserve">REQUIRED INPUT:
</t>
        </r>
        <r>
          <rPr>
            <sz val="8"/>
            <color indexed="81"/>
            <rFont val="Century Gothic"/>
            <family val="2"/>
          </rPr>
          <t xml:space="preserve">Please enter the Manager FTE you have agreed to with your CLBC rep.  For your reference, the Standard Manager FTE based on the ratio of 1:25 is calculated for you to the left.
Please provide comments below if the Negotiated Manager FTE is different than the Standard Manager FTE.
</t>
        </r>
      </text>
    </comment>
  </commentList>
</comments>
</file>

<file path=xl/comments6.xml><?xml version="1.0" encoding="utf-8"?>
<comments xmlns="http://schemas.openxmlformats.org/spreadsheetml/2006/main">
  <authors>
    <author>jeshuang</author>
  </authors>
  <commentList>
    <comment ref="C114" authorId="0">
      <text>
        <r>
          <rPr>
            <sz val="9"/>
            <color indexed="81"/>
            <rFont val="Tahoma"/>
            <family val="2"/>
          </rPr>
          <t xml:space="preserve">Name C114:C119 </t>
        </r>
        <r>
          <rPr>
            <b/>
            <sz val="9"/>
            <color indexed="81"/>
            <rFont val="Tahoma"/>
            <family val="2"/>
          </rPr>
          <t>GSAFLAG</t>
        </r>
      </text>
    </comment>
  </commentList>
</comments>
</file>

<file path=xl/comments7.xml><?xml version="1.0" encoding="utf-8"?>
<comments xmlns="http://schemas.openxmlformats.org/spreadsheetml/2006/main">
  <authors>
    <author>jeshuang</author>
  </authors>
  <commentList>
    <comment ref="J5" authorId="0">
      <text>
        <r>
          <rPr>
            <b/>
            <sz val="9"/>
            <color indexed="81"/>
            <rFont val="Tahoma"/>
            <family val="2"/>
          </rPr>
          <t>jeshuang:</t>
        </r>
        <r>
          <rPr>
            <sz val="9"/>
            <color indexed="81"/>
            <rFont val="Tahoma"/>
            <family val="2"/>
          </rPr>
          <t xml:space="preserve">
need to change formula to calculate by Monthly X Service duriation</t>
        </r>
      </text>
    </comment>
  </commentList>
</comments>
</file>

<file path=xl/sharedStrings.xml><?xml version="1.0" encoding="utf-8"?>
<sst xmlns="http://schemas.openxmlformats.org/spreadsheetml/2006/main" count="461" uniqueCount="307">
  <si>
    <t>Monthly</t>
  </si>
  <si>
    <t>Annual</t>
  </si>
  <si>
    <t>%</t>
  </si>
  <si>
    <t>FTE</t>
  </si>
  <si>
    <t>Program Name:</t>
  </si>
  <si>
    <t>Existing Contract #:</t>
  </si>
  <si>
    <t>1.</t>
  </si>
  <si>
    <t>2.</t>
  </si>
  <si>
    <t>3.</t>
  </si>
  <si>
    <t>Click on the tabs at the bottom of this window to move between the worksheets.</t>
  </si>
  <si>
    <t>4.</t>
  </si>
  <si>
    <t>5.</t>
  </si>
  <si>
    <t>6.</t>
  </si>
  <si>
    <t>Date of Submission:</t>
  </si>
  <si>
    <t>FTE Hours/Week:</t>
  </si>
  <si>
    <t>#</t>
  </si>
  <si>
    <t>Additional Comments:</t>
  </si>
  <si>
    <t>Direct Program Costs</t>
  </si>
  <si>
    <t xml:space="preserve">Administration </t>
  </si>
  <si>
    <t>% of Total Cost</t>
  </si>
  <si>
    <t>Line</t>
  </si>
  <si>
    <t>Subtotal Wages &amp; Benefits</t>
  </si>
  <si>
    <t>Hints:</t>
  </si>
  <si>
    <t>Costs</t>
  </si>
  <si>
    <t>Wages and Benefits</t>
  </si>
  <si>
    <t>7.</t>
  </si>
  <si>
    <t>Administration</t>
  </si>
  <si>
    <t>MPP</t>
  </si>
  <si>
    <t>Direct Program Cost</t>
  </si>
  <si>
    <t>Rate Table</t>
  </si>
  <si>
    <t>Level</t>
  </si>
  <si>
    <t>Under 65</t>
  </si>
  <si>
    <t>Over 65</t>
  </si>
  <si>
    <t>5A</t>
  </si>
  <si>
    <t>5B</t>
  </si>
  <si>
    <t>5C</t>
  </si>
  <si>
    <t>5D</t>
  </si>
  <si>
    <t>Wages</t>
  </si>
  <si>
    <t>Max</t>
  </si>
  <si>
    <t>Hourly Rate</t>
  </si>
  <si>
    <t>MPP Contribution %:</t>
  </si>
  <si>
    <t>MPP Participation %:</t>
  </si>
  <si>
    <t>LTD</t>
  </si>
  <si>
    <t>CPP, EI, WorkSafe BC</t>
  </si>
  <si>
    <t>EHC, dental, MSP, Life, AD&amp;D</t>
  </si>
  <si>
    <t>MPP %:</t>
  </si>
  <si>
    <t>Administration - Regular</t>
  </si>
  <si>
    <t>LTD %:</t>
  </si>
  <si>
    <t>Min</t>
  </si>
  <si>
    <t>These rates may be obtained from your HR department. If you do not provide the associated benefit, please leave it blank or enter zero.</t>
  </si>
  <si>
    <t>Fixed or Max</t>
  </si>
  <si>
    <t>Fixed</t>
  </si>
  <si>
    <t>Benefits Details - For Information Only:</t>
  </si>
  <si>
    <t>multiple</t>
  </si>
  <si>
    <t>CPP, EI, Worksafe BC:</t>
  </si>
  <si>
    <t>LTD:</t>
  </si>
  <si>
    <t>Total</t>
  </si>
  <si>
    <t>pre-set</t>
  </si>
  <si>
    <t>sum</t>
  </si>
  <si>
    <t>Age</t>
  </si>
  <si>
    <t>Monthly Funding</t>
  </si>
  <si>
    <t>Level + Age</t>
  </si>
  <si>
    <t>Standard Contractor Funding Table</t>
  </si>
  <si>
    <t>Please enter information for individuals served under this contract</t>
  </si>
  <si>
    <t>Line #</t>
  </si>
  <si>
    <t>GSA Level</t>
  </si>
  <si>
    <t>Additional Comments:  Individuals Served List</t>
  </si>
  <si>
    <t>Manager Wage and Benefit Calculation</t>
  </si>
  <si>
    <t>Weekly Hours</t>
  </si>
  <si>
    <t>Standard Contractor Funding Guide</t>
  </si>
  <si>
    <t>Manager Wages</t>
  </si>
  <si>
    <t>Individual Served</t>
  </si>
  <si>
    <t>Weekly Hours - Manager</t>
  </si>
  <si>
    <t>Program Cost - Manager</t>
  </si>
  <si>
    <t>Program Cost - Individual Served</t>
  </si>
  <si>
    <t>$ per person per YEAR</t>
  </si>
  <si>
    <t>Manager FTE</t>
  </si>
  <si>
    <t>Total Admin Costs</t>
  </si>
  <si>
    <t>Total Funding Requested from CLBC</t>
  </si>
  <si>
    <t>Administration - Fixed Additional</t>
  </si>
  <si>
    <t>Max / Fixed</t>
  </si>
  <si>
    <t>RRSP</t>
  </si>
  <si>
    <t>Basic Benefits for Manager</t>
  </si>
  <si>
    <t>Basic Benefits</t>
  </si>
  <si>
    <t>Manager Basic Benefits</t>
  </si>
  <si>
    <t>Manager MPP/RRSP/LTD</t>
  </si>
  <si>
    <t>Microboard Society:</t>
  </si>
  <si>
    <t>No</t>
  </si>
  <si>
    <t>Microboard Society</t>
  </si>
  <si>
    <t>Administration - Microboard</t>
  </si>
  <si>
    <t>Instructions to Service Provider:</t>
  </si>
  <si>
    <t>Please ensure you have opened this file, and in the "Security Warning" tab above (below the MS 2007 Ribbon) that you select "Options" and then select "Enable this Content" under the Macros settings.  This must be done for the printing macros to become functional.</t>
  </si>
  <si>
    <t>This funding template contains several worksheets as follows:</t>
  </si>
  <si>
    <t>Once you have completed the template, please resave it to your network or hard drive as an "Excel Macro-Enabled Workbook" in the following name format:  Service Provider Name_Location of Service Name_Funding Template_Current Date.xlsm</t>
  </si>
  <si>
    <t>For example, ABC Society_ABC Location Name_Funding Template_30May10.xlsm</t>
  </si>
  <si>
    <t xml:space="preserve">Input your data only into yellow highlighted columns on all sheets. Other cells contain formulas.  </t>
  </si>
  <si>
    <t>Place cursor over red triangles to read informational notes that will help you fill that area.</t>
  </si>
  <si>
    <t>Space for additional comments has been provided on each worksheet should you wish to explain anything.</t>
  </si>
  <si>
    <t>If you require any assistance with the worksheet, please contact the CLBC Analyst at your local CLBC Quality Service office.</t>
  </si>
  <si>
    <t>2</t>
  </si>
  <si>
    <t>3</t>
  </si>
  <si>
    <t>Organisation Name:</t>
  </si>
  <si>
    <t>OCG Number:</t>
  </si>
  <si>
    <t>The following data is used to compute values throughout this Excel Workbook.  This page is locked down and values cannot be changed.  If you believe there are errors in this table, please contact Business Planning at CLBC Headquarters.  Thank you.</t>
  </si>
  <si>
    <t>Direct Program Costs - Manager</t>
  </si>
  <si>
    <t>Direct Program Costs - Individual Served</t>
  </si>
  <si>
    <t>Subtotal Direct Program Costs</t>
  </si>
  <si>
    <t>Total Labour and Direct Program Costs</t>
  </si>
  <si>
    <t>Address</t>
  </si>
  <si>
    <t>City</t>
  </si>
  <si>
    <t>Postal Code</t>
  </si>
  <si>
    <t>Standard Contract Funding</t>
  </si>
  <si>
    <t>based on 1: 25 ratio</t>
  </si>
  <si>
    <t>Per Year per individual</t>
  </si>
  <si>
    <t>1 FTE hours</t>
  </si>
  <si>
    <t>Last Name</t>
  </si>
  <si>
    <t>First Name</t>
  </si>
  <si>
    <t>Date of Birth</t>
  </si>
  <si>
    <t>Administration % (Non-Microboard):</t>
  </si>
  <si>
    <t>$ per Manager per YEAR</t>
  </si>
  <si>
    <t>FTE Hours per Week (per your input on Page 1)</t>
  </si>
  <si>
    <t>Manager Hours per Week</t>
  </si>
  <si>
    <t xml:space="preserve">Comments: </t>
  </si>
  <si>
    <t>Monthly Cost</t>
  </si>
  <si>
    <t>Annual Cost</t>
  </si>
  <si>
    <t>Benefit %</t>
  </si>
  <si>
    <t>Hours /Week</t>
  </si>
  <si>
    <t>per page 1</t>
  </si>
  <si>
    <t>Manger FTE ROUND UP</t>
  </si>
  <si>
    <r>
      <t>Per Year per</t>
    </r>
    <r>
      <rPr>
        <b/>
        <sz val="8"/>
        <rFont val="Century Gothic"/>
        <family val="2"/>
      </rPr>
      <t xml:space="preserve"> manager</t>
    </r>
  </si>
  <si>
    <t>Manager FTE ROUND UP</t>
  </si>
  <si>
    <t>Service Line</t>
  </si>
  <si>
    <t>Name of Individual</t>
  </si>
  <si>
    <t>F</t>
  </si>
  <si>
    <t>Hours</t>
  </si>
  <si>
    <t>Final File Copy Reviewed by CLBC Rep. Initial above</t>
  </si>
  <si>
    <t>Date Reviewed</t>
  </si>
  <si>
    <t>For CLBC Use ONLY</t>
  </si>
  <si>
    <t>Service Effective Date</t>
  </si>
  <si>
    <t>Service End Date</t>
  </si>
  <si>
    <t>Service Line Code</t>
  </si>
  <si>
    <t>Fixed Monthly Amount</t>
  </si>
  <si>
    <t>Days</t>
  </si>
  <si>
    <t>Service Level - Year 1</t>
  </si>
  <si>
    <t>Service Level - Year 2</t>
  </si>
  <si>
    <t>Program Type:</t>
  </si>
  <si>
    <t>Contract Term Start Date:</t>
  </si>
  <si>
    <t>Contract Term End Date:</t>
  </si>
  <si>
    <t>Please fill in the following information regarding this Contract/Modification:</t>
  </si>
  <si>
    <t>Total Standard Contract Funding</t>
  </si>
  <si>
    <t>Payment Table</t>
  </si>
  <si>
    <t>Pmt Line</t>
  </si>
  <si>
    <t>Pmt Type</t>
  </si>
  <si>
    <t>OTO</t>
  </si>
  <si>
    <t>N</t>
  </si>
  <si>
    <t>Variable Amount</t>
  </si>
  <si>
    <t>Lump Sum</t>
  </si>
  <si>
    <t>Pmt Line Total</t>
  </si>
  <si>
    <t>HST</t>
  </si>
  <si>
    <t>Year 2 Service Level</t>
  </si>
  <si>
    <t>Maximum Funding</t>
  </si>
  <si>
    <t>Modification Start Date:</t>
  </si>
  <si>
    <t>Modification End Date:</t>
  </si>
  <si>
    <t>Age of Individual (Under 65, Over 65)</t>
  </si>
  <si>
    <t>Number of weeks:</t>
  </si>
  <si>
    <t>52.25 is based on the following logic:  7 days per week x 52 weeks = 364.  One day is missing each year, and every four years (leap year) there is one extra day.  Leap year / 4 yrs = .25 day per year.  1 missing + .25 leap = 1.25 days per year.  1.25 days divided by 5 working days per week = .25 week to be added to 52 weeks = 52.25 weeks.</t>
  </si>
  <si>
    <t>Year 1 service Level</t>
  </si>
  <si>
    <t>Additional Funding</t>
  </si>
  <si>
    <t>Flag</t>
  </si>
  <si>
    <t>Max Funding</t>
  </si>
  <si>
    <t>Daily Respite Rate</t>
  </si>
  <si>
    <t># of Flags</t>
  </si>
  <si>
    <t>Additional Respite</t>
  </si>
  <si>
    <t>Additional Funding - Relief</t>
  </si>
  <si>
    <t>Wages &amp; Basic Benefit</t>
  </si>
  <si>
    <t>Based on CSSEA Grid 8 + 8.4% basic benefit. No backfill, no additional benefits</t>
  </si>
  <si>
    <t>Additional Relief</t>
  </si>
  <si>
    <t>Hours per week</t>
  </si>
  <si>
    <t>Add. Respite $ / Month</t>
  </si>
  <si>
    <t>Add. Relief $ / Month</t>
  </si>
  <si>
    <t>Add. Respite $ / Year</t>
  </si>
  <si>
    <t>Add. Relief $ / Year</t>
  </si>
  <si>
    <t>Additional Funding Monthly</t>
  </si>
  <si>
    <t>Additional Funding Annual</t>
  </si>
  <si>
    <t>60201A</t>
  </si>
  <si>
    <t>60201B</t>
  </si>
  <si>
    <t>Note:</t>
  </si>
  <si>
    <t>60201A = Additional Respite, Service Level in Days</t>
  </si>
  <si>
    <t>60201B = Additional Relief, Service Level in Hours</t>
  </si>
  <si>
    <t>Enter common administration costs as a percentage.  Administration is applied against Manager Wages &amp; Benefits and Direct Program costs.</t>
  </si>
  <si>
    <t>Reasonable Proxy</t>
  </si>
  <si>
    <t>Manager Wage Rate</t>
  </si>
  <si>
    <t>Days per Month</t>
  </si>
  <si>
    <t>Days per Year</t>
  </si>
  <si>
    <t>na</t>
  </si>
  <si>
    <t>Hours per month</t>
  </si>
  <si>
    <t>Hours per year</t>
  </si>
  <si>
    <t>W&amp;B per hour</t>
  </si>
  <si>
    <t>Maximum Funding Monthly</t>
  </si>
  <si>
    <t>Please provide comments for any "other" lines used by overwriting in this cell.</t>
  </si>
  <si>
    <t>Labour and Direct Program Costs</t>
  </si>
  <si>
    <t>Please fill in the following information if you are requesting for additional funding for individuals with flags:</t>
  </si>
  <si>
    <t>Annual      Provider Fees</t>
  </si>
  <si>
    <t>Monthly Provider Fees per Funding Guide</t>
  </si>
  <si>
    <t>Monthly Provider Fees Contracted</t>
  </si>
  <si>
    <t>CLBC provides funding for a position of manager at a fixed rate of $28.50 per hour plus benefits.  We provide funding for one full-time manager for every 25 individuals served as the default standard.  The total manager funding depends on (a) the number of individuals served and (b) the number of hours worked each week.  Please include your calculations below.</t>
  </si>
  <si>
    <t>You MUST enter the date in the format of dd-mmm-yy. e.g. 01-Jan-10</t>
  </si>
  <si>
    <t>Overall Total Funding for Ind. Served from above data</t>
  </si>
  <si>
    <t>Overall Total Funding for Ind. Served from below data</t>
  </si>
  <si>
    <t>Overall Total Additional Funding for Ind. Served from below data</t>
  </si>
  <si>
    <t>Overall Total Additional Funding for Ind. Served from above data</t>
  </si>
  <si>
    <t>4</t>
  </si>
  <si>
    <t>GSA Level + # of Flags</t>
  </si>
  <si>
    <t>Additional Respite Max Days per Month</t>
  </si>
  <si>
    <t>Additional Relief Max Hours per Week</t>
  </si>
  <si>
    <t>Max funding</t>
  </si>
  <si>
    <t>EHC, Dental, MSP, Life, AD&amp;D:</t>
  </si>
  <si>
    <t>Respite Days per Month (Max)</t>
  </si>
  <si>
    <t>Relief Hours Per Week (Max)</t>
  </si>
  <si>
    <t>Concatenate - GSA Level "and" # of Flags</t>
  </si>
  <si>
    <t>Administration - based on No of Individuals</t>
  </si>
  <si>
    <r>
      <rPr>
        <i/>
        <sz val="10"/>
        <rFont val="Calibri"/>
        <family val="2"/>
        <scheme val="minor"/>
      </rPr>
      <t>Negotiated</t>
    </r>
    <r>
      <rPr>
        <sz val="10"/>
        <rFont val="Calibri"/>
        <family val="2"/>
        <scheme val="minor"/>
      </rPr>
      <t xml:space="preserve"> Manager FTE</t>
    </r>
  </si>
  <si>
    <t>Unknown</t>
  </si>
  <si>
    <t>MPP/RRSP/LTD</t>
  </si>
  <si>
    <t>RRSP %:</t>
  </si>
  <si>
    <r>
      <t xml:space="preserve">Standard </t>
    </r>
    <r>
      <rPr>
        <sz val="10"/>
        <rFont val="Calibri"/>
        <family val="2"/>
        <scheme val="minor"/>
      </rPr>
      <t>Manager FTE</t>
    </r>
  </si>
  <si>
    <t>Max No. Of Flags</t>
  </si>
  <si>
    <t>Funding Currently Received from CLBC</t>
  </si>
  <si>
    <t>Funding Increase Required (Savings Potential / Proposed)</t>
  </si>
  <si>
    <t>Please fill in the following information regarding your Organisation:</t>
  </si>
  <si>
    <r>
      <t xml:space="preserve">The following data is required for your organisation, please fill in the following information as a </t>
    </r>
    <r>
      <rPr>
        <b/>
        <u/>
        <sz val="11"/>
        <rFont val="Calibri"/>
        <family val="2"/>
        <scheme val="minor"/>
      </rPr>
      <t>%.</t>
    </r>
  </si>
  <si>
    <t>MPP/ RRSP/LTD %</t>
  </si>
  <si>
    <t>FUTURE PAGE -  CLBC REP: DO NOT USE</t>
  </si>
  <si>
    <t>Page 2 - Summary</t>
  </si>
  <si>
    <t>Page 4 - Supports to Shared Living</t>
  </si>
  <si>
    <t>Page 3 - Individuals Served List</t>
  </si>
  <si>
    <t>Page 1 - Organisation Information</t>
  </si>
  <si>
    <t>Page 5 - Coordination</t>
  </si>
  <si>
    <t>1</t>
  </si>
  <si>
    <t>If Negotiated Manager FTE is different than the Standard Manager FTE, please provide comment as to why a different Manager ratio is decided on Page 5 per your discussion with your CLBC Senior Contract Coordinator (SCC).</t>
  </si>
  <si>
    <t>Funding Template - Shared Living</t>
  </si>
  <si>
    <t>No. of Individuals in Shared Living:</t>
  </si>
  <si>
    <t>Shared Living Provider Fee</t>
  </si>
  <si>
    <t>Supports to Shared Living</t>
  </si>
  <si>
    <t>Total Supports to Shared Living Funding</t>
  </si>
  <si>
    <t>Total Funding to the Shared Living Provider</t>
  </si>
  <si>
    <t>Last Name of Shared Living Provider</t>
  </si>
  <si>
    <t>First Name of Shared Living Provider</t>
  </si>
  <si>
    <t>Name of Shared Living Provider</t>
  </si>
  <si>
    <t>Page 5 - You MUST manually input the Manager FTE.  [For your benefit, the template automatically calculates Standard manager FTE based on the 1:25 ratio as a comparison, however, you MUST input the Manager FTE manually even if it is the same as the "Standard"].</t>
  </si>
  <si>
    <r>
      <t xml:space="preserve">Please provide comments below if Negotiated Manager FTE is </t>
    </r>
    <r>
      <rPr>
        <b/>
        <u/>
        <sz val="10"/>
        <rFont val="Calibri"/>
        <family val="2"/>
        <scheme val="minor"/>
      </rPr>
      <t>different</t>
    </r>
    <r>
      <rPr>
        <sz val="10"/>
        <rFont val="Calibri"/>
        <family val="2"/>
        <scheme val="minor"/>
      </rPr>
      <t xml:space="preserve"> from Standard Manager FTE</t>
    </r>
  </si>
  <si>
    <t>Ref # for GSA level</t>
  </si>
  <si>
    <t>unknown</t>
  </si>
  <si>
    <t>GSA Ref #</t>
  </si>
  <si>
    <t># of Flags Dropdown list for each GSA level</t>
  </si>
  <si>
    <t xml:space="preserve">Service Level Days </t>
  </si>
  <si>
    <t>Change to Total Service Level Days rather than Annual, should i split into 2 years?</t>
  </si>
  <si>
    <t>Page 6</t>
  </si>
  <si>
    <t>Note to JH: need to add up 60201 A&amp;B on final payment table. Richard don't want to see 2 lines</t>
  </si>
  <si>
    <t>Service Method</t>
  </si>
  <si>
    <t>Monthly Manager W&amp;B Cost</t>
  </si>
  <si>
    <t>Monthly Administration Cost</t>
  </si>
  <si>
    <t>TOTAL</t>
  </si>
  <si>
    <t>Shared Living Provider</t>
  </si>
  <si>
    <t>Additional Support Funding</t>
  </si>
  <si>
    <t>Total Monthly Funding</t>
  </si>
  <si>
    <t>Total Annual Funding</t>
  </si>
  <si>
    <t>Monthly Direct Program Cost</t>
  </si>
  <si>
    <r>
      <t>REMINDER:</t>
    </r>
    <r>
      <rPr>
        <b/>
        <i/>
        <sz val="13"/>
        <rFont val="Calibri"/>
        <family val="2"/>
        <scheme val="minor"/>
      </rPr>
      <t xml:space="preserve"> Please DO NOT "cut and paste" as this will cause cell referencing issue. Use "copy and paste" instead.</t>
    </r>
  </si>
  <si>
    <t>Service Provider (Agency)</t>
  </si>
  <si>
    <t>Total Funding to the Service Provider (Agency)</t>
  </si>
  <si>
    <t>Other</t>
  </si>
  <si>
    <t>Monthly Other Additional Supports</t>
  </si>
  <si>
    <t>Annual Other Additional Supports</t>
  </si>
  <si>
    <t>Date first admitted into residence (DD-MMM-YY)</t>
  </si>
  <si>
    <t>Service Provider Input pages - Pages 1, 3, 4 (if applicable), and 5 require your input for various data including your organisation details / demographics, individuals served details, supports to shared living, and coordination (manager schedule).  Please fill in all "yellow" cells as applicable to your organisation.</t>
  </si>
  <si>
    <t xml:space="preserve">Page 2 summarizes all costs from Pages 1 to 5 (as described below) and auto-calculates the direct program cost and admin cost. </t>
  </si>
  <si>
    <t>Complete pages 1, 3, 4 (if applicable), 5 and 2 in this order.</t>
  </si>
  <si>
    <t>Respite &amp; Relief - Annual (from Page 4)</t>
  </si>
  <si>
    <t>Monthly Override of Provider Fees (if applicable)</t>
  </si>
  <si>
    <t>Monthly Respite &amp; Relief - (from Page 4)</t>
  </si>
  <si>
    <t>TOTAL Monthly Funding To Shared Living Provider</t>
  </si>
  <si>
    <t>TOTAL Annual Funding to Shared Living Provider</t>
  </si>
  <si>
    <t>TOTAL Monthly Funding to Service Provider</t>
  </si>
  <si>
    <t>TOTAL Annual Funding to Service Provider</t>
  </si>
  <si>
    <t># of Individual Served (per your input on Page 3)</t>
  </si>
  <si>
    <t>Last Updated: Jan 6, 2011</t>
  </si>
  <si>
    <t>admin</t>
  </si>
  <si>
    <t>Home Sharing</t>
  </si>
  <si>
    <t>combination</t>
  </si>
  <si>
    <t>60201 - Supports to Shared Living</t>
  </si>
  <si>
    <t>69101 - Shared Living Coordination</t>
  </si>
  <si>
    <t xml:space="preserve">MONTHLY TOTAL per Service Line </t>
  </si>
  <si>
    <t>For CLBC Internal Reference</t>
  </si>
  <si>
    <t>Agency Coordinated</t>
  </si>
  <si>
    <t>Daily Respite Rate (Standard)</t>
  </si>
  <si>
    <t>Funding Template Version of V3Feb11</t>
  </si>
  <si>
    <t>Monthly Other (SL) Cost</t>
  </si>
  <si>
    <t>Other - Shared Living Services</t>
  </si>
  <si>
    <t>Monthly Other (Coordination) Cost</t>
  </si>
  <si>
    <t>Other - Coordination Services</t>
  </si>
  <si>
    <t>Burnaby Associotion for Community Inclusion</t>
  </si>
  <si>
    <t>FYI- Adjust Coord - deleted $175 if in existing contract</t>
  </si>
  <si>
    <t>aasdfawef</t>
  </si>
  <si>
    <t>asdfasdf</t>
  </si>
  <si>
    <t>asdf</t>
  </si>
  <si>
    <t>kjh;kjhlkjh</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</si>
</sst>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4" formatCode="_-&quot;$&quot;* #,##0.00_-;\-&quot;$&quot;* #,##0.00_-;_-&quot;$&quot;* &quot;-&quot;??_-;_-@_-"/>
    <numFmt numFmtId="43" formatCode="_-* #,##0.00_-;\-* #,##0.00_-;_-* &quot;-&quot;??_-;_-@_-"/>
    <numFmt numFmtId="164" formatCode="&quot;$&quot;#,##0.00_);[Red]\(&quot;$&quot;#,##0.00\)"/>
    <numFmt numFmtId="165" formatCode="_(&quot;$&quot;* #,##0.00_);_(&quot;$&quot;* \(#,##0.00\);_(&quot;$&quot;* &quot;-&quot;??_);_(@_)"/>
    <numFmt numFmtId="166" formatCode="_(* #,##0.00_);_(* \(#,##0.00\);_(* &quot;-&quot;??_);_(@_)"/>
    <numFmt numFmtId="167" formatCode="_(&quot;$&quot;* #,##0_);_(&quot;$&quot;* \(#,##0\);_(&quot;$&quot;* &quot;-&quot;??_);_(@_)"/>
    <numFmt numFmtId="168" formatCode="0.0%"/>
    <numFmt numFmtId="169" formatCode="_(* #,##0_);_(* \(#,##0\);_(* &quot;-&quot;??_);_(@_)"/>
    <numFmt numFmtId="170" formatCode="&quot;$&quot;#,##0.00"/>
    <numFmt numFmtId="171" formatCode="[$-1009]d/mmm/yy;@"/>
    <numFmt numFmtId="172" formatCode="&quot;@&quot;#&quot;@&quot;#&quot;@&quot;#"/>
  </numFmts>
  <fonts count="55" x14ac:knownFonts="1">
    <font>
      <sz val="10"/>
      <name val="Arial"/>
    </font>
    <font>
      <sz val="10"/>
      <name val="Arial"/>
      <family val="2"/>
    </font>
    <font>
      <sz val="8"/>
      <color indexed="81"/>
      <name val="Tahoma"/>
      <family val="2"/>
    </font>
    <font>
      <b/>
      <i/>
      <sz val="10"/>
      <name val="Century Gothic"/>
      <family val="2"/>
    </font>
    <font>
      <sz val="10"/>
      <name val="Century Gothic"/>
      <family val="2"/>
    </font>
    <font>
      <b/>
      <sz val="10"/>
      <name val="Century Gothic"/>
      <family val="2"/>
    </font>
    <font>
      <b/>
      <sz val="12"/>
      <name val="Century Gothic"/>
      <family val="2"/>
    </font>
    <font>
      <sz val="8"/>
      <name val="Arial"/>
      <family val="2"/>
    </font>
    <font>
      <sz val="8"/>
      <name val="Century Gothic"/>
      <family val="2"/>
    </font>
    <font>
      <sz val="8"/>
      <color indexed="81"/>
      <name val="Century Gothic"/>
      <family val="2"/>
    </font>
    <font>
      <b/>
      <sz val="8"/>
      <name val="Century Gothic"/>
      <family val="2"/>
    </font>
    <font>
      <sz val="10"/>
      <name val="Arial"/>
      <family val="2"/>
    </font>
    <font>
      <b/>
      <sz val="10"/>
      <name val="Arial"/>
      <family val="2"/>
    </font>
    <font>
      <b/>
      <sz val="14"/>
      <name val="Arial"/>
      <family val="2"/>
    </font>
    <font>
      <b/>
      <sz val="12"/>
      <name val="Arial"/>
      <family val="2"/>
    </font>
    <font>
      <b/>
      <sz val="9"/>
      <name val="Century Gothic"/>
      <family val="2"/>
    </font>
    <font>
      <sz val="12"/>
      <name val="Arial"/>
      <family val="2"/>
    </font>
    <font>
      <b/>
      <sz val="10"/>
      <color rgb="FFFF0000"/>
      <name val="Century Gothic"/>
      <family val="2"/>
    </font>
    <font>
      <b/>
      <sz val="10"/>
      <name val="Calibri"/>
      <family val="2"/>
      <scheme val="minor"/>
    </font>
    <font>
      <sz val="10"/>
      <name val="Calibri"/>
      <family val="2"/>
      <scheme val="minor"/>
    </font>
    <font>
      <b/>
      <sz val="10"/>
      <color indexed="14"/>
      <name val="Calibri"/>
      <family val="2"/>
      <scheme val="minor"/>
    </font>
    <font>
      <b/>
      <sz val="11"/>
      <name val="Calibri"/>
      <family val="2"/>
      <scheme val="minor"/>
    </font>
    <font>
      <b/>
      <u/>
      <sz val="11"/>
      <name val="Calibri"/>
      <family val="2"/>
      <scheme val="minor"/>
    </font>
    <font>
      <b/>
      <u/>
      <sz val="13"/>
      <name val="Calibri"/>
      <family val="2"/>
      <scheme val="minor"/>
    </font>
    <font>
      <sz val="16"/>
      <name val="Aharoni"/>
      <charset val="177"/>
    </font>
    <font>
      <b/>
      <sz val="12"/>
      <color rgb="FFFF0000"/>
      <name val="Century Gothic"/>
      <family val="2"/>
    </font>
    <font>
      <b/>
      <i/>
      <sz val="10"/>
      <name val="Calibri"/>
      <family val="2"/>
      <scheme val="minor"/>
    </font>
    <font>
      <b/>
      <sz val="13"/>
      <name val="Cambria"/>
      <family val="1"/>
      <scheme val="major"/>
    </font>
    <font>
      <b/>
      <u/>
      <sz val="12"/>
      <color indexed="8"/>
      <name val="Century Gothic"/>
      <family val="2"/>
    </font>
    <font>
      <b/>
      <u/>
      <sz val="10"/>
      <name val="Calibri"/>
      <family val="2"/>
      <scheme val="minor"/>
    </font>
    <font>
      <sz val="7"/>
      <name val="Century Gothic"/>
      <family val="2"/>
    </font>
    <font>
      <sz val="11"/>
      <name val="Calibri"/>
      <family val="2"/>
      <scheme val="minor"/>
    </font>
    <font>
      <sz val="9"/>
      <color indexed="81"/>
      <name val="Tahoma"/>
      <family val="2"/>
    </font>
    <font>
      <b/>
      <sz val="9"/>
      <color indexed="81"/>
      <name val="Tahoma"/>
      <family val="2"/>
    </font>
    <font>
      <sz val="9"/>
      <name val="Calibri"/>
      <family val="2"/>
      <scheme val="minor"/>
    </font>
    <font>
      <b/>
      <i/>
      <sz val="12"/>
      <name val="Century Gothic"/>
      <family val="2"/>
    </font>
    <font>
      <b/>
      <sz val="9.5"/>
      <color rgb="FF00B0F0"/>
      <name val="Arial"/>
      <family val="2"/>
    </font>
    <font>
      <i/>
      <sz val="10"/>
      <name val="Calibri"/>
      <family val="2"/>
      <scheme val="minor"/>
    </font>
    <font>
      <b/>
      <sz val="10"/>
      <color rgb="FFFF0000"/>
      <name val="Calibri"/>
      <family val="2"/>
      <scheme val="minor"/>
    </font>
    <font>
      <sz val="12"/>
      <name val="Calibri"/>
      <family val="2"/>
      <scheme val="minor"/>
    </font>
    <font>
      <b/>
      <sz val="12"/>
      <name val="Calibri"/>
      <family val="2"/>
      <scheme val="minor"/>
    </font>
    <font>
      <b/>
      <sz val="9"/>
      <color rgb="FFC00000"/>
      <name val="Cambria"/>
      <family val="1"/>
      <scheme val="major"/>
    </font>
    <font>
      <b/>
      <sz val="16"/>
      <name val="Century Gothic"/>
      <family val="2"/>
    </font>
    <font>
      <b/>
      <sz val="13"/>
      <name val="Calibri"/>
      <family val="2"/>
      <scheme val="minor"/>
    </font>
    <font>
      <b/>
      <sz val="8"/>
      <color indexed="81"/>
      <name val="Century Gothic"/>
      <family val="2"/>
    </font>
    <font>
      <b/>
      <sz val="11"/>
      <color rgb="FFFF0000"/>
      <name val="Calibri"/>
      <family val="2"/>
      <scheme val="minor"/>
    </font>
    <font>
      <sz val="9"/>
      <name val="Arial"/>
      <family val="2"/>
    </font>
    <font>
      <b/>
      <sz val="14"/>
      <color rgb="FFFF0000"/>
      <name val="Century Gothic"/>
      <family val="2"/>
    </font>
    <font>
      <b/>
      <sz val="10"/>
      <color rgb="FFFF0000"/>
      <name val="Arial"/>
      <family val="2"/>
    </font>
    <font>
      <b/>
      <i/>
      <u/>
      <sz val="13"/>
      <name val="Calibri"/>
      <family val="2"/>
      <scheme val="minor"/>
    </font>
    <font>
      <b/>
      <i/>
      <sz val="13"/>
      <name val="Calibri"/>
      <family val="2"/>
      <scheme val="minor"/>
    </font>
    <font>
      <b/>
      <sz val="10"/>
      <color theme="6" tint="-0.499984740745262"/>
      <name val="Calibri"/>
      <family val="2"/>
      <scheme val="minor"/>
    </font>
    <font>
      <b/>
      <sz val="8"/>
      <color theme="6" tint="-0.499984740745262"/>
      <name val="Cambria"/>
      <family val="1"/>
      <scheme val="major"/>
    </font>
    <font>
      <b/>
      <sz val="8"/>
      <color theme="6" tint="-0.499984740745262"/>
      <name val="Calibri"/>
      <family val="2"/>
      <scheme val="minor"/>
    </font>
    <font>
      <sz val="10"/>
      <name val="Arial"/>
      <family val="2"/>
    </font>
  </fonts>
  <fills count="13">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C5"/>
        <bgColor indexed="64"/>
      </patternFill>
    </fill>
    <fill>
      <patternFill patternType="solid">
        <fgColor rgb="FFFFC000"/>
        <bgColor indexed="64"/>
      </patternFill>
    </fill>
    <fill>
      <patternFill patternType="solid">
        <fgColor rgb="FFCCECFF"/>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3" tint="0.39997558519241921"/>
        <bgColor indexed="64"/>
      </patternFill>
    </fill>
  </fills>
  <borders count="5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medium">
        <color auto="1"/>
      </bottom>
      <diagonal/>
    </border>
    <border>
      <left style="thick">
        <color auto="1"/>
      </left>
      <right/>
      <top/>
      <bottom style="thick">
        <color auto="1"/>
      </bottom>
      <diagonal/>
    </border>
    <border>
      <left style="thick">
        <color auto="1"/>
      </left>
      <right/>
      <top/>
      <bottom style="thin">
        <color auto="1"/>
      </bottom>
      <diagonal/>
    </border>
    <border>
      <left style="thick">
        <color auto="1"/>
      </left>
      <right/>
      <top style="thin">
        <color auto="1"/>
      </top>
      <bottom style="thin">
        <color auto="1"/>
      </bottom>
      <diagonal/>
    </border>
    <border>
      <left/>
      <right style="thick">
        <color auto="1"/>
      </right>
      <top/>
      <bottom style="thick">
        <color auto="1"/>
      </bottom>
      <diagonal/>
    </border>
    <border>
      <left/>
      <right style="thick">
        <color auto="1"/>
      </right>
      <top/>
      <bottom style="thin">
        <color auto="1"/>
      </bottom>
      <diagonal/>
    </border>
    <border>
      <left/>
      <right style="thick">
        <color auto="1"/>
      </right>
      <top style="thin">
        <color auto="1"/>
      </top>
      <bottom style="thin">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right/>
      <top style="thick">
        <color auto="1"/>
      </top>
      <bottom style="thin">
        <color auto="1"/>
      </bottom>
      <diagonal/>
    </border>
    <border>
      <left/>
      <right style="thick">
        <color auto="1"/>
      </right>
      <top style="thin">
        <color auto="1"/>
      </top>
      <bottom/>
      <diagonal/>
    </border>
    <border>
      <left/>
      <right style="thick">
        <color auto="1"/>
      </right>
      <top style="thin">
        <color auto="1"/>
      </top>
      <bottom style="thick">
        <color auto="1"/>
      </bottom>
      <diagonal/>
    </border>
    <border>
      <left style="thin">
        <color auto="1"/>
      </left>
      <right/>
      <top/>
      <bottom/>
      <diagonal/>
    </border>
    <border>
      <left/>
      <right style="thin">
        <color auto="1"/>
      </right>
      <top/>
      <bottom/>
      <diagonal/>
    </border>
    <border>
      <left style="thick">
        <color auto="1"/>
      </left>
      <right style="thick">
        <color auto="1"/>
      </right>
      <top/>
      <bottom style="thick">
        <color auto="1"/>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right/>
      <top style="thin">
        <color auto="1"/>
      </top>
      <bottom style="double">
        <color auto="1"/>
      </bottom>
      <diagonal/>
    </border>
    <border>
      <left style="thick">
        <color auto="1"/>
      </left>
      <right/>
      <top style="thin">
        <color auto="1"/>
      </top>
      <bottom style="thick">
        <color auto="1"/>
      </bottom>
      <diagonal/>
    </border>
    <border>
      <left style="thick">
        <color auto="1"/>
      </left>
      <right style="thick">
        <color auto="1"/>
      </right>
      <top style="thin">
        <color auto="1"/>
      </top>
      <bottom/>
      <diagonal/>
    </border>
    <border>
      <left style="thick">
        <color auto="1"/>
      </left>
      <right style="thick">
        <color auto="1"/>
      </right>
      <top/>
      <bottom style="thin">
        <color auto="1"/>
      </bottom>
      <diagonal/>
    </border>
    <border>
      <left/>
      <right/>
      <top style="medium">
        <color auto="1"/>
      </top>
      <bottom/>
      <diagonal/>
    </border>
    <border>
      <left/>
      <right style="thin">
        <color auto="1"/>
      </right>
      <top/>
      <bottom style="thick">
        <color auto="1"/>
      </bottom>
      <diagonal/>
    </border>
    <border>
      <left/>
      <right style="thin">
        <color auto="1"/>
      </right>
      <top style="thick">
        <color auto="1"/>
      </top>
      <bottom style="thin">
        <color auto="1"/>
      </bottom>
      <diagonal/>
    </border>
    <border>
      <left style="thin">
        <color auto="1"/>
      </left>
      <right/>
      <top style="thin">
        <color auto="1"/>
      </top>
      <bottom style="thick">
        <color auto="1"/>
      </bottom>
      <diagonal/>
    </border>
    <border>
      <left/>
      <right style="thin">
        <color auto="1"/>
      </right>
      <top style="thin">
        <color auto="1"/>
      </top>
      <bottom style="thick">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s>
  <cellStyleXfs count="7">
    <xf numFmtId="0" fontId="0" fillId="0" borderId="0"/>
    <xf numFmtId="166"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9" fillId="5" borderId="6" applyFont="0" applyFill="0" applyBorder="0" applyAlignment="0" applyProtection="0"/>
    <xf numFmtId="171" fontId="54" fillId="0" borderId="0"/>
    <xf numFmtId="171" fontId="54" fillId="0" borderId="0"/>
  </cellStyleXfs>
  <cellXfs count="585">
    <xf numFmtId="0" fontId="0" fillId="0" borderId="0" xfId="0"/>
    <xf numFmtId="0" fontId="18" fillId="0" borderId="0" xfId="0" applyFont="1" applyBorder="1" applyProtection="1"/>
    <xf numFmtId="0" fontId="4" fillId="0" borderId="0" xfId="0" applyFont="1" applyProtection="1"/>
    <xf numFmtId="0" fontId="4" fillId="0" borderId="0" xfId="0" applyFont="1" applyAlignment="1" applyProtection="1">
      <alignment horizontal="center"/>
    </xf>
    <xf numFmtId="0" fontId="17" fillId="0" borderId="0" xfId="0" applyFont="1" applyProtection="1"/>
    <xf numFmtId="0" fontId="4" fillId="0" borderId="0" xfId="0" applyFont="1" applyFill="1" applyProtection="1"/>
    <xf numFmtId="0" fontId="18" fillId="0" borderId="0" xfId="0" applyFont="1" applyFill="1" applyBorder="1" applyAlignment="1" applyProtection="1"/>
    <xf numFmtId="49" fontId="19" fillId="5" borderId="11" xfId="0" applyNumberFormat="1" applyFont="1" applyFill="1" applyBorder="1" applyAlignment="1" applyProtection="1">
      <protection locked="0"/>
    </xf>
    <xf numFmtId="0" fontId="19" fillId="5" borderId="2" xfId="0" applyFont="1" applyFill="1" applyBorder="1" applyAlignment="1" applyProtection="1">
      <alignment horizontal="left" vertical="center" wrapText="1"/>
      <protection locked="0"/>
    </xf>
    <xf numFmtId="0" fontId="19" fillId="0" borderId="2" xfId="0" applyFont="1" applyFill="1" applyBorder="1" applyAlignment="1" applyProtection="1">
      <alignment horizontal="left" vertical="center" wrapText="1"/>
    </xf>
    <xf numFmtId="0" fontId="4" fillId="0" borderId="7" xfId="0" applyFont="1" applyBorder="1" applyProtection="1">
      <protection locked="0"/>
    </xf>
    <xf numFmtId="169" fontId="4" fillId="0" borderId="7" xfId="1" applyNumberFormat="1" applyFont="1" applyBorder="1" applyProtection="1">
      <protection locked="0"/>
    </xf>
    <xf numFmtId="0" fontId="8" fillId="0" borderId="0" xfId="0" applyFont="1" applyProtection="1"/>
    <xf numFmtId="169" fontId="4" fillId="0" borderId="0" xfId="1" applyNumberFormat="1" applyFont="1" applyProtection="1"/>
    <xf numFmtId="0" fontId="4" fillId="0" borderId="0" xfId="0" applyFont="1" applyProtection="1">
      <protection locked="0"/>
    </xf>
    <xf numFmtId="0" fontId="18" fillId="0" borderId="0" xfId="0" applyFont="1" applyFill="1" applyBorder="1" applyProtection="1"/>
    <xf numFmtId="171" fontId="19" fillId="5" borderId="1" xfId="0" applyNumberFormat="1" applyFont="1" applyFill="1" applyBorder="1" applyAlignment="1" applyProtection="1">
      <alignment horizontal="left" vertical="center" wrapText="1"/>
      <protection locked="0"/>
    </xf>
    <xf numFmtId="0" fontId="12" fillId="0" borderId="0" xfId="0" applyFont="1" applyAlignment="1" applyProtection="1">
      <alignment vertical="center"/>
    </xf>
    <xf numFmtId="0" fontId="0" fillId="0" borderId="0" xfId="0" applyProtection="1"/>
    <xf numFmtId="0" fontId="1" fillId="0" borderId="0" xfId="0" applyFont="1" applyProtection="1"/>
    <xf numFmtId="0" fontId="19" fillId="0" borderId="1" xfId="0" applyFont="1" applyBorder="1" applyProtection="1"/>
    <xf numFmtId="0" fontId="28" fillId="0" borderId="0" xfId="0" applyFont="1" applyFill="1" applyBorder="1" applyAlignment="1" applyProtection="1">
      <alignment vertical="center"/>
    </xf>
    <xf numFmtId="0" fontId="0" fillId="0" borderId="0" xfId="0" applyFill="1" applyProtection="1"/>
    <xf numFmtId="0" fontId="16" fillId="0" borderId="0" xfId="0" applyFont="1" applyFill="1" applyProtection="1"/>
    <xf numFmtId="0" fontId="27" fillId="0" borderId="0" xfId="0" applyFont="1" applyAlignment="1" applyProtection="1"/>
    <xf numFmtId="0" fontId="11" fillId="0" borderId="0" xfId="0" applyFont="1" applyProtection="1"/>
    <xf numFmtId="0" fontId="14" fillId="0" borderId="20" xfId="0" applyFont="1" applyBorder="1" applyProtection="1"/>
    <xf numFmtId="0" fontId="16" fillId="0" borderId="21" xfId="0" applyFont="1" applyBorder="1" applyProtection="1"/>
    <xf numFmtId="0" fontId="14" fillId="0" borderId="22" xfId="0" applyFont="1" applyBorder="1" applyAlignment="1" applyProtection="1"/>
    <xf numFmtId="0" fontId="14" fillId="0" borderId="21" xfId="0" applyFont="1" applyBorder="1" applyAlignment="1" applyProtection="1"/>
    <xf numFmtId="0" fontId="12" fillId="0" borderId="28" xfId="0" applyFont="1" applyFill="1" applyBorder="1" applyAlignment="1" applyProtection="1">
      <alignment horizontal="center"/>
    </xf>
    <xf numFmtId="0" fontId="16" fillId="0" borderId="0" xfId="0" applyFont="1" applyProtection="1"/>
    <xf numFmtId="0" fontId="1" fillId="0" borderId="15" xfId="0" applyFont="1" applyBorder="1" applyProtection="1"/>
    <xf numFmtId="0" fontId="0" fillId="0" borderId="18" xfId="0" applyBorder="1" applyProtection="1"/>
    <xf numFmtId="10" fontId="1" fillId="0" borderId="33" xfId="3" applyNumberFormat="1" applyFont="1" applyFill="1" applyBorder="1" applyAlignment="1" applyProtection="1">
      <alignment horizontal="center"/>
    </xf>
    <xf numFmtId="10" fontId="1" fillId="0" borderId="29" xfId="3" applyNumberFormat="1" applyFont="1" applyFill="1" applyBorder="1" applyAlignment="1" applyProtection="1">
      <alignment horizontal="center"/>
    </xf>
    <xf numFmtId="0" fontId="0" fillId="0" borderId="15" xfId="0" applyBorder="1" applyProtection="1"/>
    <xf numFmtId="0" fontId="1" fillId="0" borderId="18" xfId="0" applyFont="1" applyBorder="1" applyProtection="1"/>
    <xf numFmtId="0" fontId="0" fillId="0" borderId="16" xfId="0" applyBorder="1" applyProtection="1"/>
    <xf numFmtId="0" fontId="0" fillId="0" borderId="19" xfId="0" applyBorder="1" applyProtection="1"/>
    <xf numFmtId="10" fontId="1" fillId="0" borderId="29" xfId="0" applyNumberFormat="1" applyFont="1" applyFill="1" applyBorder="1" applyAlignment="1" applyProtection="1">
      <alignment horizontal="center"/>
    </xf>
    <xf numFmtId="0" fontId="1" fillId="0" borderId="16" xfId="0" applyFont="1" applyBorder="1" applyProtection="1"/>
    <xf numFmtId="0" fontId="1" fillId="0" borderId="29" xfId="0" applyFont="1" applyFill="1" applyBorder="1" applyAlignment="1" applyProtection="1">
      <alignment horizontal="center" wrapText="1"/>
    </xf>
    <xf numFmtId="10" fontId="1" fillId="0" borderId="32" xfId="3" applyNumberFormat="1" applyFont="1" applyFill="1" applyBorder="1" applyAlignment="1" applyProtection="1">
      <alignment horizontal="center"/>
    </xf>
    <xf numFmtId="0" fontId="0" fillId="0" borderId="18" xfId="0" applyBorder="1" applyAlignment="1" applyProtection="1">
      <alignment wrapText="1"/>
    </xf>
    <xf numFmtId="164" fontId="11" fillId="0" borderId="15" xfId="1" applyNumberFormat="1" applyFont="1" applyBorder="1" applyProtection="1"/>
    <xf numFmtId="10" fontId="1" fillId="0" borderId="18" xfId="3" applyNumberFormat="1" applyFont="1" applyBorder="1" applyProtection="1"/>
    <xf numFmtId="0" fontId="1" fillId="0" borderId="0" xfId="0" applyFont="1" applyFill="1" applyProtection="1"/>
    <xf numFmtId="0" fontId="0" fillId="0" borderId="19" xfId="0" applyBorder="1" applyAlignment="1" applyProtection="1">
      <alignment wrapText="1"/>
    </xf>
    <xf numFmtId="10" fontId="1" fillId="0" borderId="19" xfId="3" applyNumberFormat="1" applyFont="1" applyBorder="1" applyProtection="1"/>
    <xf numFmtId="0" fontId="1" fillId="0" borderId="14" xfId="0" applyFont="1" applyBorder="1" applyProtection="1"/>
    <xf numFmtId="0" fontId="0" fillId="0" borderId="17" xfId="0" applyBorder="1" applyProtection="1"/>
    <xf numFmtId="9" fontId="1" fillId="0" borderId="24" xfId="0" applyNumberFormat="1" applyFont="1" applyBorder="1" applyAlignment="1" applyProtection="1"/>
    <xf numFmtId="9" fontId="1" fillId="0" borderId="27" xfId="0" applyNumberFormat="1" applyFont="1" applyFill="1" applyBorder="1" applyAlignment="1" applyProtection="1">
      <alignment horizontal="center"/>
    </xf>
    <xf numFmtId="0" fontId="0" fillId="0" borderId="36" xfId="0" applyBorder="1" applyProtection="1"/>
    <xf numFmtId="166" fontId="0" fillId="0" borderId="22" xfId="1" applyFont="1" applyBorder="1" applyAlignment="1" applyProtection="1"/>
    <xf numFmtId="9" fontId="1" fillId="0" borderId="36" xfId="0" applyNumberFormat="1" applyFont="1" applyBorder="1" applyAlignment="1" applyProtection="1"/>
    <xf numFmtId="9" fontId="1" fillId="0" borderId="21" xfId="0" applyNumberFormat="1" applyFont="1" applyFill="1" applyBorder="1" applyAlignment="1" applyProtection="1">
      <alignment horizontal="center"/>
    </xf>
    <xf numFmtId="0" fontId="0" fillId="0" borderId="35" xfId="0" applyBorder="1" applyProtection="1"/>
    <xf numFmtId="9" fontId="1" fillId="0" borderId="17" xfId="0" applyNumberFormat="1" applyFont="1" applyFill="1" applyBorder="1" applyAlignment="1" applyProtection="1">
      <alignment horizontal="center"/>
    </xf>
    <xf numFmtId="0" fontId="14" fillId="0" borderId="0" xfId="0" applyFont="1" applyProtection="1"/>
    <xf numFmtId="0" fontId="12" fillId="0" borderId="1" xfId="0" applyFont="1" applyBorder="1" applyAlignment="1" applyProtection="1">
      <alignment horizontal="center"/>
    </xf>
    <xf numFmtId="0" fontId="12" fillId="0" borderId="1" xfId="0" applyFont="1" applyFill="1" applyBorder="1" applyAlignment="1" applyProtection="1">
      <alignment horizontal="center"/>
    </xf>
    <xf numFmtId="0" fontId="0" fillId="0" borderId="1" xfId="0" applyBorder="1" applyAlignment="1" applyProtection="1">
      <alignment horizontal="center"/>
    </xf>
    <xf numFmtId="166" fontId="0" fillId="0" borderId="1" xfId="1" applyNumberFormat="1" applyFont="1" applyBorder="1" applyAlignment="1" applyProtection="1">
      <alignment horizontal="left"/>
    </xf>
    <xf numFmtId="0" fontId="1" fillId="0" borderId="1" xfId="0" applyFont="1" applyBorder="1" applyAlignment="1" applyProtection="1">
      <alignment horizontal="center"/>
    </xf>
    <xf numFmtId="0" fontId="1" fillId="0" borderId="0" xfId="0" applyFont="1" applyBorder="1" applyAlignment="1" applyProtection="1">
      <alignment horizontal="right"/>
    </xf>
    <xf numFmtId="169" fontId="0" fillId="0" borderId="0" xfId="1" applyNumberFormat="1" applyFont="1" applyBorder="1" applyProtection="1"/>
    <xf numFmtId="0" fontId="1" fillId="0" borderId="0" xfId="0" applyFont="1" applyAlignment="1" applyProtection="1">
      <alignment horizontal="right"/>
    </xf>
    <xf numFmtId="169" fontId="0" fillId="0" borderId="0" xfId="1" applyNumberFormat="1" applyFont="1" applyProtection="1"/>
    <xf numFmtId="0" fontId="12" fillId="0" borderId="0" xfId="0" applyFont="1" applyProtection="1"/>
    <xf numFmtId="169" fontId="12" fillId="0" borderId="1" xfId="1" applyNumberFormat="1" applyFont="1" applyBorder="1" applyProtection="1"/>
    <xf numFmtId="166" fontId="0" fillId="0" borderId="1" xfId="1" applyFont="1" applyBorder="1" applyProtection="1"/>
    <xf numFmtId="0" fontId="12" fillId="0" borderId="1" xfId="0" applyFont="1" applyFill="1" applyBorder="1" applyAlignment="1" applyProtection="1">
      <alignment horizontal="center" vertical="center"/>
    </xf>
    <xf numFmtId="0" fontId="0" fillId="0" borderId="1" xfId="0" applyBorder="1" applyAlignment="1" applyProtection="1">
      <alignment horizontal="center" vertical="center"/>
    </xf>
    <xf numFmtId="166" fontId="0" fillId="0" borderId="1" xfId="1" applyFont="1" applyBorder="1" applyAlignment="1" applyProtection="1">
      <alignment horizontal="center" vertical="center"/>
    </xf>
    <xf numFmtId="166" fontId="0" fillId="0" borderId="1" xfId="1" applyFont="1" applyFill="1" applyBorder="1" applyAlignment="1" applyProtection="1">
      <alignment horizontal="center" vertical="center"/>
    </xf>
    <xf numFmtId="0" fontId="42" fillId="0" borderId="0" xfId="0" applyFont="1" applyProtection="1"/>
    <xf numFmtId="0" fontId="5" fillId="0" borderId="0" xfId="0" applyFont="1" applyProtection="1"/>
    <xf numFmtId="0" fontId="8" fillId="0" borderId="0" xfId="0" applyFont="1" applyFill="1" applyAlignment="1" applyProtection="1">
      <alignment horizontal="center"/>
    </xf>
    <xf numFmtId="169" fontId="8" fillId="0" borderId="0" xfId="1" applyNumberFormat="1" applyFont="1" applyFill="1" applyProtection="1"/>
    <xf numFmtId="0" fontId="10" fillId="6" borderId="6" xfId="0" applyFont="1" applyFill="1" applyBorder="1" applyAlignment="1" applyProtection="1">
      <alignment horizontal="center" wrapText="1"/>
    </xf>
    <xf numFmtId="0" fontId="10" fillId="6" borderId="7" xfId="0" applyFont="1" applyFill="1" applyBorder="1" applyAlignment="1" applyProtection="1">
      <alignment horizontal="center" wrapText="1"/>
    </xf>
    <xf numFmtId="0" fontId="4" fillId="0" borderId="1" xfId="0" applyNumberFormat="1" applyFont="1" applyFill="1" applyBorder="1" applyProtection="1"/>
    <xf numFmtId="171" fontId="4" fillId="0" borderId="1" xfId="0" applyNumberFormat="1" applyFont="1" applyFill="1" applyBorder="1" applyProtection="1"/>
    <xf numFmtId="171" fontId="4" fillId="2" borderId="1" xfId="0" applyNumberFormat="1" applyFont="1" applyFill="1" applyBorder="1" applyProtection="1"/>
    <xf numFmtId="1" fontId="4" fillId="0" borderId="1" xfId="0" applyNumberFormat="1" applyFont="1" applyFill="1" applyBorder="1" applyProtection="1"/>
    <xf numFmtId="169" fontId="4" fillId="0" borderId="1" xfId="1" applyNumberFormat="1" applyFont="1" applyBorder="1" applyProtection="1"/>
    <xf numFmtId="169" fontId="4" fillId="2" borderId="1" xfId="1" applyNumberFormat="1" applyFont="1" applyFill="1" applyBorder="1" applyProtection="1"/>
    <xf numFmtId="169" fontId="4" fillId="0" borderId="1" xfId="1" applyNumberFormat="1" applyFont="1" applyFill="1" applyBorder="1" applyProtection="1"/>
    <xf numFmtId="0" fontId="4" fillId="0" borderId="1" xfId="0" applyFont="1" applyBorder="1" applyProtection="1"/>
    <xf numFmtId="0" fontId="5" fillId="3" borderId="11" xfId="0" applyNumberFormat="1" applyFont="1" applyFill="1" applyBorder="1" applyProtection="1"/>
    <xf numFmtId="171" fontId="5" fillId="3" borderId="12" xfId="0" applyNumberFormat="1" applyFont="1" applyFill="1" applyBorder="1" applyProtection="1"/>
    <xf numFmtId="0" fontId="5" fillId="3" borderId="12" xfId="0" applyFont="1" applyFill="1" applyBorder="1" applyProtection="1"/>
    <xf numFmtId="169" fontId="5" fillId="3" borderId="1" xfId="1" applyNumberFormat="1" applyFont="1" applyFill="1" applyBorder="1" applyProtection="1"/>
    <xf numFmtId="171" fontId="5" fillId="0" borderId="0" xfId="0" applyNumberFormat="1" applyFont="1" applyFill="1" applyBorder="1" applyProtection="1"/>
    <xf numFmtId="0" fontId="5" fillId="0" borderId="0" xfId="0" applyFont="1" applyFill="1" applyProtection="1"/>
    <xf numFmtId="0" fontId="12" fillId="0" borderId="0" xfId="0" applyFont="1" applyFill="1" applyProtection="1"/>
    <xf numFmtId="0" fontId="10" fillId="6" borderId="1" xfId="0" applyFont="1" applyFill="1" applyBorder="1" applyAlignment="1" applyProtection="1">
      <alignment horizontal="center" wrapText="1"/>
    </xf>
    <xf numFmtId="0" fontId="5" fillId="0" borderId="0" xfId="0" applyFont="1" applyFill="1" applyBorder="1" applyAlignment="1" applyProtection="1">
      <alignment horizontal="left"/>
      <protection locked="0"/>
    </xf>
    <xf numFmtId="167" fontId="4" fillId="0" borderId="0" xfId="2" applyNumberFormat="1" applyFont="1" applyFill="1" applyBorder="1" applyProtection="1">
      <protection locked="0"/>
    </xf>
    <xf numFmtId="0" fontId="19" fillId="4" borderId="0" xfId="0" applyFont="1" applyFill="1" applyProtection="1"/>
    <xf numFmtId="0" fontId="19" fillId="4" borderId="0" xfId="0" applyFont="1" applyFill="1" applyAlignment="1" applyProtection="1">
      <alignment horizontal="left"/>
    </xf>
    <xf numFmtId="0" fontId="19" fillId="0" borderId="0" xfId="0" applyFont="1" applyProtection="1"/>
    <xf numFmtId="2" fontId="19" fillId="4" borderId="0" xfId="0" applyNumberFormat="1" applyFont="1" applyFill="1" applyAlignment="1" applyProtection="1">
      <alignment horizontal="left"/>
    </xf>
    <xf numFmtId="0" fontId="4" fillId="0" borderId="0" xfId="0" applyFont="1" applyFill="1" applyBorder="1" applyProtection="1"/>
    <xf numFmtId="0" fontId="10" fillId="0" borderId="2" xfId="0" applyFont="1" applyBorder="1" applyAlignment="1" applyProtection="1">
      <alignment horizontal="center"/>
    </xf>
    <xf numFmtId="0" fontId="10" fillId="0" borderId="2" xfId="0" applyFont="1" applyFill="1" applyBorder="1" applyAlignment="1" applyProtection="1">
      <alignment horizontal="center"/>
    </xf>
    <xf numFmtId="0" fontId="10" fillId="4" borderId="0" xfId="0" applyFont="1" applyFill="1" applyBorder="1" applyAlignment="1" applyProtection="1">
      <alignment horizontal="center"/>
    </xf>
    <xf numFmtId="0" fontId="10" fillId="4" borderId="2" xfId="0" applyFont="1" applyFill="1" applyBorder="1" applyAlignment="1" applyProtection="1">
      <alignment horizontal="center"/>
    </xf>
    <xf numFmtId="0" fontId="10" fillId="0" borderId="3" xfId="0" applyFont="1" applyBorder="1" applyAlignment="1" applyProtection="1">
      <alignment horizontal="center"/>
    </xf>
    <xf numFmtId="169" fontId="5" fillId="0" borderId="1" xfId="1" applyNumberFormat="1" applyFont="1" applyBorder="1" applyAlignment="1" applyProtection="1">
      <alignment horizontal="center"/>
    </xf>
    <xf numFmtId="10" fontId="5" fillId="0" borderId="1" xfId="0" applyNumberFormat="1" applyFont="1" applyBorder="1" applyAlignment="1" applyProtection="1">
      <alignment horizontal="center"/>
    </xf>
    <xf numFmtId="0" fontId="10" fillId="0" borderId="3" xfId="0" applyFont="1" applyFill="1" applyBorder="1" applyAlignment="1" applyProtection="1">
      <alignment horizontal="center"/>
    </xf>
    <xf numFmtId="0" fontId="10" fillId="4" borderId="3" xfId="0" applyFont="1" applyFill="1" applyBorder="1" applyAlignment="1" applyProtection="1">
      <alignment horizontal="center"/>
    </xf>
    <xf numFmtId="0" fontId="10" fillId="0" borderId="0" xfId="0" applyFont="1" applyBorder="1" applyAlignment="1" applyProtection="1">
      <alignment horizontal="center"/>
    </xf>
    <xf numFmtId="0" fontId="10" fillId="4" borderId="1" xfId="0" applyFont="1" applyFill="1" applyBorder="1" applyAlignment="1" applyProtection="1">
      <alignment horizontal="center"/>
    </xf>
    <xf numFmtId="1" fontId="8" fillId="0" borderId="1" xfId="0" applyNumberFormat="1" applyFont="1" applyFill="1" applyBorder="1" applyAlignment="1" applyProtection="1">
      <alignment horizontal="center"/>
    </xf>
    <xf numFmtId="169" fontId="8" fillId="0" borderId="11" xfId="1" applyNumberFormat="1" applyFont="1" applyFill="1" applyBorder="1" applyProtection="1"/>
    <xf numFmtId="169" fontId="8" fillId="0" borderId="12" xfId="1" applyNumberFormat="1" applyFont="1" applyFill="1" applyBorder="1" applyProtection="1"/>
    <xf numFmtId="169" fontId="8" fillId="0" borderId="10" xfId="1" applyNumberFormat="1" applyFont="1" applyFill="1" applyBorder="1" applyProtection="1"/>
    <xf numFmtId="1" fontId="8" fillId="4" borderId="0" xfId="0" applyNumberFormat="1" applyFont="1" applyFill="1" applyBorder="1" applyProtection="1"/>
    <xf numFmtId="1" fontId="8" fillId="4" borderId="1" xfId="0" applyNumberFormat="1" applyFont="1" applyFill="1" applyBorder="1" applyProtection="1"/>
    <xf numFmtId="1" fontId="8" fillId="4" borderId="11" xfId="0" applyNumberFormat="1" applyFont="1" applyFill="1" applyBorder="1" applyProtection="1"/>
    <xf numFmtId="0" fontId="5" fillId="0" borderId="11" xfId="0" applyFont="1" applyBorder="1" applyAlignment="1" applyProtection="1"/>
    <xf numFmtId="0" fontId="5" fillId="0" borderId="12" xfId="0" applyFont="1" applyBorder="1" applyAlignment="1" applyProtection="1"/>
    <xf numFmtId="0" fontId="10" fillId="0" borderId="0" xfId="0" applyFont="1" applyFill="1" applyBorder="1" applyAlignment="1" applyProtection="1">
      <alignment horizontal="center"/>
    </xf>
    <xf numFmtId="0" fontId="10" fillId="4" borderId="11" xfId="0" applyFont="1" applyFill="1" applyBorder="1" applyAlignment="1" applyProtection="1">
      <alignment horizontal="center"/>
    </xf>
    <xf numFmtId="0" fontId="10" fillId="0" borderId="0" xfId="0" applyFont="1" applyFill="1" applyBorder="1" applyAlignment="1" applyProtection="1"/>
    <xf numFmtId="170" fontId="8" fillId="4" borderId="1" xfId="0" applyNumberFormat="1" applyFont="1" applyFill="1" applyBorder="1" applyProtection="1"/>
    <xf numFmtId="169" fontId="4" fillId="0" borderId="0" xfId="0" applyNumberFormat="1" applyFont="1" applyProtection="1"/>
    <xf numFmtId="168" fontId="10" fillId="0" borderId="0" xfId="3" applyNumberFormat="1" applyFont="1" applyFill="1" applyBorder="1" applyAlignment="1" applyProtection="1">
      <alignment horizontal="center"/>
    </xf>
    <xf numFmtId="168" fontId="10" fillId="4" borderId="0" xfId="3" applyNumberFormat="1" applyFont="1" applyFill="1" applyBorder="1" applyProtection="1"/>
    <xf numFmtId="1" fontId="10" fillId="4" borderId="1" xfId="1" applyNumberFormat="1" applyFont="1" applyFill="1" applyBorder="1" applyProtection="1"/>
    <xf numFmtId="0" fontId="4" fillId="0" borderId="0" xfId="0" applyFont="1" applyFill="1" applyAlignment="1" applyProtection="1">
      <alignment horizontal="center"/>
    </xf>
    <xf numFmtId="0" fontId="5" fillId="0" borderId="0" xfId="0" applyFont="1" applyBorder="1" applyAlignment="1" applyProtection="1">
      <alignment horizontal="left"/>
    </xf>
    <xf numFmtId="169" fontId="5" fillId="0" borderId="0" xfId="1" applyNumberFormat="1" applyFont="1" applyFill="1" applyBorder="1" applyProtection="1"/>
    <xf numFmtId="10" fontId="5" fillId="0" borderId="0" xfId="3" applyNumberFormat="1" applyFont="1" applyFill="1" applyBorder="1" applyProtection="1"/>
    <xf numFmtId="0" fontId="5" fillId="0" borderId="1" xfId="0" applyFont="1" applyFill="1" applyBorder="1" applyAlignment="1" applyProtection="1">
      <alignment horizontal="center"/>
    </xf>
    <xf numFmtId="10" fontId="5" fillId="0" borderId="1" xfId="3" applyNumberFormat="1" applyFont="1" applyBorder="1" applyAlignment="1" applyProtection="1">
      <alignment horizontal="center"/>
    </xf>
    <xf numFmtId="0" fontId="10" fillId="4" borderId="6" xfId="0" applyFont="1" applyFill="1" applyBorder="1" applyAlignment="1" applyProtection="1">
      <alignment horizontal="center"/>
    </xf>
    <xf numFmtId="10" fontId="8" fillId="0" borderId="1" xfId="3" applyNumberFormat="1" applyFont="1" applyFill="1" applyBorder="1" applyProtection="1"/>
    <xf numFmtId="9" fontId="8" fillId="4" borderId="11" xfId="3" applyFont="1" applyFill="1" applyBorder="1" applyProtection="1"/>
    <xf numFmtId="9" fontId="8" fillId="4" borderId="1" xfId="3" applyFont="1" applyFill="1" applyBorder="1" applyProtection="1"/>
    <xf numFmtId="9" fontId="8" fillId="4" borderId="9" xfId="3" applyFont="1" applyFill="1" applyBorder="1" applyProtection="1"/>
    <xf numFmtId="1" fontId="8" fillId="0" borderId="0" xfId="0" applyNumberFormat="1" applyFont="1" applyFill="1" applyBorder="1" applyAlignment="1" applyProtection="1">
      <alignment horizontal="center"/>
    </xf>
    <xf numFmtId="168" fontId="4" fillId="0" borderId="0" xfId="3" applyNumberFormat="1" applyFont="1" applyProtection="1"/>
    <xf numFmtId="0" fontId="10" fillId="4" borderId="9" xfId="0" applyFont="1" applyFill="1" applyBorder="1" applyAlignment="1" applyProtection="1">
      <alignment horizontal="center"/>
    </xf>
    <xf numFmtId="168" fontId="5" fillId="0" borderId="1" xfId="3" applyNumberFormat="1" applyFont="1" applyBorder="1" applyAlignment="1" applyProtection="1">
      <alignment horizontal="center"/>
    </xf>
    <xf numFmtId="0" fontId="8" fillId="0" borderId="10" xfId="0" applyFont="1" applyFill="1" applyBorder="1" applyAlignment="1" applyProtection="1">
      <alignment horizontal="left"/>
    </xf>
    <xf numFmtId="1" fontId="8" fillId="4" borderId="3" xfId="0" applyNumberFormat="1" applyFont="1" applyFill="1" applyBorder="1" applyProtection="1"/>
    <xf numFmtId="1" fontId="8" fillId="4" borderId="6" xfId="0" applyNumberFormat="1" applyFont="1" applyFill="1" applyBorder="1" applyProtection="1"/>
    <xf numFmtId="168" fontId="10" fillId="4" borderId="1" xfId="3" applyNumberFormat="1" applyFont="1" applyFill="1" applyBorder="1" applyProtection="1"/>
    <xf numFmtId="0" fontId="4" fillId="0" borderId="0" xfId="0" applyFont="1" applyFill="1" applyBorder="1" applyAlignment="1" applyProtection="1">
      <alignment horizontal="center"/>
    </xf>
    <xf numFmtId="167" fontId="4" fillId="0" borderId="0" xfId="2" applyNumberFormat="1" applyFont="1" applyFill="1" applyBorder="1" applyProtection="1"/>
    <xf numFmtId="10" fontId="4" fillId="0" borderId="0" xfId="3" applyNumberFormat="1" applyFont="1" applyFill="1" applyBorder="1" applyProtection="1"/>
    <xf numFmtId="168" fontId="8" fillId="0" borderId="0" xfId="3" applyNumberFormat="1" applyFont="1" applyFill="1" applyBorder="1" applyAlignment="1" applyProtection="1">
      <alignment horizontal="center"/>
    </xf>
    <xf numFmtId="168" fontId="8" fillId="4" borderId="0" xfId="3" applyNumberFormat="1" applyFont="1" applyFill="1" applyBorder="1" applyProtection="1"/>
    <xf numFmtId="0" fontId="4" fillId="0" borderId="0" xfId="0" applyFont="1" applyFill="1" applyBorder="1" applyAlignment="1" applyProtection="1"/>
    <xf numFmtId="0" fontId="25" fillId="0" borderId="0" xfId="0" applyFont="1" applyAlignment="1" applyProtection="1">
      <alignment horizontal="left"/>
    </xf>
    <xf numFmtId="169" fontId="4" fillId="0" borderId="0" xfId="1" applyNumberFormat="1" applyFont="1" applyFill="1" applyProtection="1"/>
    <xf numFmtId="0" fontId="8" fillId="4" borderId="0" xfId="0" applyFont="1" applyFill="1" applyProtection="1"/>
    <xf numFmtId="0" fontId="0" fillId="4" borderId="0" xfId="0" applyFill="1" applyProtection="1"/>
    <xf numFmtId="0" fontId="19" fillId="0" borderId="0" xfId="0" applyFont="1" applyFill="1" applyProtection="1"/>
    <xf numFmtId="0" fontId="20" fillId="0" borderId="0" xfId="0" applyFont="1" applyFill="1" applyBorder="1" applyProtection="1"/>
    <xf numFmtId="0" fontId="19" fillId="0" borderId="0" xfId="0" applyFont="1" applyFill="1" applyBorder="1" applyProtection="1"/>
    <xf numFmtId="0" fontId="19" fillId="0" borderId="0" xfId="0" applyFont="1" applyFill="1" applyBorder="1" applyAlignment="1" applyProtection="1">
      <alignment horizontal="left"/>
    </xf>
    <xf numFmtId="1" fontId="19" fillId="0" borderId="0" xfId="0" applyNumberFormat="1" applyFont="1" applyFill="1" applyBorder="1" applyAlignment="1" applyProtection="1">
      <alignment horizontal="left"/>
    </xf>
    <xf numFmtId="0" fontId="19" fillId="0" borderId="0" xfId="0" applyNumberFormat="1" applyFont="1" applyFill="1" applyBorder="1" applyAlignment="1" applyProtection="1">
      <alignment horizontal="left"/>
    </xf>
    <xf numFmtId="0" fontId="19" fillId="0" borderId="0" xfId="0" applyFont="1" applyAlignment="1" applyProtection="1">
      <alignment horizontal="left"/>
    </xf>
    <xf numFmtId="0" fontId="19" fillId="0" borderId="0" xfId="0" applyFont="1" applyBorder="1" applyAlignment="1" applyProtection="1"/>
    <xf numFmtId="0" fontId="21" fillId="0" borderId="0" xfId="0" applyFont="1" applyFill="1" applyAlignment="1" applyProtection="1">
      <alignment horizontal="left" vertical="center" wrapText="1"/>
    </xf>
    <xf numFmtId="0" fontId="26" fillId="0" borderId="0" xfId="0" applyFont="1" applyAlignment="1" applyProtection="1">
      <alignment horizontal="left" vertical="center"/>
    </xf>
    <xf numFmtId="0" fontId="19" fillId="0" borderId="0" xfId="0" applyFont="1" applyBorder="1" applyProtection="1"/>
    <xf numFmtId="0" fontId="19" fillId="0" borderId="0" xfId="0" applyFont="1" applyFill="1" applyBorder="1" applyAlignment="1" applyProtection="1"/>
    <xf numFmtId="0" fontId="38" fillId="0" borderId="0" xfId="0" applyFont="1" applyFill="1" applyAlignment="1" applyProtection="1">
      <alignment vertical="center"/>
    </xf>
    <xf numFmtId="0" fontId="18" fillId="0" borderId="0" xfId="0" applyFont="1" applyAlignment="1" applyProtection="1">
      <alignment vertical="center"/>
    </xf>
    <xf numFmtId="15" fontId="19" fillId="0" borderId="34" xfId="0" applyNumberFormat="1" applyFont="1" applyFill="1" applyBorder="1" applyAlignment="1" applyProtection="1">
      <alignment horizontal="left"/>
    </xf>
    <xf numFmtId="0" fontId="19" fillId="0" borderId="34" xfId="0" applyNumberFormat="1" applyFont="1" applyFill="1" applyBorder="1" applyAlignment="1" applyProtection="1">
      <alignment horizontal="left"/>
    </xf>
    <xf numFmtId="1" fontId="19" fillId="0" borderId="34" xfId="0" applyNumberFormat="1" applyFont="1" applyFill="1" applyBorder="1" applyAlignment="1" applyProtection="1">
      <alignment horizontal="left"/>
    </xf>
    <xf numFmtId="9" fontId="19" fillId="0" borderId="0" xfId="0" applyNumberFormat="1" applyFont="1" applyProtection="1"/>
    <xf numFmtId="0" fontId="21" fillId="0" borderId="0" xfId="0" applyFont="1" applyAlignment="1" applyProtection="1">
      <alignment horizontal="left" vertical="center"/>
    </xf>
    <xf numFmtId="0" fontId="1" fillId="4" borderId="0" xfId="0" applyFont="1" applyFill="1" applyBorder="1" applyAlignment="1" applyProtection="1">
      <alignment horizontal="center"/>
    </xf>
    <xf numFmtId="0" fontId="26" fillId="0" borderId="0" xfId="0" applyFont="1" applyAlignment="1" applyProtection="1">
      <alignment vertical="center"/>
    </xf>
    <xf numFmtId="0" fontId="1" fillId="4" borderId="0" xfId="0" applyFont="1" applyFill="1" applyBorder="1" applyAlignment="1" applyProtection="1">
      <alignment horizontal="center" wrapText="1"/>
    </xf>
    <xf numFmtId="9" fontId="19" fillId="0" borderId="0" xfId="0" applyNumberFormat="1" applyFont="1" applyFill="1" applyProtection="1"/>
    <xf numFmtId="10" fontId="1" fillId="4" borderId="0" xfId="0" applyNumberFormat="1" applyFont="1" applyFill="1" applyBorder="1" applyAlignment="1" applyProtection="1">
      <alignment horizontal="center"/>
    </xf>
    <xf numFmtId="10" fontId="19" fillId="0" borderId="0" xfId="0" applyNumberFormat="1" applyFont="1" applyBorder="1" applyAlignment="1" applyProtection="1"/>
    <xf numFmtId="10" fontId="19" fillId="0" borderId="0" xfId="0" applyNumberFormat="1" applyFont="1" applyProtection="1"/>
    <xf numFmtId="10" fontId="19" fillId="0" borderId="0" xfId="0" applyNumberFormat="1" applyFont="1" applyFill="1" applyBorder="1" applyAlignment="1" applyProtection="1">
      <alignment horizontal="left"/>
    </xf>
    <xf numFmtId="0" fontId="19" fillId="4" borderId="0" xfId="0" applyFont="1" applyFill="1" applyAlignment="1" applyProtection="1">
      <alignment horizontal="center"/>
    </xf>
    <xf numFmtId="0" fontId="37" fillId="0" borderId="0" xfId="0" applyFont="1" applyAlignment="1" applyProtection="1">
      <alignment vertical="center"/>
    </xf>
    <xf numFmtId="0" fontId="1" fillId="4" borderId="1" xfId="0" applyFont="1" applyFill="1" applyBorder="1" applyAlignment="1" applyProtection="1">
      <alignment horizontal="center"/>
    </xf>
    <xf numFmtId="9" fontId="0" fillId="4" borderId="1" xfId="3" applyFont="1" applyFill="1" applyBorder="1" applyAlignment="1" applyProtection="1">
      <alignment horizontal="center"/>
    </xf>
    <xf numFmtId="0" fontId="19" fillId="5" borderId="6" xfId="0" applyFont="1" applyFill="1" applyBorder="1" applyProtection="1">
      <protection locked="0"/>
    </xf>
    <xf numFmtId="172" fontId="19" fillId="5" borderId="6" xfId="0" applyNumberFormat="1" applyFont="1" applyFill="1" applyBorder="1" applyProtection="1">
      <protection locked="0"/>
    </xf>
    <xf numFmtId="0" fontId="19" fillId="5" borderId="3" xfId="0" applyFont="1" applyFill="1" applyBorder="1" applyProtection="1">
      <protection locked="0"/>
    </xf>
    <xf numFmtId="0" fontId="21" fillId="0" borderId="0" xfId="0" applyFont="1" applyAlignment="1" applyProtection="1">
      <alignment vertical="center"/>
    </xf>
    <xf numFmtId="0" fontId="18" fillId="0" borderId="1" xfId="0" applyFont="1" applyBorder="1" applyAlignment="1" applyProtection="1">
      <alignment horizontal="center" vertical="center" wrapText="1"/>
    </xf>
    <xf numFmtId="0" fontId="18" fillId="0" borderId="1" xfId="0" applyFont="1" applyBorder="1" applyAlignment="1" applyProtection="1">
      <alignment horizontal="center" vertical="center"/>
    </xf>
    <xf numFmtId="0" fontId="18" fillId="0" borderId="11" xfId="0" applyFont="1" applyFill="1" applyBorder="1" applyAlignment="1" applyProtection="1">
      <alignment horizontal="center" vertical="center" wrapText="1"/>
    </xf>
    <xf numFmtId="0" fontId="18" fillId="0" borderId="1" xfId="0" applyFont="1" applyFill="1" applyBorder="1" applyAlignment="1" applyProtection="1">
      <alignment horizontal="center" vertical="center" wrapText="1"/>
    </xf>
    <xf numFmtId="0" fontId="18" fillId="4" borderId="1" xfId="0" applyFont="1" applyFill="1" applyBorder="1" applyAlignment="1" applyProtection="1">
      <alignment horizontal="center" vertical="center" wrapText="1"/>
    </xf>
    <xf numFmtId="0" fontId="21" fillId="6" borderId="11" xfId="0" applyFont="1" applyFill="1" applyBorder="1" applyAlignment="1" applyProtection="1">
      <alignment vertical="center"/>
    </xf>
    <xf numFmtId="0" fontId="21" fillId="6" borderId="12" xfId="0" applyFont="1" applyFill="1" applyBorder="1" applyAlignment="1" applyProtection="1">
      <alignment vertical="center"/>
    </xf>
    <xf numFmtId="165" fontId="21" fillId="6" borderId="11" xfId="2" applyFont="1" applyFill="1" applyBorder="1" applyAlignment="1" applyProtection="1"/>
    <xf numFmtId="166" fontId="21" fillId="4" borderId="1" xfId="1" applyFont="1" applyFill="1" applyBorder="1" applyAlignment="1" applyProtection="1">
      <alignment horizontal="center"/>
    </xf>
    <xf numFmtId="0" fontId="21" fillId="6" borderId="1" xfId="0" applyFont="1" applyFill="1" applyBorder="1" applyAlignment="1" applyProtection="1">
      <alignment horizontal="center"/>
    </xf>
    <xf numFmtId="1" fontId="19" fillId="0" borderId="2" xfId="0" applyNumberFormat="1" applyFont="1" applyFill="1" applyBorder="1" applyAlignment="1" applyProtection="1">
      <alignment horizontal="center" vertical="center"/>
    </xf>
    <xf numFmtId="169" fontId="19" fillId="4" borderId="3" xfId="1" applyNumberFormat="1" applyFont="1" applyFill="1" applyBorder="1" applyAlignment="1" applyProtection="1">
      <alignment horizontal="center"/>
    </xf>
    <xf numFmtId="1" fontId="19" fillId="0" borderId="2" xfId="0" applyNumberFormat="1" applyFont="1" applyFill="1" applyBorder="1" applyAlignment="1" applyProtection="1">
      <alignment horizontal="center"/>
    </xf>
    <xf numFmtId="2" fontId="21" fillId="6" borderId="10" xfId="0" applyNumberFormat="1" applyFont="1" applyFill="1" applyBorder="1" applyAlignment="1" applyProtection="1">
      <alignment horizontal="center"/>
    </xf>
    <xf numFmtId="0" fontId="19" fillId="5" borderId="9" xfId="0" applyFont="1" applyFill="1" applyBorder="1" applyAlignment="1" applyProtection="1">
      <alignment wrapText="1"/>
      <protection locked="0"/>
    </xf>
    <xf numFmtId="0" fontId="19" fillId="5" borderId="4" xfId="0" applyFont="1" applyFill="1" applyBorder="1" applyAlignment="1" applyProtection="1">
      <alignment wrapText="1"/>
      <protection locked="0"/>
    </xf>
    <xf numFmtId="0" fontId="19" fillId="5" borderId="4" xfId="0" applyFont="1" applyFill="1" applyBorder="1" applyProtection="1">
      <protection locked="0"/>
    </xf>
    <xf numFmtId="0" fontId="19" fillId="5" borderId="5" xfId="0" applyFont="1" applyFill="1" applyBorder="1" applyProtection="1">
      <protection locked="0"/>
    </xf>
    <xf numFmtId="0" fontId="19" fillId="5" borderId="25" xfId="0" applyFont="1" applyFill="1" applyBorder="1" applyAlignment="1" applyProtection="1">
      <alignment wrapText="1"/>
      <protection locked="0"/>
    </xf>
    <xf numFmtId="0" fontId="19" fillId="5" borderId="0" xfId="0" applyFont="1" applyFill="1" applyBorder="1" applyAlignment="1" applyProtection="1">
      <alignment wrapText="1"/>
      <protection locked="0"/>
    </xf>
    <xf numFmtId="0" fontId="19" fillId="5" borderId="0" xfId="0" applyFont="1" applyFill="1" applyBorder="1" applyProtection="1">
      <protection locked="0"/>
    </xf>
    <xf numFmtId="0" fontId="19" fillId="5" borderId="26" xfId="0" applyFont="1" applyFill="1" applyBorder="1" applyProtection="1">
      <protection locked="0"/>
    </xf>
    <xf numFmtId="0" fontId="19" fillId="5" borderId="6" xfId="0" applyFont="1" applyFill="1" applyBorder="1" applyAlignment="1" applyProtection="1">
      <alignment wrapText="1"/>
      <protection locked="0"/>
    </xf>
    <xf numFmtId="0" fontId="19" fillId="5" borderId="7" xfId="0" applyFont="1" applyFill="1" applyBorder="1" applyAlignment="1" applyProtection="1">
      <alignment wrapText="1"/>
      <protection locked="0"/>
    </xf>
    <xf numFmtId="0" fontId="19" fillId="5" borderId="7" xfId="0" applyFont="1" applyFill="1" applyBorder="1" applyProtection="1">
      <protection locked="0"/>
    </xf>
    <xf numFmtId="0" fontId="19" fillId="5" borderId="8" xfId="0" applyFont="1" applyFill="1" applyBorder="1" applyProtection="1">
      <protection locked="0"/>
    </xf>
    <xf numFmtId="0" fontId="23" fillId="0" borderId="0" xfId="0" applyFont="1" applyAlignment="1" applyProtection="1">
      <alignment vertical="center"/>
    </xf>
    <xf numFmtId="0" fontId="19" fillId="0" borderId="0" xfId="0" applyFont="1" applyAlignment="1" applyProtection="1">
      <alignment vertical="center"/>
    </xf>
    <xf numFmtId="2" fontId="19" fillId="0" borderId="0" xfId="0" applyNumberFormat="1" applyFont="1" applyAlignment="1" applyProtection="1">
      <alignment vertical="center"/>
    </xf>
    <xf numFmtId="0" fontId="37" fillId="0" borderId="0" xfId="0" applyFont="1" applyAlignment="1" applyProtection="1">
      <alignment horizontal="center" vertical="center" wrapText="1"/>
    </xf>
    <xf numFmtId="0" fontId="19" fillId="0" borderId="0" xfId="0" applyFont="1" applyAlignment="1" applyProtection="1">
      <alignment horizontal="center" vertical="center" wrapText="1"/>
    </xf>
    <xf numFmtId="2" fontId="19" fillId="0" borderId="7" xfId="0" applyNumberFormat="1" applyFont="1" applyBorder="1" applyAlignment="1" applyProtection="1">
      <alignment horizontal="center"/>
    </xf>
    <xf numFmtId="2" fontId="19" fillId="0" borderId="7" xfId="0" applyNumberFormat="1" applyFont="1" applyBorder="1" applyAlignment="1" applyProtection="1">
      <alignment horizontal="center" vertical="center"/>
    </xf>
    <xf numFmtId="0" fontId="31" fillId="0" borderId="0" xfId="0" applyFont="1" applyFill="1" applyAlignment="1" applyProtection="1"/>
    <xf numFmtId="0" fontId="31" fillId="0" borderId="0" xfId="0" applyFont="1" applyProtection="1"/>
    <xf numFmtId="0" fontId="19" fillId="0" borderId="9" xfId="0" applyFont="1" applyBorder="1" applyProtection="1"/>
    <xf numFmtId="0" fontId="19" fillId="0" borderId="5" xfId="0" applyFont="1" applyBorder="1" applyProtection="1"/>
    <xf numFmtId="0" fontId="18" fillId="0" borderId="25" xfId="0" applyFont="1" applyBorder="1" applyAlignment="1" applyProtection="1">
      <alignment horizontal="center" wrapText="1"/>
    </xf>
    <xf numFmtId="0" fontId="18" fillId="0" borderId="26" xfId="0" applyFont="1" applyBorder="1" applyAlignment="1" applyProtection="1">
      <alignment horizontal="center" wrapText="1"/>
    </xf>
    <xf numFmtId="0" fontId="18" fillId="6" borderId="25" xfId="0" applyFont="1" applyFill="1" applyBorder="1" applyAlignment="1" applyProtection="1">
      <alignment horizontal="center" wrapText="1"/>
    </xf>
    <xf numFmtId="0" fontId="18" fillId="6" borderId="0" xfId="0" applyFont="1" applyFill="1" applyBorder="1" applyAlignment="1" applyProtection="1">
      <alignment horizontal="center" wrapText="1"/>
    </xf>
    <xf numFmtId="0" fontId="18" fillId="6" borderId="26" xfId="0" applyFont="1" applyFill="1" applyBorder="1" applyAlignment="1" applyProtection="1">
      <alignment horizontal="center" wrapText="1"/>
    </xf>
    <xf numFmtId="0" fontId="18" fillId="3" borderId="25" xfId="0" applyFont="1" applyFill="1" applyBorder="1" applyAlignment="1" applyProtection="1">
      <alignment horizontal="center" wrapText="1"/>
    </xf>
    <xf numFmtId="0" fontId="18" fillId="3" borderId="0" xfId="0" applyFont="1" applyFill="1" applyBorder="1" applyAlignment="1" applyProtection="1">
      <alignment horizontal="center" wrapText="1"/>
    </xf>
    <xf numFmtId="0" fontId="18" fillId="3" borderId="26" xfId="0" applyFont="1" applyFill="1" applyBorder="1" applyAlignment="1" applyProtection="1">
      <alignment horizontal="center" wrapText="1"/>
    </xf>
    <xf numFmtId="0" fontId="19" fillId="0" borderId="25" xfId="0" applyFont="1" applyBorder="1" applyAlignment="1" applyProtection="1">
      <alignment horizontal="center"/>
    </xf>
    <xf numFmtId="2" fontId="19" fillId="0" borderId="26" xfId="0" applyNumberFormat="1" applyFont="1" applyBorder="1" applyAlignment="1" applyProtection="1">
      <alignment horizontal="center"/>
    </xf>
    <xf numFmtId="165" fontId="19" fillId="6" borderId="25" xfId="2" applyFont="1" applyFill="1" applyBorder="1" applyAlignment="1" applyProtection="1">
      <alignment horizontal="center"/>
    </xf>
    <xf numFmtId="10" fontId="19" fillId="3" borderId="25" xfId="0" applyNumberFormat="1" applyFont="1" applyFill="1" applyBorder="1" applyAlignment="1" applyProtection="1">
      <alignment horizontal="center"/>
    </xf>
    <xf numFmtId="10" fontId="19" fillId="6" borderId="25" xfId="0" applyNumberFormat="1" applyFont="1" applyFill="1" applyBorder="1" applyAlignment="1" applyProtection="1">
      <alignment horizontal="center"/>
    </xf>
    <xf numFmtId="0" fontId="18" fillId="0" borderId="6" xfId="0" applyFont="1" applyBorder="1" applyAlignment="1" applyProtection="1">
      <alignment horizontal="center" wrapText="1"/>
    </xf>
    <xf numFmtId="0" fontId="18" fillId="0" borderId="8" xfId="0" applyFont="1" applyBorder="1" applyAlignment="1" applyProtection="1">
      <alignment horizontal="center" wrapText="1"/>
    </xf>
    <xf numFmtId="0" fontId="18" fillId="6" borderId="6" xfId="0" applyFont="1" applyFill="1" applyBorder="1" applyAlignment="1" applyProtection="1">
      <alignment horizontal="center" wrapText="1"/>
    </xf>
    <xf numFmtId="0" fontId="18" fillId="6" borderId="7" xfId="0" applyFont="1" applyFill="1" applyBorder="1" applyAlignment="1" applyProtection="1">
      <alignment horizontal="center" wrapText="1"/>
    </xf>
    <xf numFmtId="0" fontId="18" fillId="6" borderId="8" xfId="0" applyFont="1" applyFill="1" applyBorder="1" applyAlignment="1" applyProtection="1">
      <alignment horizontal="center" wrapText="1"/>
    </xf>
    <xf numFmtId="0" fontId="18" fillId="3" borderId="6" xfId="0" applyFont="1" applyFill="1" applyBorder="1" applyAlignment="1" applyProtection="1">
      <alignment horizontal="center" wrapText="1"/>
    </xf>
    <xf numFmtId="0" fontId="18" fillId="3" borderId="7" xfId="0" applyFont="1" applyFill="1" applyBorder="1" applyAlignment="1" applyProtection="1">
      <alignment horizontal="center" wrapText="1"/>
    </xf>
    <xf numFmtId="0" fontId="18" fillId="3" borderId="8" xfId="0" applyFont="1" applyFill="1" applyBorder="1" applyAlignment="1" applyProtection="1">
      <alignment horizontal="center" wrapText="1"/>
    </xf>
    <xf numFmtId="0" fontId="29" fillId="0" borderId="0" xfId="0" applyFont="1" applyBorder="1" applyAlignment="1" applyProtection="1">
      <alignment horizontal="center"/>
    </xf>
    <xf numFmtId="0" fontId="18" fillId="0" borderId="0" xfId="0" applyFont="1" applyFill="1" applyBorder="1" applyAlignment="1" applyProtection="1">
      <alignment horizontal="right"/>
    </xf>
    <xf numFmtId="0" fontId="4" fillId="0" borderId="0" xfId="0" applyFont="1" applyAlignment="1" applyProtection="1">
      <alignment horizontal="right"/>
    </xf>
    <xf numFmtId="0" fontId="18" fillId="0" borderId="0" xfId="0" applyFont="1" applyBorder="1" applyAlignment="1" applyProtection="1">
      <alignment horizontal="right"/>
    </xf>
    <xf numFmtId="0" fontId="30" fillId="0" borderId="0" xfId="0" applyFont="1" applyProtection="1"/>
    <xf numFmtId="0" fontId="30" fillId="0" borderId="0" xfId="0" applyFont="1" applyFill="1" applyProtection="1"/>
    <xf numFmtId="10" fontId="19" fillId="0" borderId="7" xfId="0" applyNumberFormat="1" applyFont="1" applyBorder="1" applyProtection="1"/>
    <xf numFmtId="10" fontId="19" fillId="0" borderId="30" xfId="0" applyNumberFormat="1" applyFont="1" applyBorder="1" applyProtection="1"/>
    <xf numFmtId="0" fontId="19" fillId="5" borderId="1" xfId="0" applyFont="1" applyFill="1" applyBorder="1" applyAlignment="1" applyProtection="1">
      <alignment horizontal="center"/>
      <protection locked="0"/>
    </xf>
    <xf numFmtId="166" fontId="19" fillId="7" borderId="1" xfId="1" applyNumberFormat="1" applyFont="1" applyFill="1" applyBorder="1" applyAlignment="1" applyProtection="1">
      <alignment horizontal="center"/>
      <protection locked="0"/>
    </xf>
    <xf numFmtId="166" fontId="19" fillId="7" borderId="1" xfId="1" applyFont="1" applyFill="1" applyBorder="1" applyAlignment="1" applyProtection="1">
      <alignment horizontal="center"/>
      <protection locked="0"/>
    </xf>
    <xf numFmtId="0" fontId="0" fillId="0" borderId="0" xfId="0" applyFill="1" applyBorder="1" applyProtection="1"/>
    <xf numFmtId="0" fontId="24" fillId="0" borderId="0" xfId="0" applyFont="1" applyFill="1" applyAlignment="1" applyProtection="1">
      <alignment horizontal="center"/>
    </xf>
    <xf numFmtId="0" fontId="27" fillId="0" borderId="0" xfId="0" applyFont="1" applyFill="1" applyAlignment="1" applyProtection="1">
      <alignment horizontal="center"/>
    </xf>
    <xf numFmtId="0" fontId="41" fillId="0" borderId="0" xfId="0" applyFont="1" applyFill="1" applyAlignment="1" applyProtection="1">
      <alignment horizontal="center"/>
    </xf>
    <xf numFmtId="0" fontId="41" fillId="0" borderId="0" xfId="0" applyFont="1" applyProtection="1"/>
    <xf numFmtId="0" fontId="41" fillId="0" borderId="0" xfId="0" applyFont="1" applyFill="1" applyBorder="1" applyAlignment="1" applyProtection="1">
      <alignment horizontal="center"/>
    </xf>
    <xf numFmtId="0" fontId="43" fillId="0" borderId="0" xfId="0" applyFont="1" applyAlignment="1" applyProtection="1">
      <alignment vertical="center"/>
    </xf>
    <xf numFmtId="0" fontId="21" fillId="0" borderId="0" xfId="0" applyFont="1" applyFill="1" applyBorder="1" applyAlignment="1" applyProtection="1">
      <alignment vertical="center"/>
    </xf>
    <xf numFmtId="0" fontId="21" fillId="0" borderId="0" xfId="0" applyFont="1" applyFill="1" applyAlignment="1" applyProtection="1">
      <alignment vertical="center"/>
    </xf>
    <xf numFmtId="0" fontId="40" fillId="0" borderId="0" xfId="0" applyFont="1" applyAlignment="1" applyProtection="1">
      <alignment vertical="center"/>
    </xf>
    <xf numFmtId="0" fontId="19" fillId="0" borderId="0" xfId="0" applyFont="1" applyFill="1" applyBorder="1" applyAlignment="1" applyProtection="1">
      <alignment horizontal="center"/>
    </xf>
    <xf numFmtId="0" fontId="39" fillId="0" borderId="0" xfId="0" applyFont="1" applyFill="1" applyAlignment="1" applyProtection="1">
      <alignment vertical="center"/>
    </xf>
    <xf numFmtId="0" fontId="40" fillId="0" borderId="0" xfId="0" applyFont="1" applyFill="1" applyProtection="1"/>
    <xf numFmtId="0" fontId="18" fillId="6" borderId="1" xfId="0" applyFont="1" applyFill="1" applyBorder="1" applyAlignment="1" applyProtection="1">
      <alignment horizontal="center" vertical="center" wrapText="1"/>
    </xf>
    <xf numFmtId="0" fontId="18" fillId="3" borderId="1" xfId="0" applyFont="1" applyFill="1" applyBorder="1" applyAlignment="1" applyProtection="1">
      <alignment horizontal="center" vertical="center" wrapText="1"/>
    </xf>
    <xf numFmtId="0" fontId="18" fillId="0" borderId="0" xfId="0" applyFont="1" applyFill="1" applyBorder="1" applyAlignment="1" applyProtection="1">
      <alignment horizontal="center" vertical="center" wrapText="1"/>
    </xf>
    <xf numFmtId="0" fontId="0" fillId="0" borderId="0" xfId="0" applyFill="1" applyAlignment="1" applyProtection="1">
      <alignment horizontal="center"/>
    </xf>
    <xf numFmtId="0" fontId="21" fillId="6" borderId="10" xfId="0" applyFont="1" applyFill="1" applyBorder="1" applyAlignment="1" applyProtection="1">
      <alignment vertical="center"/>
    </xf>
    <xf numFmtId="166" fontId="18" fillId="8" borderId="1" xfId="1" applyFont="1" applyFill="1" applyBorder="1" applyProtection="1"/>
    <xf numFmtId="0" fontId="18" fillId="6" borderId="10" xfId="0" applyFont="1" applyFill="1" applyBorder="1" applyAlignment="1" applyProtection="1">
      <alignment horizontal="center" vertical="center"/>
    </xf>
    <xf numFmtId="165" fontId="18" fillId="6" borderId="1" xfId="2" applyFont="1" applyFill="1" applyBorder="1" applyProtection="1"/>
    <xf numFmtId="166" fontId="18" fillId="6" borderId="10" xfId="0" applyNumberFormat="1" applyFont="1" applyFill="1" applyBorder="1" applyAlignment="1" applyProtection="1">
      <alignment vertical="center"/>
    </xf>
    <xf numFmtId="165" fontId="18" fillId="0" borderId="0" xfId="2" applyFont="1" applyFill="1" applyBorder="1" applyProtection="1"/>
    <xf numFmtId="0" fontId="18" fillId="0" borderId="0" xfId="0" applyFont="1" applyFill="1" applyProtection="1"/>
    <xf numFmtId="0" fontId="19" fillId="0" borderId="1" xfId="0" applyFont="1" applyBorder="1" applyAlignment="1" applyProtection="1">
      <alignment horizontal="center"/>
    </xf>
    <xf numFmtId="166" fontId="19" fillId="6" borderId="1" xfId="1" applyNumberFormat="1" applyFont="1" applyFill="1" applyBorder="1" applyAlignment="1" applyProtection="1">
      <alignment horizontal="center"/>
    </xf>
    <xf numFmtId="165" fontId="19" fillId="6" borderId="1" xfId="2" applyFont="1" applyFill="1" applyBorder="1" applyAlignment="1" applyProtection="1">
      <alignment horizontal="center"/>
    </xf>
    <xf numFmtId="43" fontId="19" fillId="3" borderId="1" xfId="0" applyNumberFormat="1" applyFont="1" applyFill="1" applyBorder="1" applyProtection="1"/>
    <xf numFmtId="165" fontId="19" fillId="3" borderId="1" xfId="2" applyFont="1" applyFill="1" applyBorder="1" applyAlignment="1" applyProtection="1">
      <alignment horizontal="center"/>
    </xf>
    <xf numFmtId="165" fontId="19" fillId="0" borderId="1" xfId="2" applyFont="1" applyBorder="1" applyProtection="1"/>
    <xf numFmtId="165" fontId="19" fillId="0" borderId="1" xfId="2" applyFont="1" applyFill="1" applyBorder="1" applyProtection="1"/>
    <xf numFmtId="165" fontId="19" fillId="0" borderId="0" xfId="2" applyFont="1" applyFill="1" applyBorder="1" applyProtection="1"/>
    <xf numFmtId="0" fontId="38" fillId="0" borderId="0" xfId="0" applyFont="1" applyFill="1" applyProtection="1"/>
    <xf numFmtId="166" fontId="19" fillId="6" borderId="1" xfId="1" applyFont="1" applyFill="1" applyBorder="1" applyAlignment="1" applyProtection="1">
      <alignment horizontal="center"/>
    </xf>
    <xf numFmtId="166" fontId="19" fillId="3" borderId="1" xfId="1" applyFont="1" applyFill="1" applyBorder="1" applyAlignment="1" applyProtection="1">
      <alignment horizontal="center"/>
    </xf>
    <xf numFmtId="2" fontId="19" fillId="0" borderId="0" xfId="0" applyNumberFormat="1" applyFont="1" applyAlignment="1" applyProtection="1">
      <alignment horizontal="center"/>
    </xf>
    <xf numFmtId="44" fontId="19" fillId="6" borderId="0" xfId="0" applyNumberFormat="1" applyFont="1" applyFill="1" applyBorder="1" applyAlignment="1" applyProtection="1">
      <alignment horizontal="center"/>
    </xf>
    <xf numFmtId="44" fontId="19" fillId="6" borderId="26" xfId="0" applyNumberFormat="1" applyFont="1" applyFill="1" applyBorder="1" applyAlignment="1" applyProtection="1">
      <alignment horizontal="center"/>
    </xf>
    <xf numFmtId="44" fontId="19" fillId="3" borderId="0" xfId="0" applyNumberFormat="1" applyFont="1" applyFill="1" applyBorder="1" applyAlignment="1" applyProtection="1">
      <alignment horizontal="center"/>
    </xf>
    <xf numFmtId="44" fontId="19" fillId="3" borderId="26" xfId="0" applyNumberFormat="1" applyFont="1" applyFill="1" applyBorder="1" applyAlignment="1" applyProtection="1">
      <alignment horizontal="center"/>
    </xf>
    <xf numFmtId="165" fontId="8" fillId="0" borderId="1" xfId="2" applyNumberFormat="1" applyFont="1" applyFill="1" applyBorder="1" applyProtection="1"/>
    <xf numFmtId="165" fontId="5" fillId="6" borderId="1" xfId="2" applyNumberFormat="1" applyFont="1" applyFill="1" applyBorder="1" applyProtection="1"/>
    <xf numFmtId="165" fontId="6" fillId="3" borderId="1" xfId="2" applyNumberFormat="1" applyFont="1" applyFill="1" applyBorder="1" applyProtection="1"/>
    <xf numFmtId="10" fontId="5" fillId="6" borderId="1" xfId="3" applyNumberFormat="1" applyFont="1" applyFill="1" applyBorder="1" applyProtection="1"/>
    <xf numFmtId="10" fontId="10" fillId="0" borderId="1" xfId="3" applyNumberFormat="1" applyFont="1" applyFill="1" applyBorder="1" applyProtection="1"/>
    <xf numFmtId="10" fontId="6" fillId="3" borderId="1" xfId="3" applyNumberFormat="1" applyFont="1" applyFill="1" applyBorder="1" applyProtection="1"/>
    <xf numFmtId="166" fontId="21" fillId="6" borderId="11" xfId="1" applyNumberFormat="1" applyFont="1" applyFill="1" applyBorder="1" applyAlignment="1" applyProtection="1"/>
    <xf numFmtId="166" fontId="19" fillId="0" borderId="11" xfId="1" applyNumberFormat="1" applyFont="1" applyFill="1" applyBorder="1" applyAlignment="1" applyProtection="1"/>
    <xf numFmtId="0" fontId="0" fillId="4" borderId="0" xfId="0" applyFill="1" applyBorder="1" applyProtection="1"/>
    <xf numFmtId="0" fontId="41" fillId="4" borderId="0" xfId="0" applyFont="1" applyFill="1" applyBorder="1" applyProtection="1"/>
    <xf numFmtId="0" fontId="21" fillId="4" borderId="0" xfId="0" applyFont="1" applyFill="1" applyBorder="1" applyAlignment="1" applyProtection="1">
      <alignment vertical="center"/>
    </xf>
    <xf numFmtId="0" fontId="12" fillId="4" borderId="0" xfId="0" applyFont="1" applyFill="1" applyBorder="1" applyProtection="1"/>
    <xf numFmtId="0" fontId="8" fillId="0" borderId="0" xfId="0" applyFont="1" applyFill="1" applyBorder="1" applyAlignment="1" applyProtection="1">
      <alignment horizontal="left"/>
    </xf>
    <xf numFmtId="0" fontId="5" fillId="0" borderId="0" xfId="0" applyFont="1" applyFill="1" applyBorder="1" applyAlignment="1" applyProtection="1">
      <alignment horizontal="left"/>
    </xf>
    <xf numFmtId="165" fontId="5" fillId="0" borderId="0" xfId="2" applyNumberFormat="1" applyFont="1" applyFill="1" applyBorder="1" applyProtection="1"/>
    <xf numFmtId="0" fontId="8" fillId="0" borderId="0" xfId="0" applyFont="1" applyFill="1" applyBorder="1" applyProtection="1"/>
    <xf numFmtId="1" fontId="19" fillId="0" borderId="0" xfId="0" applyNumberFormat="1" applyFont="1" applyAlignment="1" applyProtection="1">
      <alignment horizontal="center"/>
    </xf>
    <xf numFmtId="1" fontId="19" fillId="0" borderId="0" xfId="0" applyNumberFormat="1" applyFont="1" applyAlignment="1" applyProtection="1">
      <alignment horizontal="center" vertical="center"/>
    </xf>
    <xf numFmtId="9" fontId="8" fillId="4" borderId="0" xfId="3" applyFont="1" applyFill="1" applyBorder="1" applyProtection="1"/>
    <xf numFmtId="1" fontId="10" fillId="4" borderId="0" xfId="1" applyNumberFormat="1" applyFont="1" applyFill="1" applyBorder="1" applyProtection="1"/>
    <xf numFmtId="0" fontId="1" fillId="4" borderId="1" xfId="0" applyFont="1" applyFill="1" applyBorder="1" applyAlignment="1" applyProtection="1">
      <alignment horizontal="center" wrapText="1"/>
    </xf>
    <xf numFmtId="0" fontId="12" fillId="4" borderId="1" xfId="0" applyFont="1" applyFill="1" applyBorder="1" applyProtection="1"/>
    <xf numFmtId="0" fontId="0" fillId="4" borderId="1" xfId="0" applyFill="1" applyBorder="1" applyProtection="1"/>
    <xf numFmtId="0" fontId="1" fillId="4" borderId="0" xfId="0" applyFont="1" applyFill="1" applyProtection="1"/>
    <xf numFmtId="0" fontId="12" fillId="0" borderId="0" xfId="0" applyFont="1" applyAlignment="1" applyProtection="1">
      <alignment horizontal="center" vertical="center"/>
    </xf>
    <xf numFmtId="0" fontId="45" fillId="0" borderId="0" xfId="0" applyFont="1" applyFill="1" applyAlignment="1" applyProtection="1">
      <alignment vertical="center"/>
    </xf>
    <xf numFmtId="0" fontId="24" fillId="4" borderId="0" xfId="0" applyFont="1" applyFill="1" applyAlignment="1" applyProtection="1">
      <alignment horizontal="center"/>
    </xf>
    <xf numFmtId="0" fontId="27" fillId="4" borderId="0" xfId="0" applyFont="1" applyFill="1" applyAlignment="1" applyProtection="1">
      <alignment horizontal="center"/>
    </xf>
    <xf numFmtId="0" fontId="41" fillId="4" borderId="0" xfId="0" applyFont="1" applyFill="1" applyAlignment="1" applyProtection="1">
      <alignment horizontal="center"/>
    </xf>
    <xf numFmtId="0" fontId="21" fillId="4" borderId="0" xfId="0" applyFont="1" applyFill="1" applyAlignment="1" applyProtection="1">
      <alignment vertical="center"/>
    </xf>
    <xf numFmtId="0" fontId="19" fillId="4" borderId="1" xfId="0" applyFont="1" applyFill="1" applyBorder="1" applyProtection="1"/>
    <xf numFmtId="0" fontId="18" fillId="4" borderId="1" xfId="0" applyFont="1" applyFill="1" applyBorder="1" applyProtection="1"/>
    <xf numFmtId="0" fontId="0" fillId="0" borderId="1" xfId="0" applyFill="1" applyBorder="1" applyAlignment="1" applyProtection="1">
      <alignment horizontal="center" vertical="center"/>
    </xf>
    <xf numFmtId="0" fontId="12" fillId="0" borderId="1" xfId="0" applyFont="1" applyFill="1" applyBorder="1" applyAlignment="1" applyProtection="1">
      <alignment horizontal="center" wrapText="1"/>
    </xf>
    <xf numFmtId="0" fontId="12" fillId="0" borderId="1" xfId="0" applyFont="1" applyBorder="1" applyAlignment="1" applyProtection="1">
      <alignment horizontal="center" wrapText="1"/>
    </xf>
    <xf numFmtId="166" fontId="0" fillId="0" borderId="1" xfId="1" applyFont="1" applyBorder="1" applyAlignment="1" applyProtection="1">
      <alignment horizontal="center"/>
    </xf>
    <xf numFmtId="0" fontId="46" fillId="4" borderId="1" xfId="0" applyFont="1" applyFill="1" applyBorder="1" applyAlignment="1" applyProtection="1">
      <alignment horizontal="center" wrapText="1"/>
    </xf>
    <xf numFmtId="165" fontId="19" fillId="7" borderId="11" xfId="2" applyNumberFormat="1" applyFont="1" applyFill="1" applyBorder="1" applyAlignment="1" applyProtection="1">
      <protection locked="0"/>
    </xf>
    <xf numFmtId="10" fontId="19" fillId="0" borderId="0" xfId="0" applyNumberFormat="1" applyFont="1" applyBorder="1" applyProtection="1"/>
    <xf numFmtId="165" fontId="19" fillId="7" borderId="1" xfId="2" applyFont="1" applyFill="1" applyBorder="1" applyAlignment="1" applyProtection="1">
      <alignment horizontal="center"/>
      <protection locked="0"/>
    </xf>
    <xf numFmtId="0" fontId="0" fillId="0" borderId="1" xfId="0" applyFill="1" applyBorder="1" applyAlignment="1" applyProtection="1">
      <alignment horizontal="center"/>
    </xf>
    <xf numFmtId="9" fontId="0" fillId="4" borderId="0" xfId="3" applyFont="1" applyFill="1" applyBorder="1" applyAlignment="1" applyProtection="1">
      <alignment horizontal="center"/>
    </xf>
    <xf numFmtId="10" fontId="1" fillId="4" borderId="1" xfId="0" applyNumberFormat="1" applyFont="1" applyFill="1" applyBorder="1" applyAlignment="1" applyProtection="1">
      <alignment horizontal="center"/>
    </xf>
    <xf numFmtId="0" fontId="19" fillId="0" borderId="0" xfId="0" applyFont="1" applyFill="1" applyAlignment="1" applyProtection="1">
      <alignment vertical="center"/>
    </xf>
    <xf numFmtId="10" fontId="19" fillId="0" borderId="0" xfId="0" applyNumberFormat="1" applyFont="1" applyFill="1" applyProtection="1"/>
    <xf numFmtId="165" fontId="5" fillId="5" borderId="45" xfId="2" applyNumberFormat="1" applyFont="1" applyFill="1" applyBorder="1" applyProtection="1">
      <protection locked="0"/>
    </xf>
    <xf numFmtId="165" fontId="5" fillId="6" borderId="46" xfId="2" applyNumberFormat="1" applyFont="1" applyFill="1" applyBorder="1" applyProtection="1"/>
    <xf numFmtId="165" fontId="5" fillId="3" borderId="47" xfId="2" applyNumberFormat="1" applyFont="1" applyFill="1" applyBorder="1" applyProtection="1"/>
    <xf numFmtId="165" fontId="5" fillId="3" borderId="48" xfId="2" applyNumberFormat="1" applyFont="1" applyFill="1" applyBorder="1" applyProtection="1"/>
    <xf numFmtId="0" fontId="25" fillId="0" borderId="0" xfId="0" applyFont="1" applyFill="1" applyAlignment="1" applyProtection="1">
      <alignment horizontal="center"/>
    </xf>
    <xf numFmtId="0" fontId="34" fillId="0" borderId="0" xfId="0" applyFont="1" applyAlignment="1" applyProtection="1"/>
    <xf numFmtId="0" fontId="24" fillId="0" borderId="0" xfId="0" applyFont="1" applyAlignment="1" applyProtection="1"/>
    <xf numFmtId="0" fontId="3" fillId="0" borderId="0" xfId="0" applyFont="1" applyAlignment="1" applyProtection="1">
      <alignment wrapText="1"/>
    </xf>
    <xf numFmtId="0" fontId="3" fillId="0" borderId="0" xfId="0" applyFont="1" applyProtection="1"/>
    <xf numFmtId="49" fontId="4" fillId="0" borderId="0" xfId="0" applyNumberFormat="1" applyFont="1" applyFill="1" applyAlignment="1" applyProtection="1">
      <alignment horizontal="right" vertical="top"/>
    </xf>
    <xf numFmtId="49" fontId="4" fillId="0" borderId="0" xfId="0" applyNumberFormat="1" applyFont="1" applyFill="1" applyAlignment="1" applyProtection="1">
      <alignment horizontal="right"/>
    </xf>
    <xf numFmtId="0" fontId="4" fillId="0" borderId="0" xfId="0" applyFont="1" applyAlignment="1" applyProtection="1">
      <alignment vertical="top" wrapText="1"/>
    </xf>
    <xf numFmtId="49" fontId="4" fillId="0" borderId="0" xfId="0" applyNumberFormat="1" applyFont="1" applyAlignment="1" applyProtection="1">
      <alignment horizontal="right" vertical="top"/>
    </xf>
    <xf numFmtId="49" fontId="4" fillId="0" borderId="0" xfId="0" applyNumberFormat="1" applyFont="1" applyAlignment="1" applyProtection="1">
      <alignment horizontal="right"/>
    </xf>
    <xf numFmtId="0" fontId="4" fillId="0" borderId="0" xfId="0" applyFont="1" applyFill="1" applyAlignment="1" applyProtection="1">
      <alignment vertical="top" wrapText="1"/>
    </xf>
    <xf numFmtId="0" fontId="17" fillId="0" borderId="0" xfId="0" applyFont="1" applyFill="1" applyProtection="1"/>
    <xf numFmtId="0" fontId="47" fillId="0" borderId="0" xfId="0" applyFont="1" applyProtection="1"/>
    <xf numFmtId="0" fontId="21" fillId="0" borderId="0" xfId="0" applyFont="1" applyAlignment="1" applyProtection="1">
      <alignment vertical="center" wrapText="1"/>
    </xf>
    <xf numFmtId="0" fontId="5" fillId="0" borderId="1" xfId="0" applyFont="1" applyBorder="1" applyAlignment="1" applyProtection="1"/>
    <xf numFmtId="165" fontId="21" fillId="6" borderId="1" xfId="2" applyFont="1" applyFill="1" applyBorder="1" applyAlignment="1" applyProtection="1"/>
    <xf numFmtId="165" fontId="19" fillId="0" borderId="3" xfId="2" applyNumberFormat="1" applyFont="1" applyFill="1" applyBorder="1" applyAlignment="1" applyProtection="1"/>
    <xf numFmtId="0" fontId="0" fillId="9" borderId="1" xfId="0" applyFill="1" applyBorder="1" applyAlignment="1" applyProtection="1">
      <alignment horizontal="center"/>
    </xf>
    <xf numFmtId="0" fontId="0" fillId="0" borderId="1" xfId="0" applyBorder="1" applyProtection="1"/>
    <xf numFmtId="0" fontId="0" fillId="10" borderId="1" xfId="0" applyFill="1" applyBorder="1" applyAlignment="1" applyProtection="1">
      <alignment horizontal="center"/>
    </xf>
    <xf numFmtId="0" fontId="0" fillId="10" borderId="2" xfId="0" applyFill="1" applyBorder="1" applyProtection="1"/>
    <xf numFmtId="0" fontId="0" fillId="10" borderId="49" xfId="0" applyFill="1" applyBorder="1" applyProtection="1"/>
    <xf numFmtId="0" fontId="0" fillId="10" borderId="3" xfId="0" applyFill="1" applyBorder="1" applyProtection="1"/>
    <xf numFmtId="0" fontId="48" fillId="0" borderId="0" xfId="0" applyFont="1" applyProtection="1"/>
    <xf numFmtId="0" fontId="45" fillId="0" borderId="0" xfId="0" applyFont="1" applyAlignment="1" applyProtection="1">
      <alignment vertical="center"/>
    </xf>
    <xf numFmtId="0" fontId="18" fillId="2" borderId="1" xfId="0" applyFont="1" applyFill="1" applyBorder="1" applyAlignment="1" applyProtection="1">
      <alignment horizontal="center" vertical="center" wrapText="1"/>
    </xf>
    <xf numFmtId="0" fontId="5" fillId="0" borderId="2" xfId="0" applyFont="1" applyBorder="1" applyAlignment="1" applyProtection="1"/>
    <xf numFmtId="0" fontId="10" fillId="0" borderId="3" xfId="0" applyFont="1" applyFill="1" applyBorder="1" applyAlignment="1" applyProtection="1"/>
    <xf numFmtId="0" fontId="8" fillId="5" borderId="1" xfId="0" applyFont="1" applyFill="1" applyBorder="1" applyAlignment="1" applyProtection="1">
      <alignment wrapText="1"/>
      <protection locked="0"/>
    </xf>
    <xf numFmtId="0" fontId="5" fillId="0" borderId="2" xfId="0" applyFont="1" applyBorder="1" applyProtection="1"/>
    <xf numFmtId="0" fontId="5" fillId="0" borderId="2" xfId="0" applyFont="1" applyFill="1" applyBorder="1" applyAlignment="1" applyProtection="1"/>
    <xf numFmtId="1" fontId="10" fillId="4" borderId="11" xfId="1" applyNumberFormat="1" applyFont="1" applyFill="1" applyBorder="1" applyProtection="1"/>
    <xf numFmtId="0" fontId="8" fillId="0" borderId="12" xfId="0" applyFont="1" applyFill="1" applyBorder="1" applyAlignment="1" applyProtection="1">
      <alignment horizontal="left"/>
    </xf>
    <xf numFmtId="9" fontId="8" fillId="4" borderId="4" xfId="3" applyFont="1" applyFill="1" applyBorder="1" applyProtection="1"/>
    <xf numFmtId="1" fontId="8" fillId="0" borderId="11" xfId="0" applyNumberFormat="1" applyFont="1" applyFill="1" applyBorder="1" applyAlignment="1" applyProtection="1">
      <alignment horizontal="center"/>
    </xf>
    <xf numFmtId="0" fontId="10" fillId="6" borderId="8" xfId="0" applyFont="1" applyFill="1" applyBorder="1" applyAlignment="1" applyProtection="1">
      <alignment horizontal="center" wrapText="1"/>
    </xf>
    <xf numFmtId="0" fontId="48" fillId="2" borderId="0" xfId="0" applyFont="1" applyFill="1" applyProtection="1"/>
    <xf numFmtId="0" fontId="41" fillId="0" borderId="0" xfId="0" applyFont="1" applyAlignment="1" applyProtection="1">
      <alignment horizontal="center" vertical="center"/>
    </xf>
    <xf numFmtId="166" fontId="21" fillId="6" borderId="1" xfId="1" applyNumberFormat="1" applyFont="1" applyFill="1" applyBorder="1" applyAlignment="1" applyProtection="1"/>
    <xf numFmtId="166" fontId="19" fillId="0" borderId="1" xfId="1" applyNumberFormat="1" applyFont="1" applyFill="1" applyBorder="1" applyAlignment="1" applyProtection="1"/>
    <xf numFmtId="0" fontId="19" fillId="0" borderId="0" xfId="0" applyFont="1" applyAlignment="1" applyProtection="1"/>
    <xf numFmtId="0" fontId="41" fillId="0" borderId="0" xfId="0" applyFont="1" applyAlignment="1" applyProtection="1"/>
    <xf numFmtId="0" fontId="41" fillId="0" borderId="0" xfId="0" applyFont="1" applyAlignment="1" applyProtection="1">
      <alignment vertical="center"/>
    </xf>
    <xf numFmtId="165" fontId="19" fillId="0" borderId="6" xfId="2" applyNumberFormat="1" applyFont="1" applyFill="1" applyBorder="1" applyAlignment="1" applyProtection="1"/>
    <xf numFmtId="165" fontId="19" fillId="6" borderId="11" xfId="2" applyNumberFormat="1" applyFont="1" applyFill="1" applyBorder="1" applyAlignment="1" applyProtection="1"/>
    <xf numFmtId="165" fontId="19" fillId="6" borderId="1" xfId="2" applyNumberFormat="1" applyFont="1" applyFill="1" applyBorder="1" applyAlignment="1" applyProtection="1"/>
    <xf numFmtId="165" fontId="19" fillId="6" borderId="3" xfId="2" applyNumberFormat="1" applyFont="1" applyFill="1" applyBorder="1" applyAlignment="1" applyProtection="1"/>
    <xf numFmtId="165" fontId="19" fillId="6" borderId="6" xfId="2" applyNumberFormat="1" applyFont="1" applyFill="1" applyBorder="1" applyAlignment="1" applyProtection="1"/>
    <xf numFmtId="165" fontId="19" fillId="3" borderId="3" xfId="2" applyNumberFormat="1" applyFont="1" applyFill="1" applyBorder="1" applyAlignment="1" applyProtection="1"/>
    <xf numFmtId="9" fontId="8" fillId="0" borderId="0" xfId="3" applyFont="1" applyFill="1" applyBorder="1" applyProtection="1"/>
    <xf numFmtId="1" fontId="10" fillId="0" borderId="0" xfId="1" applyNumberFormat="1" applyFont="1" applyFill="1" applyBorder="1" applyProtection="1"/>
    <xf numFmtId="0" fontId="8" fillId="0" borderId="0" xfId="0" applyFont="1" applyFill="1" applyProtection="1"/>
    <xf numFmtId="165" fontId="5" fillId="0" borderId="12" xfId="2" applyNumberFormat="1" applyFont="1" applyFill="1" applyBorder="1" applyProtection="1"/>
    <xf numFmtId="10" fontId="5" fillId="0" borderId="12" xfId="3" applyNumberFormat="1" applyFont="1" applyFill="1" applyBorder="1" applyProtection="1"/>
    <xf numFmtId="165" fontId="21" fillId="6" borderId="1" xfId="2" applyNumberFormat="1" applyFont="1" applyFill="1" applyBorder="1" applyAlignment="1" applyProtection="1"/>
    <xf numFmtId="165" fontId="41" fillId="0" borderId="0" xfId="0" applyNumberFormat="1" applyFont="1" applyAlignment="1" applyProtection="1">
      <alignment vertical="center"/>
    </xf>
    <xf numFmtId="165" fontId="45" fillId="0" borderId="0" xfId="0" applyNumberFormat="1" applyFont="1" applyAlignment="1" applyProtection="1">
      <alignment vertical="center"/>
    </xf>
    <xf numFmtId="166" fontId="19" fillId="4" borderId="8" xfId="1" applyNumberFormat="1" applyFont="1" applyFill="1" applyBorder="1" applyAlignment="1" applyProtection="1">
      <alignment horizontal="center"/>
    </xf>
    <xf numFmtId="0" fontId="49" fillId="0" borderId="0" xfId="0" applyFont="1" applyFill="1" applyProtection="1"/>
    <xf numFmtId="165" fontId="8" fillId="6" borderId="1" xfId="2" applyNumberFormat="1" applyFont="1" applyFill="1" applyBorder="1" applyProtection="1"/>
    <xf numFmtId="165" fontId="41" fillId="0" borderId="0" xfId="0" applyNumberFormat="1" applyFont="1" applyAlignment="1" applyProtection="1"/>
    <xf numFmtId="171" fontId="19" fillId="5" borderId="6" xfId="0" applyNumberFormat="1" applyFont="1" applyFill="1" applyBorder="1" applyAlignment="1" applyProtection="1">
      <alignment horizontal="left" vertical="center" wrapText="1"/>
      <protection locked="0"/>
    </xf>
    <xf numFmtId="0" fontId="18" fillId="2" borderId="11" xfId="0" applyFont="1" applyFill="1" applyBorder="1" applyAlignment="1" applyProtection="1">
      <alignment horizontal="center" vertical="center" wrapText="1"/>
    </xf>
    <xf numFmtId="165" fontId="5" fillId="11" borderId="1" xfId="2" applyNumberFormat="1" applyFont="1" applyFill="1" applyBorder="1" applyProtection="1"/>
    <xf numFmtId="10" fontId="5" fillId="11" borderId="1" xfId="3" applyNumberFormat="1" applyFont="1" applyFill="1" applyBorder="1" applyProtection="1"/>
    <xf numFmtId="169" fontId="15" fillId="0" borderId="11" xfId="1" applyNumberFormat="1" applyFont="1" applyFill="1" applyBorder="1" applyProtection="1"/>
    <xf numFmtId="165" fontId="15" fillId="0" borderId="1" xfId="2" applyNumberFormat="1" applyFont="1" applyFill="1" applyBorder="1" applyProtection="1"/>
    <xf numFmtId="10" fontId="15" fillId="0" borderId="1" xfId="3" applyNumberFormat="1" applyFont="1" applyFill="1" applyBorder="1" applyProtection="1"/>
    <xf numFmtId="165" fontId="5" fillId="0" borderId="1" xfId="2" applyNumberFormat="1" applyFont="1" applyFill="1" applyBorder="1" applyProtection="1"/>
    <xf numFmtId="10" fontId="5" fillId="0" borderId="1" xfId="3" applyNumberFormat="1" applyFont="1" applyFill="1" applyBorder="1" applyProtection="1"/>
    <xf numFmtId="0" fontId="1" fillId="12" borderId="0" xfId="0" applyFont="1" applyFill="1" applyProtection="1"/>
    <xf numFmtId="165" fontId="41" fillId="0" borderId="0" xfId="0" applyNumberFormat="1" applyFont="1" applyFill="1" applyAlignment="1" applyProtection="1">
      <alignment vertical="center"/>
    </xf>
    <xf numFmtId="0" fontId="51" fillId="0" borderId="0" xfId="0" applyFont="1" applyAlignment="1" applyProtection="1">
      <alignment vertical="center"/>
    </xf>
    <xf numFmtId="0" fontId="52" fillId="0" borderId="0" xfId="0" applyFont="1" applyAlignment="1" applyProtection="1">
      <alignment horizontal="right" vertical="center"/>
    </xf>
    <xf numFmtId="0" fontId="53" fillId="0" borderId="0" xfId="0" applyFont="1" applyAlignment="1" applyProtection="1">
      <alignment horizontal="center" vertical="center"/>
    </xf>
    <xf numFmtId="0" fontId="53" fillId="2" borderId="0" xfId="0" applyFont="1" applyFill="1" applyAlignment="1" applyProtection="1">
      <alignment horizontal="center" vertical="center"/>
    </xf>
    <xf numFmtId="0" fontId="53" fillId="0" borderId="0" xfId="0" applyFont="1" applyFill="1" applyAlignment="1" applyProtection="1">
      <alignment horizontal="center" vertical="center"/>
    </xf>
    <xf numFmtId="164" fontId="11" fillId="0" borderId="31" xfId="1" applyNumberFormat="1" applyFont="1" applyFill="1" applyBorder="1" applyProtection="1"/>
    <xf numFmtId="166" fontId="0" fillId="0" borderId="31" xfId="1" applyFont="1" applyFill="1" applyBorder="1" applyAlignment="1" applyProtection="1"/>
    <xf numFmtId="0" fontId="24" fillId="0" borderId="0" xfId="0" applyFont="1" applyAlignment="1" applyProtection="1">
      <alignment horizontal="center"/>
    </xf>
    <xf numFmtId="0" fontId="21" fillId="0" borderId="0" xfId="0" applyFont="1" applyAlignment="1" applyProtection="1">
      <alignment horizontal="left" vertical="center" wrapText="1"/>
    </xf>
    <xf numFmtId="0" fontId="27" fillId="0" borderId="0" xfId="0" applyFont="1" applyAlignment="1" applyProtection="1">
      <alignment horizontal="center"/>
    </xf>
    <xf numFmtId="0" fontId="18" fillId="0" borderId="0" xfId="0" applyFont="1" applyFill="1" applyBorder="1" applyAlignment="1" applyProtection="1">
      <alignment horizontal="left"/>
    </xf>
    <xf numFmtId="0" fontId="18" fillId="0" borderId="0" xfId="0" quotePrefix="1" applyFont="1" applyFill="1" applyBorder="1" applyAlignment="1" applyProtection="1">
      <alignment horizontal="left"/>
    </xf>
    <xf numFmtId="0" fontId="19" fillId="0" borderId="0" xfId="0" applyFont="1" applyAlignment="1" applyProtection="1">
      <alignment horizontal="center"/>
    </xf>
    <xf numFmtId="0" fontId="41" fillId="0" borderId="0" xfId="0" applyFont="1" applyAlignment="1" applyProtection="1">
      <alignment horizontal="center"/>
    </xf>
    <xf numFmtId="0" fontId="5" fillId="6" borderId="10" xfId="0" applyFont="1" applyFill="1" applyBorder="1" applyAlignment="1" applyProtection="1">
      <alignment horizontal="left"/>
    </xf>
    <xf numFmtId="169" fontId="8" fillId="0" borderId="11" xfId="1" applyNumberFormat="1" applyFont="1" applyFill="1" applyBorder="1" applyAlignment="1" applyProtection="1">
      <alignment horizontal="left"/>
    </xf>
    <xf numFmtId="169" fontId="8" fillId="0" borderId="10" xfId="1" applyNumberFormat="1" applyFont="1" applyFill="1" applyBorder="1" applyAlignment="1" applyProtection="1">
      <alignment horizontal="left"/>
    </xf>
    <xf numFmtId="0" fontId="5" fillId="0" borderId="12" xfId="0" applyFont="1" applyFill="1" applyBorder="1" applyAlignment="1" applyProtection="1">
      <alignment horizontal="left"/>
    </xf>
    <xf numFmtId="0" fontId="18" fillId="0" borderId="11" xfId="0" applyFont="1" applyBorder="1" applyAlignment="1" applyProtection="1">
      <alignment horizontal="center" vertical="center" wrapText="1"/>
    </xf>
    <xf numFmtId="0" fontId="28" fillId="0" borderId="0" xfId="0" applyFont="1" applyFill="1" applyBorder="1" applyAlignment="1" applyProtection="1">
      <alignment horizontal="center" vertical="center"/>
    </xf>
    <xf numFmtId="0" fontId="19" fillId="0" borderId="0" xfId="0" applyFont="1" applyAlignment="1" applyProtection="1">
      <alignment horizontal="left" vertical="center"/>
    </xf>
    <xf numFmtId="0" fontId="0" fillId="0" borderId="0" xfId="0" applyAlignment="1" applyProtection="1">
      <alignment horizontal="center"/>
    </xf>
    <xf numFmtId="165" fontId="19" fillId="5" borderId="1" xfId="2" applyNumberFormat="1" applyFont="1" applyFill="1" applyBorder="1" applyAlignment="1" applyProtection="1">
      <protection locked="0"/>
    </xf>
    <xf numFmtId="165" fontId="19" fillId="5" borderId="11" xfId="2" applyNumberFormat="1" applyFont="1" applyFill="1" applyBorder="1" applyAlignment="1" applyProtection="1">
      <protection locked="0"/>
    </xf>
    <xf numFmtId="1" fontId="19" fillId="4" borderId="13" xfId="0" applyNumberFormat="1" applyFont="1" applyFill="1" applyBorder="1" applyAlignment="1" applyProtection="1">
      <protection locked="0"/>
    </xf>
    <xf numFmtId="1" fontId="19" fillId="0" borderId="0" xfId="0" applyNumberFormat="1" applyFont="1" applyFill="1" applyBorder="1" applyAlignment="1" applyProtection="1"/>
    <xf numFmtId="0" fontId="19" fillId="2" borderId="0" xfId="0" applyFont="1" applyFill="1" applyProtection="1"/>
    <xf numFmtId="1" fontId="19" fillId="2" borderId="0" xfId="0" applyNumberFormat="1" applyFont="1" applyFill="1" applyAlignment="1" applyProtection="1">
      <alignment horizontal="left"/>
    </xf>
    <xf numFmtId="0" fontId="19" fillId="7" borderId="0" xfId="0" applyFont="1" applyFill="1" applyAlignment="1" applyProtection="1">
      <alignment horizontal="center" vertical="center"/>
      <protection locked="0"/>
    </xf>
    <xf numFmtId="165" fontId="0" fillId="4" borderId="1" xfId="2" applyFont="1" applyFill="1" applyBorder="1" applyProtection="1"/>
    <xf numFmtId="165" fontId="19" fillId="5" borderId="1" xfId="2" applyFont="1" applyFill="1" applyBorder="1" applyAlignment="1" applyProtection="1">
      <alignment horizontal="center"/>
      <protection locked="0"/>
    </xf>
    <xf numFmtId="171" fontId="19" fillId="5" borderId="1" xfId="5" applyNumberFormat="1" applyFont="1" applyFill="1" applyBorder="1" applyAlignment="1" applyProtection="1">
      <alignment horizontal="left" vertical="center" wrapText="1"/>
      <protection locked="0"/>
    </xf>
    <xf numFmtId="171" fontId="19" fillId="5" borderId="6" xfId="5" applyFont="1" applyFill="1" applyBorder="1" applyProtection="1">
      <protection locked="0"/>
    </xf>
    <xf numFmtId="172" fontId="19" fillId="5" borderId="6" xfId="5" applyNumberFormat="1" applyFont="1" applyFill="1" applyBorder="1" applyProtection="1">
      <protection locked="0"/>
    </xf>
    <xf numFmtId="171" fontId="19" fillId="5" borderId="6" xfId="6" applyFont="1" applyFill="1" applyBorder="1" applyProtection="1">
      <protection locked="0"/>
    </xf>
    <xf numFmtId="172" fontId="19" fillId="5" borderId="6" xfId="6" applyNumberFormat="1" applyFont="1" applyFill="1" applyBorder="1" applyProtection="1">
      <protection locked="0"/>
    </xf>
    <xf numFmtId="164" fontId="19" fillId="7" borderId="11" xfId="2" applyNumberFormat="1" applyFont="1" applyFill="1" applyBorder="1" applyAlignment="1" applyProtection="1">
      <protection locked="0"/>
    </xf>
    <xf numFmtId="0" fontId="3" fillId="0" borderId="0" xfId="0" applyFont="1" applyAlignment="1" applyProtection="1">
      <alignment horizontal="left" vertical="center" wrapText="1"/>
    </xf>
    <xf numFmtId="0" fontId="24" fillId="0" borderId="0" xfId="0" applyFont="1" applyAlignment="1" applyProtection="1">
      <alignment horizontal="center"/>
    </xf>
    <xf numFmtId="0" fontId="34" fillId="0" borderId="0" xfId="0" applyFont="1" applyAlignment="1" applyProtection="1">
      <alignment horizontal="center"/>
    </xf>
    <xf numFmtId="0" fontId="35" fillId="0" borderId="0" xfId="0" applyFont="1" applyAlignment="1" applyProtection="1">
      <alignment horizontal="center"/>
    </xf>
    <xf numFmtId="10" fontId="19" fillId="5" borderId="13" xfId="0" applyNumberFormat="1" applyFont="1" applyFill="1" applyBorder="1" applyAlignment="1" applyProtection="1">
      <alignment horizontal="left"/>
      <protection locked="0"/>
    </xf>
    <xf numFmtId="0" fontId="19" fillId="5" borderId="13" xfId="0" applyFont="1" applyFill="1" applyBorder="1" applyAlignment="1" applyProtection="1">
      <alignment horizontal="left"/>
      <protection locked="0"/>
    </xf>
    <xf numFmtId="1" fontId="19" fillId="0" borderId="13" xfId="0" applyNumberFormat="1" applyFont="1" applyFill="1" applyBorder="1" applyAlignment="1" applyProtection="1">
      <alignment horizontal="left"/>
    </xf>
    <xf numFmtId="171" fontId="19" fillId="5" borderId="13" xfId="0" applyNumberFormat="1" applyFont="1" applyFill="1" applyBorder="1" applyAlignment="1" applyProtection="1">
      <alignment horizontal="left"/>
    </xf>
    <xf numFmtId="0" fontId="18" fillId="0" borderId="0" xfId="0" applyFont="1" applyFill="1" applyBorder="1" applyAlignment="1" applyProtection="1">
      <alignment horizontal="left"/>
    </xf>
    <xf numFmtId="0" fontId="18" fillId="0" borderId="0" xfId="0" quotePrefix="1" applyFont="1" applyFill="1" applyBorder="1" applyAlignment="1" applyProtection="1">
      <alignment horizontal="left"/>
    </xf>
    <xf numFmtId="0" fontId="18" fillId="0" borderId="0" xfId="0" quotePrefix="1" applyFont="1" applyBorder="1" applyAlignment="1" applyProtection="1">
      <alignment horizontal="left"/>
    </xf>
    <xf numFmtId="0" fontId="21" fillId="0" borderId="0" xfId="0" applyFont="1" applyAlignment="1" applyProtection="1">
      <alignment horizontal="left" vertical="center" wrapText="1"/>
    </xf>
    <xf numFmtId="0" fontId="27" fillId="0" borderId="0" xfId="0" applyFont="1" applyAlignment="1" applyProtection="1">
      <alignment horizontal="center"/>
    </xf>
    <xf numFmtId="15" fontId="19" fillId="5" borderId="13" xfId="0" applyNumberFormat="1" applyFont="1" applyFill="1" applyBorder="1" applyAlignment="1" applyProtection="1">
      <alignment horizontal="left"/>
      <protection locked="0"/>
    </xf>
    <xf numFmtId="0" fontId="19" fillId="5" borderId="13" xfId="0" applyNumberFormat="1" applyFont="1" applyFill="1" applyBorder="1" applyAlignment="1" applyProtection="1">
      <alignment horizontal="left"/>
      <protection locked="0"/>
    </xf>
    <xf numFmtId="1" fontId="19" fillId="5" borderId="13" xfId="0" applyNumberFormat="1" applyFont="1" applyFill="1" applyBorder="1" applyAlignment="1" applyProtection="1">
      <alignment horizontal="left"/>
      <protection locked="0"/>
    </xf>
    <xf numFmtId="2" fontId="19" fillId="7" borderId="13" xfId="0" applyNumberFormat="1" applyFont="1" applyFill="1" applyBorder="1" applyAlignment="1" applyProtection="1">
      <alignment horizontal="left"/>
      <protection locked="0"/>
    </xf>
    <xf numFmtId="0" fontId="18" fillId="0" borderId="0" xfId="0" applyFont="1" applyBorder="1" applyAlignment="1" applyProtection="1">
      <alignment horizontal="left"/>
    </xf>
    <xf numFmtId="0" fontId="15" fillId="6" borderId="39" xfId="0" applyFont="1" applyFill="1" applyBorder="1" applyAlignment="1" applyProtection="1">
      <alignment horizontal="left"/>
    </xf>
    <xf numFmtId="0" fontId="15" fillId="6" borderId="40" xfId="0" applyFont="1" applyFill="1" applyBorder="1" applyAlignment="1" applyProtection="1">
      <alignment horizontal="left"/>
    </xf>
    <xf numFmtId="0" fontId="15" fillId="6" borderId="41" xfId="0" applyFont="1" applyFill="1" applyBorder="1" applyAlignment="1" applyProtection="1">
      <alignment horizontal="left"/>
    </xf>
    <xf numFmtId="0" fontId="15" fillId="3" borderId="42" xfId="0" applyFont="1" applyFill="1" applyBorder="1" applyAlignment="1" applyProtection="1">
      <alignment horizontal="left"/>
    </xf>
    <xf numFmtId="0" fontId="15" fillId="3" borderId="43" xfId="0" applyFont="1" applyFill="1" applyBorder="1" applyAlignment="1" applyProtection="1">
      <alignment horizontal="left"/>
    </xf>
    <xf numFmtId="0" fontId="15" fillId="3" borderId="44" xfId="0" applyFont="1" applyFill="1" applyBorder="1" applyAlignment="1" applyProtection="1">
      <alignment horizontal="left"/>
    </xf>
    <xf numFmtId="0" fontId="5" fillId="11" borderId="11" xfId="0" applyFont="1" applyFill="1" applyBorder="1" applyAlignment="1" applyProtection="1">
      <alignment horizontal="left"/>
    </xf>
    <xf numFmtId="0" fontId="5" fillId="11" borderId="12" xfId="0" applyFont="1" applyFill="1" applyBorder="1" applyAlignment="1" applyProtection="1">
      <alignment horizontal="left"/>
    </xf>
    <xf numFmtId="0" fontId="5" fillId="11" borderId="10" xfId="0" applyFont="1" applyFill="1" applyBorder="1" applyAlignment="1" applyProtection="1">
      <alignment horizontal="left"/>
    </xf>
    <xf numFmtId="169" fontId="8" fillId="0" borderId="11" xfId="1" applyNumberFormat="1" applyFont="1" applyFill="1" applyBorder="1" applyAlignment="1" applyProtection="1">
      <alignment horizontal="left"/>
    </xf>
    <xf numFmtId="169" fontId="8" fillId="0" borderId="10" xfId="1" applyNumberFormat="1" applyFont="1" applyFill="1" applyBorder="1" applyAlignment="1" applyProtection="1">
      <alignment horizontal="left"/>
    </xf>
    <xf numFmtId="0" fontId="6" fillId="3" borderId="11" xfId="0" applyFont="1" applyFill="1" applyBorder="1" applyAlignment="1" applyProtection="1">
      <alignment horizontal="left"/>
    </xf>
    <xf numFmtId="0" fontId="6" fillId="3" borderId="12" xfId="0" applyFont="1" applyFill="1" applyBorder="1" applyAlignment="1" applyProtection="1">
      <alignment horizontal="left"/>
    </xf>
    <xf numFmtId="0" fontId="6" fillId="3" borderId="10" xfId="0" applyFont="1" applyFill="1" applyBorder="1" applyAlignment="1" applyProtection="1">
      <alignment horizontal="left"/>
    </xf>
    <xf numFmtId="0" fontId="5" fillId="6" borderId="11" xfId="0" applyFont="1" applyFill="1" applyBorder="1" applyAlignment="1" applyProtection="1">
      <alignment horizontal="left"/>
    </xf>
    <xf numFmtId="0" fontId="5" fillId="6" borderId="12" xfId="0" applyFont="1" applyFill="1" applyBorder="1" applyAlignment="1" applyProtection="1">
      <alignment horizontal="left"/>
    </xf>
    <xf numFmtId="0" fontId="5" fillId="6" borderId="10" xfId="0" applyFont="1" applyFill="1" applyBorder="1" applyAlignment="1" applyProtection="1">
      <alignment horizontal="left"/>
    </xf>
    <xf numFmtId="0" fontId="8" fillId="0" borderId="1" xfId="0" applyFont="1" applyFill="1" applyBorder="1" applyAlignment="1" applyProtection="1">
      <alignment horizontal="left"/>
    </xf>
    <xf numFmtId="0" fontId="8" fillId="0" borderId="11" xfId="0" applyFont="1" applyFill="1" applyBorder="1" applyAlignment="1" applyProtection="1">
      <alignment horizontal="left"/>
    </xf>
    <xf numFmtId="0" fontId="5" fillId="0" borderId="11" xfId="0" applyFont="1" applyFill="1" applyBorder="1" applyAlignment="1" applyProtection="1">
      <alignment horizontal="left"/>
    </xf>
    <xf numFmtId="0" fontId="5" fillId="0" borderId="12" xfId="0" applyFont="1" applyFill="1" applyBorder="1" applyAlignment="1" applyProtection="1">
      <alignment horizontal="left"/>
    </xf>
    <xf numFmtId="0" fontId="5" fillId="0" borderId="10" xfId="0" applyFont="1" applyFill="1" applyBorder="1" applyAlignment="1" applyProtection="1">
      <alignment horizontal="left"/>
    </xf>
    <xf numFmtId="0" fontId="5" fillId="0" borderId="11" xfId="0" applyFont="1" applyBorder="1" applyAlignment="1" applyProtection="1">
      <alignment horizontal="left"/>
    </xf>
    <xf numFmtId="0" fontId="5" fillId="0" borderId="12" xfId="0" applyFont="1" applyBorder="1" applyAlignment="1" applyProtection="1">
      <alignment horizontal="left"/>
    </xf>
    <xf numFmtId="0" fontId="5" fillId="0" borderId="10" xfId="0" applyFont="1" applyBorder="1" applyAlignment="1" applyProtection="1">
      <alignment horizontal="left"/>
    </xf>
    <xf numFmtId="0" fontId="5" fillId="6" borderId="1" xfId="0" applyFont="1" applyFill="1" applyBorder="1" applyAlignment="1" applyProtection="1">
      <alignment horizontal="left"/>
    </xf>
    <xf numFmtId="169" fontId="8" fillId="0" borderId="12" xfId="1" applyNumberFormat="1" applyFont="1" applyFill="1" applyBorder="1" applyAlignment="1" applyProtection="1">
      <alignment horizontal="left"/>
    </xf>
    <xf numFmtId="0" fontId="6" fillId="0" borderId="11" xfId="0" applyFont="1" applyBorder="1" applyAlignment="1" applyProtection="1">
      <alignment horizontal="center"/>
    </xf>
    <xf numFmtId="0" fontId="6" fillId="0" borderId="12" xfId="0" applyFont="1" applyBorder="1" applyAlignment="1" applyProtection="1">
      <alignment horizontal="center"/>
    </xf>
    <xf numFmtId="0" fontId="6" fillId="0" borderId="10" xfId="0" applyFont="1" applyBorder="1" applyAlignment="1" applyProtection="1">
      <alignment horizontal="center"/>
    </xf>
    <xf numFmtId="0" fontId="19" fillId="0" borderId="0" xfId="0" applyFont="1" applyAlignment="1" applyProtection="1">
      <alignment horizontal="center"/>
    </xf>
    <xf numFmtId="0" fontId="41" fillId="0" borderId="0" xfId="0" applyFont="1" applyAlignment="1" applyProtection="1">
      <alignment horizontal="center"/>
    </xf>
    <xf numFmtId="0" fontId="41" fillId="0" borderId="7" xfId="0" applyFont="1" applyBorder="1" applyAlignment="1" applyProtection="1">
      <alignment horizontal="center"/>
    </xf>
    <xf numFmtId="0" fontId="19" fillId="5" borderId="9" xfId="0" applyFont="1" applyFill="1" applyBorder="1" applyAlignment="1" applyProtection="1">
      <alignment horizontal="left" vertical="top" wrapText="1"/>
      <protection locked="0"/>
    </xf>
    <xf numFmtId="0" fontId="19" fillId="5" borderId="4" xfId="0" applyFont="1" applyFill="1" applyBorder="1" applyAlignment="1" applyProtection="1">
      <alignment horizontal="left" vertical="top" wrapText="1"/>
      <protection locked="0"/>
    </xf>
    <xf numFmtId="0" fontId="19" fillId="5" borderId="5" xfId="0" applyFont="1" applyFill="1" applyBorder="1" applyAlignment="1" applyProtection="1">
      <alignment horizontal="left" vertical="top" wrapText="1"/>
      <protection locked="0"/>
    </xf>
    <xf numFmtId="0" fontId="53" fillId="0" borderId="7" xfId="0" applyFont="1" applyBorder="1" applyAlignment="1" applyProtection="1">
      <alignment horizontal="center" vertical="center"/>
    </xf>
    <xf numFmtId="0" fontId="40" fillId="3" borderId="11" xfId="0" applyFont="1" applyFill="1" applyBorder="1" applyAlignment="1" applyProtection="1">
      <alignment horizontal="center"/>
    </xf>
    <xf numFmtId="0" fontId="40" fillId="3" borderId="12" xfId="0" applyFont="1" applyFill="1" applyBorder="1" applyAlignment="1" applyProtection="1">
      <alignment horizontal="center"/>
    </xf>
    <xf numFmtId="0" fontId="40" fillId="3" borderId="10" xfId="0" applyFont="1" applyFill="1" applyBorder="1" applyAlignment="1" applyProtection="1">
      <alignment horizontal="center"/>
    </xf>
    <xf numFmtId="0" fontId="40" fillId="6" borderId="1" xfId="0" applyFont="1" applyFill="1" applyBorder="1" applyAlignment="1" applyProtection="1">
      <alignment horizontal="center"/>
    </xf>
    <xf numFmtId="0" fontId="40" fillId="0" borderId="1" xfId="0" applyFont="1" applyBorder="1" applyAlignment="1" applyProtection="1">
      <alignment horizontal="center"/>
    </xf>
    <xf numFmtId="0" fontId="18" fillId="0" borderId="11" xfId="0" applyFont="1" applyBorder="1" applyAlignment="1" applyProtection="1">
      <alignment horizontal="center" vertical="center" wrapText="1"/>
    </xf>
    <xf numFmtId="0" fontId="18" fillId="0" borderId="12" xfId="0" applyFont="1" applyBorder="1" applyAlignment="1" applyProtection="1">
      <alignment horizontal="center" vertical="center" wrapText="1"/>
    </xf>
    <xf numFmtId="0" fontId="18" fillId="0" borderId="10" xfId="0" applyFont="1" applyBorder="1" applyAlignment="1" applyProtection="1">
      <alignment horizontal="center" vertical="center" wrapText="1"/>
    </xf>
    <xf numFmtId="0" fontId="31" fillId="6" borderId="11" xfId="0" applyFont="1" applyFill="1" applyBorder="1" applyAlignment="1" applyProtection="1">
      <alignment horizontal="center" vertical="center"/>
    </xf>
    <xf numFmtId="0" fontId="31" fillId="6" borderId="12" xfId="0" applyFont="1" applyFill="1" applyBorder="1" applyAlignment="1" applyProtection="1">
      <alignment horizontal="center" vertical="center"/>
    </xf>
    <xf numFmtId="0" fontId="31" fillId="6" borderId="10" xfId="0" applyFont="1" applyFill="1" applyBorder="1" applyAlignment="1" applyProtection="1">
      <alignment horizontal="center" vertical="center"/>
    </xf>
    <xf numFmtId="0" fontId="43" fillId="3" borderId="11" xfId="0" applyFont="1" applyFill="1" applyBorder="1" applyAlignment="1" applyProtection="1">
      <alignment horizontal="center"/>
    </xf>
    <xf numFmtId="0" fontId="43" fillId="3" borderId="12" xfId="0" applyFont="1" applyFill="1" applyBorder="1" applyAlignment="1" applyProtection="1">
      <alignment horizontal="center"/>
    </xf>
    <xf numFmtId="0" fontId="43" fillId="3" borderId="10" xfId="0" applyFont="1" applyFill="1" applyBorder="1" applyAlignment="1" applyProtection="1">
      <alignment horizontal="center"/>
    </xf>
    <xf numFmtId="0" fontId="43" fillId="6" borderId="11" xfId="0" applyFont="1" applyFill="1" applyBorder="1" applyAlignment="1" applyProtection="1">
      <alignment horizontal="center"/>
    </xf>
    <xf numFmtId="0" fontId="43" fillId="6" borderId="12" xfId="0" applyFont="1" applyFill="1" applyBorder="1" applyAlignment="1" applyProtection="1">
      <alignment horizontal="center"/>
    </xf>
    <xf numFmtId="0" fontId="43" fillId="6" borderId="10" xfId="0" applyFont="1" applyFill="1" applyBorder="1" applyAlignment="1" applyProtection="1">
      <alignment horizontal="center"/>
    </xf>
    <xf numFmtId="0" fontId="43" fillId="0" borderId="11" xfId="0" applyFont="1" applyBorder="1" applyAlignment="1" applyProtection="1">
      <alignment horizontal="center"/>
    </xf>
    <xf numFmtId="0" fontId="43" fillId="0" borderId="12" xfId="0" applyFont="1" applyBorder="1" applyAlignment="1" applyProtection="1">
      <alignment horizontal="center"/>
    </xf>
    <xf numFmtId="0" fontId="43" fillId="0" borderId="10" xfId="0" applyFont="1" applyBorder="1" applyAlignment="1" applyProtection="1">
      <alignment horizontal="center"/>
    </xf>
    <xf numFmtId="0" fontId="28" fillId="0" borderId="0" xfId="0" applyFont="1" applyFill="1" applyBorder="1" applyAlignment="1" applyProtection="1">
      <alignment horizontal="center" vertical="center"/>
    </xf>
    <xf numFmtId="0" fontId="6" fillId="6" borderId="9" xfId="0" applyFont="1" applyFill="1" applyBorder="1" applyAlignment="1" applyProtection="1">
      <alignment horizontal="center"/>
    </xf>
    <xf numFmtId="0" fontId="6" fillId="6" borderId="4" xfId="0" applyFont="1" applyFill="1" applyBorder="1" applyAlignment="1" applyProtection="1">
      <alignment horizontal="center"/>
    </xf>
    <xf numFmtId="0" fontId="6" fillId="6" borderId="5" xfId="0" applyFont="1" applyFill="1" applyBorder="1" applyAlignment="1" applyProtection="1">
      <alignment horizontal="center"/>
    </xf>
    <xf numFmtId="0" fontId="6" fillId="3" borderId="9" xfId="0" applyFont="1" applyFill="1" applyBorder="1" applyAlignment="1" applyProtection="1">
      <alignment horizontal="center"/>
    </xf>
    <xf numFmtId="0" fontId="6" fillId="3" borderId="4" xfId="0" applyFont="1" applyFill="1" applyBorder="1" applyAlignment="1" applyProtection="1">
      <alignment horizontal="center"/>
    </xf>
    <xf numFmtId="0" fontId="6" fillId="3" borderId="5" xfId="0" applyFont="1" applyFill="1" applyBorder="1" applyAlignment="1" applyProtection="1">
      <alignment horizontal="center"/>
    </xf>
    <xf numFmtId="0" fontId="38" fillId="0" borderId="0" xfId="0" applyFont="1" applyAlignment="1" applyProtection="1">
      <alignment horizontal="left" vertical="center"/>
    </xf>
    <xf numFmtId="0" fontId="19" fillId="0" borderId="0" xfId="0" applyFont="1" applyAlignment="1" applyProtection="1">
      <alignment horizontal="left" vertical="center"/>
    </xf>
    <xf numFmtId="0" fontId="19" fillId="0" borderId="0" xfId="0" applyFont="1" applyAlignment="1" applyProtection="1">
      <alignment horizontal="left" vertical="center" wrapText="1"/>
    </xf>
    <xf numFmtId="0" fontId="0" fillId="0" borderId="0" xfId="0" applyAlignment="1" applyProtection="1">
      <alignment horizontal="center"/>
    </xf>
    <xf numFmtId="0" fontId="36" fillId="0" borderId="0" xfId="0" applyFont="1" applyAlignment="1" applyProtection="1">
      <alignment horizontal="left" vertical="center" wrapText="1"/>
    </xf>
    <xf numFmtId="9" fontId="0" fillId="0" borderId="7" xfId="3" applyNumberFormat="1" applyFont="1" applyBorder="1" applyAlignment="1" applyProtection="1">
      <alignment horizontal="center"/>
    </xf>
    <xf numFmtId="9" fontId="0" fillId="0" borderId="18" xfId="3" applyNumberFormat="1" applyFont="1" applyBorder="1" applyAlignment="1" applyProtection="1">
      <alignment horizontal="center"/>
    </xf>
    <xf numFmtId="170" fontId="0" fillId="0" borderId="12" xfId="0" applyNumberFormat="1" applyFill="1" applyBorder="1" applyAlignment="1" applyProtection="1">
      <alignment horizontal="center" wrapText="1"/>
    </xf>
    <xf numFmtId="170" fontId="0" fillId="0" borderId="19" xfId="0" applyNumberFormat="1" applyFill="1" applyBorder="1" applyAlignment="1" applyProtection="1">
      <alignment horizontal="center" wrapText="1"/>
    </xf>
    <xf numFmtId="10" fontId="0" fillId="0" borderId="7" xfId="3" applyNumberFormat="1" applyFont="1" applyBorder="1" applyAlignment="1" applyProtection="1">
      <alignment horizontal="center"/>
    </xf>
    <xf numFmtId="10" fontId="0" fillId="0" borderId="18" xfId="3" applyNumberFormat="1" applyFont="1" applyBorder="1" applyAlignment="1" applyProtection="1">
      <alignment horizontal="center"/>
    </xf>
    <xf numFmtId="10" fontId="0" fillId="0" borderId="12" xfId="0" applyNumberFormat="1" applyFill="1" applyBorder="1" applyAlignment="1" applyProtection="1">
      <alignment horizontal="center"/>
    </xf>
    <xf numFmtId="10" fontId="0" fillId="0" borderId="19" xfId="0" applyNumberFormat="1" applyFill="1" applyBorder="1" applyAlignment="1" applyProtection="1">
      <alignment horizontal="center"/>
    </xf>
    <xf numFmtId="10" fontId="0" fillId="0" borderId="16" xfId="3" applyNumberFormat="1" applyFont="1" applyBorder="1" applyAlignment="1" applyProtection="1">
      <alignment horizontal="center"/>
    </xf>
    <xf numFmtId="10" fontId="0" fillId="0" borderId="19" xfId="3" applyNumberFormat="1" applyFont="1" applyBorder="1" applyAlignment="1" applyProtection="1">
      <alignment horizontal="center"/>
    </xf>
    <xf numFmtId="10" fontId="0" fillId="0" borderId="7" xfId="3" applyNumberFormat="1" applyFont="1" applyFill="1" applyBorder="1" applyAlignment="1" applyProtection="1">
      <alignment horizontal="center"/>
    </xf>
    <xf numFmtId="10" fontId="0" fillId="0" borderId="18" xfId="3" applyNumberFormat="1" applyFont="1" applyFill="1" applyBorder="1" applyAlignment="1" applyProtection="1">
      <alignment horizontal="center"/>
    </xf>
    <xf numFmtId="0" fontId="1" fillId="0" borderId="4" xfId="3" applyNumberFormat="1" applyFont="1" applyBorder="1" applyAlignment="1" applyProtection="1">
      <alignment horizontal="center"/>
    </xf>
    <xf numFmtId="0" fontId="0" fillId="0" borderId="23" xfId="3" applyNumberFormat="1" applyFont="1" applyBorder="1" applyAlignment="1" applyProtection="1">
      <alignment horizontal="center"/>
    </xf>
    <xf numFmtId="0" fontId="0" fillId="0" borderId="0" xfId="0" applyAlignment="1" applyProtection="1">
      <alignment horizontal="left" vertical="center" wrapText="1"/>
    </xf>
    <xf numFmtId="0" fontId="1" fillId="0" borderId="2" xfId="0" applyFont="1" applyBorder="1" applyAlignment="1" applyProtection="1">
      <alignment horizontal="center" vertical="center" wrapText="1"/>
    </xf>
    <xf numFmtId="0" fontId="0" fillId="0" borderId="49" xfId="0" applyBorder="1" applyAlignment="1" applyProtection="1">
      <alignment horizontal="center" vertical="center" wrapText="1"/>
    </xf>
    <xf numFmtId="0" fontId="0" fillId="0" borderId="3" xfId="0" applyBorder="1" applyAlignment="1" applyProtection="1">
      <alignment horizontal="center" vertical="center" wrapText="1"/>
    </xf>
    <xf numFmtId="170" fontId="0" fillId="0" borderId="37" xfId="2" applyNumberFormat="1" applyFont="1" applyBorder="1" applyAlignment="1" applyProtection="1">
      <alignment horizontal="center"/>
    </xf>
    <xf numFmtId="170" fontId="0" fillId="0" borderId="38" xfId="2" applyNumberFormat="1" applyFont="1" applyBorder="1" applyAlignment="1" applyProtection="1">
      <alignment horizontal="center"/>
    </xf>
    <xf numFmtId="0" fontId="13" fillId="0" borderId="0" xfId="0" applyFont="1" applyAlignment="1" applyProtection="1">
      <alignment horizontal="center"/>
    </xf>
    <xf numFmtId="0" fontId="10" fillId="6" borderId="9" xfId="0" applyFont="1" applyFill="1" applyBorder="1" applyAlignment="1" applyProtection="1">
      <alignment horizontal="center" wrapText="1"/>
    </xf>
    <xf numFmtId="0" fontId="10" fillId="6" borderId="4" xfId="0" applyFont="1" applyFill="1" applyBorder="1" applyAlignment="1" applyProtection="1">
      <alignment horizontal="center" wrapText="1"/>
    </xf>
    <xf numFmtId="0" fontId="10" fillId="6" borderId="5" xfId="0" applyFont="1" applyFill="1" applyBorder="1" applyAlignment="1" applyProtection="1">
      <alignment horizontal="center" wrapText="1"/>
    </xf>
    <xf numFmtId="0" fontId="10" fillId="6" borderId="11" xfId="0" applyFont="1" applyFill="1" applyBorder="1" applyAlignment="1" applyProtection="1">
      <alignment horizontal="center" wrapText="1"/>
    </xf>
    <xf numFmtId="0" fontId="10" fillId="6" borderId="12" xfId="0" applyFont="1" applyFill="1" applyBorder="1" applyAlignment="1" applyProtection="1">
      <alignment horizontal="center" wrapText="1"/>
    </xf>
    <xf numFmtId="0" fontId="10" fillId="6" borderId="10" xfId="0" applyFont="1" applyFill="1" applyBorder="1" applyAlignment="1" applyProtection="1">
      <alignment horizontal="center" wrapText="1"/>
    </xf>
    <xf numFmtId="0" fontId="10" fillId="6" borderId="2" xfId="0" applyFont="1" applyFill="1" applyBorder="1" applyAlignment="1" applyProtection="1">
      <alignment horizontal="center" wrapText="1"/>
    </xf>
    <xf numFmtId="0" fontId="10" fillId="6" borderId="3" xfId="0" applyFont="1" applyFill="1" applyBorder="1" applyAlignment="1" applyProtection="1">
      <alignment horizontal="center" wrapText="1"/>
    </xf>
    <xf numFmtId="169" fontId="10" fillId="6" borderId="2" xfId="1" applyNumberFormat="1" applyFont="1" applyFill="1" applyBorder="1" applyAlignment="1" applyProtection="1">
      <alignment horizontal="center" wrapText="1"/>
    </xf>
    <xf numFmtId="169" fontId="10" fillId="6" borderId="3" xfId="1" applyNumberFormat="1" applyFont="1" applyFill="1" applyBorder="1" applyAlignment="1" applyProtection="1">
      <alignment horizontal="center" wrapText="1"/>
    </xf>
    <xf numFmtId="169" fontId="10" fillId="2" borderId="2" xfId="1" applyNumberFormat="1" applyFont="1" applyFill="1" applyBorder="1" applyAlignment="1" applyProtection="1">
      <alignment horizontal="center" wrapText="1"/>
    </xf>
    <xf numFmtId="169" fontId="10" fillId="2" borderId="3" xfId="1" applyNumberFormat="1" applyFont="1" applyFill="1" applyBorder="1" applyAlignment="1" applyProtection="1">
      <alignment horizontal="center" wrapText="1"/>
    </xf>
  </cellXfs>
  <cellStyles count="7">
    <cellStyle name="Comma" xfId="1" builtinId="3"/>
    <cellStyle name="Currency" xfId="2" builtinId="4"/>
    <cellStyle name="Normal" xfId="0" builtinId="0"/>
    <cellStyle name="Normal 2" xfId="5"/>
    <cellStyle name="Normal 3" xfId="6"/>
    <cellStyle name="Percent" xfId="3" builtinId="5"/>
    <cellStyle name="Postal Code" xfId="4"/>
  </cellStyles>
  <dxfs count="12">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FFFCC"/>
      <color rgb="FFFFFFC5"/>
      <color rgb="FFCCE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57150</xdr:colOff>
      <xdr:row>36</xdr:row>
      <xdr:rowOff>47625</xdr:rowOff>
    </xdr:from>
    <xdr:to>
      <xdr:col>2</xdr:col>
      <xdr:colOff>2819400</xdr:colOff>
      <xdr:row>38</xdr:row>
      <xdr:rowOff>152400</xdr:rowOff>
    </xdr:to>
    <xdr:sp macro="[0]!PrintAllPagesWOcomment" textlink="">
      <xdr:nvSpPr>
        <xdr:cNvPr id="7170" name="Rectangle 2"/>
        <xdr:cNvSpPr>
          <a:spLocks noChangeArrowheads="1"/>
        </xdr:cNvSpPr>
      </xdr:nvSpPr>
      <xdr:spPr bwMode="auto">
        <a:xfrm>
          <a:off x="609600" y="8743950"/>
          <a:ext cx="2762250" cy="44767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all pages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2</xdr:col>
      <xdr:colOff>3076574</xdr:colOff>
      <xdr:row>36</xdr:row>
      <xdr:rowOff>57150</xdr:rowOff>
    </xdr:from>
    <xdr:to>
      <xdr:col>2</xdr:col>
      <xdr:colOff>5905499</xdr:colOff>
      <xdr:row>39</xdr:row>
      <xdr:rowOff>9525</xdr:rowOff>
    </xdr:to>
    <xdr:sp macro="[0]!PrintAllPagesWcomment" textlink="">
      <xdr:nvSpPr>
        <xdr:cNvPr id="7171" name="Rectangle 3"/>
        <xdr:cNvSpPr>
          <a:spLocks noChangeArrowheads="1"/>
        </xdr:cNvSpPr>
      </xdr:nvSpPr>
      <xdr:spPr bwMode="auto">
        <a:xfrm>
          <a:off x="3629024" y="8753475"/>
          <a:ext cx="2828925" cy="466725"/>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all pages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2</xdr:col>
      <xdr:colOff>649986</xdr:colOff>
      <xdr:row>3</xdr:row>
      <xdr:rowOff>53340</xdr:rowOff>
    </xdr:to>
    <xdr:pic>
      <xdr:nvPicPr>
        <xdr:cNvPr id="4" name="Picture 3" descr="CLIV"/>
        <xdr:cNvPicPr/>
      </xdr:nvPicPr>
      <xdr:blipFill>
        <a:blip xmlns:r="http://schemas.openxmlformats.org/officeDocument/2006/relationships" r:embed="rId1" cstate="print"/>
        <a:srcRect/>
        <a:stretch>
          <a:fillRect/>
        </a:stretch>
      </xdr:blipFill>
      <xdr:spPr bwMode="auto">
        <a:xfrm>
          <a:off x="0" y="0"/>
          <a:ext cx="1202436" cy="681990"/>
        </a:xfrm>
        <a:prstGeom prst="rect">
          <a:avLst/>
        </a:prstGeom>
        <a:noFill/>
        <a:ln w="9525">
          <a:noFill/>
          <a:miter lim="800000"/>
          <a:headEnd/>
          <a:tailEnd/>
        </a:ln>
      </xdr:spPr>
    </xdr:pic>
    <xdr:clientData/>
  </xdr:twoCellAnchor>
  <xdr:twoCellAnchor>
    <xdr:from>
      <xdr:col>3</xdr:col>
      <xdr:colOff>600075</xdr:colOff>
      <xdr:row>0</xdr:row>
      <xdr:rowOff>57150</xdr:rowOff>
    </xdr:from>
    <xdr:to>
      <xdr:col>7</xdr:col>
      <xdr:colOff>0</xdr:colOff>
      <xdr:row>3</xdr:row>
      <xdr:rowOff>38100</xdr:rowOff>
    </xdr:to>
    <xdr:sp macro="[0]!PrintInstructionPage" textlink="">
      <xdr:nvSpPr>
        <xdr:cNvPr id="5" name="Rectangle 2"/>
        <xdr:cNvSpPr>
          <a:spLocks noChangeArrowheads="1"/>
        </xdr:cNvSpPr>
      </xdr:nvSpPr>
      <xdr:spPr bwMode="auto">
        <a:xfrm>
          <a:off x="7353300" y="57150"/>
          <a:ext cx="1838325" cy="52387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the Instruction Page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834771</xdr:colOff>
      <xdr:row>3</xdr:row>
      <xdr:rowOff>13335</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0" y="0"/>
          <a:ext cx="1244346" cy="680085"/>
        </a:xfrm>
        <a:prstGeom prst="rect">
          <a:avLst/>
        </a:prstGeom>
        <a:noFill/>
        <a:ln w="9525">
          <a:noFill/>
          <a:miter lim="800000"/>
          <a:headEnd/>
          <a:tailEnd/>
        </a:ln>
      </xdr:spPr>
    </xdr:pic>
    <xdr:clientData/>
  </xdr:twoCellAnchor>
  <xdr:twoCellAnchor>
    <xdr:from>
      <xdr:col>14</xdr:col>
      <xdr:colOff>19050</xdr:colOff>
      <xdr:row>0</xdr:row>
      <xdr:rowOff>47625</xdr:rowOff>
    </xdr:from>
    <xdr:to>
      <xdr:col>17</xdr:col>
      <xdr:colOff>9525</xdr:colOff>
      <xdr:row>2</xdr:row>
      <xdr:rowOff>95250</xdr:rowOff>
    </xdr:to>
    <xdr:sp macro="[0]!PrintPage1" textlink="">
      <xdr:nvSpPr>
        <xdr:cNvPr id="3" name="Rectangle 2"/>
        <xdr:cNvSpPr>
          <a:spLocks noChangeArrowheads="1"/>
        </xdr:cNvSpPr>
      </xdr:nvSpPr>
      <xdr:spPr bwMode="auto">
        <a:xfrm>
          <a:off x="9229725" y="47625"/>
          <a:ext cx="1819275" cy="46672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333376</xdr:colOff>
      <xdr:row>0</xdr:row>
      <xdr:rowOff>57151</xdr:rowOff>
    </xdr:from>
    <xdr:to>
      <xdr:col>11</xdr:col>
      <xdr:colOff>2381250</xdr:colOff>
      <xdr:row>2</xdr:row>
      <xdr:rowOff>133350</xdr:rowOff>
    </xdr:to>
    <xdr:sp macro="[0]!PrintPage2WOcomment" textlink="">
      <xdr:nvSpPr>
        <xdr:cNvPr id="2085" name="Rectangle 37"/>
        <xdr:cNvSpPr>
          <a:spLocks noChangeArrowheads="1"/>
        </xdr:cNvSpPr>
      </xdr:nvSpPr>
      <xdr:spPr bwMode="auto">
        <a:xfrm>
          <a:off x="7534276" y="57151"/>
          <a:ext cx="2390774" cy="533399"/>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11</xdr:col>
      <xdr:colOff>2514600</xdr:colOff>
      <xdr:row>0</xdr:row>
      <xdr:rowOff>47626</xdr:rowOff>
    </xdr:from>
    <xdr:to>
      <xdr:col>11</xdr:col>
      <xdr:colOff>4895849</xdr:colOff>
      <xdr:row>2</xdr:row>
      <xdr:rowOff>123826</xdr:rowOff>
    </xdr:to>
    <xdr:sp macro="[0]!PrintPage2Wcomment" textlink="">
      <xdr:nvSpPr>
        <xdr:cNvPr id="2088" name="Rectangle 40"/>
        <xdr:cNvSpPr>
          <a:spLocks noChangeArrowheads="1"/>
        </xdr:cNvSpPr>
      </xdr:nvSpPr>
      <xdr:spPr bwMode="auto">
        <a:xfrm>
          <a:off x="10058400" y="47626"/>
          <a:ext cx="2381249" cy="533400"/>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2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twoCellAnchor editAs="oneCell">
    <xdr:from>
      <xdr:col>0</xdr:col>
      <xdr:colOff>0</xdr:colOff>
      <xdr:row>0</xdr:row>
      <xdr:rowOff>0</xdr:rowOff>
    </xdr:from>
    <xdr:to>
      <xdr:col>1</xdr:col>
      <xdr:colOff>729996</xdr:colOff>
      <xdr:row>3</xdr:row>
      <xdr:rowOff>16510</xdr:rowOff>
    </xdr:to>
    <xdr:pic>
      <xdr:nvPicPr>
        <xdr:cNvPr id="4" name="Picture 3" descr="CLIV"/>
        <xdr:cNvPicPr/>
      </xdr:nvPicPr>
      <xdr:blipFill>
        <a:blip xmlns:r="http://schemas.openxmlformats.org/officeDocument/2006/relationships" r:embed="rId1" cstate="print"/>
        <a:srcRect/>
        <a:stretch>
          <a:fillRect/>
        </a:stretch>
      </xdr:blipFill>
      <xdr:spPr bwMode="auto">
        <a:xfrm>
          <a:off x="0" y="0"/>
          <a:ext cx="1244346" cy="68008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939546</xdr:colOff>
      <xdr:row>3</xdr:row>
      <xdr:rowOff>28574</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47625" y="38100"/>
          <a:ext cx="1215771" cy="619124"/>
        </a:xfrm>
        <a:prstGeom prst="rect">
          <a:avLst/>
        </a:prstGeom>
        <a:noFill/>
        <a:ln w="9525">
          <a:noFill/>
          <a:miter lim="800000"/>
          <a:headEnd/>
          <a:tailEnd/>
        </a:ln>
      </xdr:spPr>
    </xdr:pic>
    <xdr:clientData/>
  </xdr:twoCellAnchor>
  <xdr:twoCellAnchor>
    <xdr:from>
      <xdr:col>37</xdr:col>
      <xdr:colOff>28575</xdr:colOff>
      <xdr:row>0</xdr:row>
      <xdr:rowOff>28575</xdr:rowOff>
    </xdr:from>
    <xdr:to>
      <xdr:col>40</xdr:col>
      <xdr:colOff>352425</xdr:colOff>
      <xdr:row>3</xdr:row>
      <xdr:rowOff>28575</xdr:rowOff>
    </xdr:to>
    <xdr:sp macro="[0]!PrintPage3WOcomment" textlink="">
      <xdr:nvSpPr>
        <xdr:cNvPr id="3" name="Rectangle 37"/>
        <xdr:cNvSpPr>
          <a:spLocks noChangeArrowheads="1"/>
        </xdr:cNvSpPr>
      </xdr:nvSpPr>
      <xdr:spPr bwMode="auto">
        <a:xfrm>
          <a:off x="20459700" y="28575"/>
          <a:ext cx="1847850" cy="628650"/>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3 </a:t>
          </a:r>
          <a:r>
            <a:rPr lang="en-CA" sz="1000" b="1" i="0" u="none" strike="noStrike" baseline="0">
              <a:solidFill>
                <a:srgbClr val="000000"/>
              </a:solidFill>
              <a:latin typeface="Century Gothic"/>
            </a:rPr>
            <a:t>WITHOUT</a:t>
          </a:r>
          <a:r>
            <a:rPr lang="en-CA" sz="1000" b="0" i="0" u="none" strike="noStrike" baseline="0">
              <a:solidFill>
                <a:srgbClr val="000000"/>
              </a:solidFill>
              <a:latin typeface="Century Gothic"/>
            </a:rPr>
            <a:t> Comments page</a:t>
          </a:r>
        </a:p>
      </xdr:txBody>
    </xdr:sp>
    <xdr:clientData/>
  </xdr:twoCellAnchor>
  <xdr:twoCellAnchor>
    <xdr:from>
      <xdr:col>40</xdr:col>
      <xdr:colOff>419101</xdr:colOff>
      <xdr:row>0</xdr:row>
      <xdr:rowOff>28574</xdr:rowOff>
    </xdr:from>
    <xdr:to>
      <xdr:col>43</xdr:col>
      <xdr:colOff>581025</xdr:colOff>
      <xdr:row>3</xdr:row>
      <xdr:rowOff>38099</xdr:rowOff>
    </xdr:to>
    <xdr:sp macro="[0]!PrintPage3Wcomment" textlink="">
      <xdr:nvSpPr>
        <xdr:cNvPr id="4" name="Rectangle 40"/>
        <xdr:cNvSpPr>
          <a:spLocks noChangeArrowheads="1"/>
        </xdr:cNvSpPr>
      </xdr:nvSpPr>
      <xdr:spPr bwMode="auto">
        <a:xfrm>
          <a:off x="22374226" y="28574"/>
          <a:ext cx="1990724" cy="638175"/>
        </a:xfrm>
        <a:prstGeom prst="rect">
          <a:avLst/>
        </a:prstGeom>
        <a:solidFill>
          <a:schemeClr val="bg1">
            <a:lumMod val="8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3 </a:t>
          </a:r>
          <a:r>
            <a:rPr lang="en-CA" sz="1000" b="1" i="0" u="none" strike="noStrike" baseline="0">
              <a:solidFill>
                <a:srgbClr val="000000"/>
              </a:solidFill>
              <a:latin typeface="Century Gothic"/>
            </a:rPr>
            <a:t>WITH</a:t>
          </a:r>
          <a:r>
            <a:rPr lang="en-CA" sz="1000" b="0" i="0" u="none" strike="noStrike" baseline="0">
              <a:solidFill>
                <a:srgbClr val="000000"/>
              </a:solidFill>
              <a:latin typeface="Century Gothic"/>
            </a:rPr>
            <a:t> Comments page</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739521</xdr:colOff>
      <xdr:row>2</xdr:row>
      <xdr:rowOff>152400</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0" y="0"/>
          <a:ext cx="1215771" cy="571500"/>
        </a:xfrm>
        <a:prstGeom prst="rect">
          <a:avLst/>
        </a:prstGeom>
        <a:noFill/>
        <a:ln w="9525">
          <a:noFill/>
          <a:miter lim="800000"/>
          <a:headEnd/>
          <a:tailEnd/>
        </a:ln>
      </xdr:spPr>
    </xdr:pic>
    <xdr:clientData/>
  </xdr:twoCellAnchor>
  <xdr:twoCellAnchor>
    <xdr:from>
      <xdr:col>17</xdr:col>
      <xdr:colOff>19050</xdr:colOff>
      <xdr:row>0</xdr:row>
      <xdr:rowOff>57150</xdr:rowOff>
    </xdr:from>
    <xdr:to>
      <xdr:col>19</xdr:col>
      <xdr:colOff>733425</xdr:colOff>
      <xdr:row>2</xdr:row>
      <xdr:rowOff>104775</xdr:rowOff>
    </xdr:to>
    <xdr:sp macro="[0]!PrintPage4" textlink="">
      <xdr:nvSpPr>
        <xdr:cNvPr id="3" name="Rectangle 2"/>
        <xdr:cNvSpPr>
          <a:spLocks noChangeArrowheads="1"/>
        </xdr:cNvSpPr>
      </xdr:nvSpPr>
      <xdr:spPr bwMode="auto">
        <a:xfrm>
          <a:off x="14392275" y="57150"/>
          <a:ext cx="1819275" cy="46672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4</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53721</xdr:colOff>
      <xdr:row>3</xdr:row>
      <xdr:rowOff>42776</xdr:rowOff>
    </xdr:to>
    <xdr:pic>
      <xdr:nvPicPr>
        <xdr:cNvPr id="4" name="Picture 3" descr="CLIV"/>
        <xdr:cNvPicPr/>
      </xdr:nvPicPr>
      <xdr:blipFill>
        <a:blip xmlns:r="http://schemas.openxmlformats.org/officeDocument/2006/relationships" r:embed="rId1" cstate="print"/>
        <a:srcRect/>
        <a:stretch>
          <a:fillRect/>
        </a:stretch>
      </xdr:blipFill>
      <xdr:spPr bwMode="auto">
        <a:xfrm>
          <a:off x="0" y="0"/>
          <a:ext cx="1255776" cy="701040"/>
        </a:xfrm>
        <a:prstGeom prst="rect">
          <a:avLst/>
        </a:prstGeom>
        <a:noFill/>
        <a:ln w="9525">
          <a:noFill/>
          <a:miter lim="800000"/>
          <a:headEnd/>
          <a:tailEnd/>
        </a:ln>
      </xdr:spPr>
    </xdr:pic>
    <xdr:clientData/>
  </xdr:twoCellAnchor>
  <xdr:twoCellAnchor>
    <xdr:from>
      <xdr:col>12</xdr:col>
      <xdr:colOff>19050</xdr:colOff>
      <xdr:row>0</xdr:row>
      <xdr:rowOff>28575</xdr:rowOff>
    </xdr:from>
    <xdr:to>
      <xdr:col>15</xdr:col>
      <xdr:colOff>9525</xdr:colOff>
      <xdr:row>2</xdr:row>
      <xdr:rowOff>66675</xdr:rowOff>
    </xdr:to>
    <xdr:sp macro="[0]!PrintPage5" textlink="">
      <xdr:nvSpPr>
        <xdr:cNvPr id="3" name="Rectangle 2"/>
        <xdr:cNvSpPr>
          <a:spLocks noChangeArrowheads="1"/>
        </xdr:cNvSpPr>
      </xdr:nvSpPr>
      <xdr:spPr bwMode="auto">
        <a:xfrm>
          <a:off x="8848725" y="28575"/>
          <a:ext cx="1819275" cy="466725"/>
        </a:xfrm>
        <a:prstGeom prst="rect">
          <a:avLst/>
        </a:prstGeom>
        <a:solidFill>
          <a:schemeClr val="bg1">
            <a:lumMod val="95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CA" sz="1000" b="0" i="0" u="none" strike="noStrike" baseline="0">
              <a:solidFill>
                <a:srgbClr val="000000"/>
              </a:solidFill>
              <a:latin typeface="Century Gothic"/>
            </a:rPr>
            <a:t>Click this button to print only Page 5</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739521</xdr:colOff>
      <xdr:row>3</xdr:row>
      <xdr:rowOff>80010</xdr:rowOff>
    </xdr:to>
    <xdr:pic>
      <xdr:nvPicPr>
        <xdr:cNvPr id="2" name="Picture 1" descr="CLIV"/>
        <xdr:cNvPicPr/>
      </xdr:nvPicPr>
      <xdr:blipFill>
        <a:blip xmlns:r="http://schemas.openxmlformats.org/officeDocument/2006/relationships" r:embed="rId1" cstate="print"/>
        <a:srcRect/>
        <a:stretch>
          <a:fillRect/>
        </a:stretch>
      </xdr:blipFill>
      <xdr:spPr bwMode="auto">
        <a:xfrm>
          <a:off x="0" y="0"/>
          <a:ext cx="977646" cy="68008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N36"/>
  <sheetViews>
    <sheetView showGridLines="0" workbookViewId="0">
      <pane ySplit="6" topLeftCell="A7" activePane="bottomLeft" state="frozen"/>
      <selection pane="bottomLeft" activeCell="A5" sqref="A5"/>
    </sheetView>
  </sheetViews>
  <sheetFormatPr baseColWidth="10" defaultColWidth="9.1640625" defaultRowHeight="13" x14ac:dyDescent="0"/>
  <cols>
    <col min="1" max="1" width="7" style="2" customWidth="1"/>
    <col min="2" max="2" width="1.33203125" style="2" customWidth="1"/>
    <col min="3" max="3" width="90.83203125" style="2" customWidth="1"/>
    <col min="4" max="16384" width="9.1640625" style="2"/>
  </cols>
  <sheetData>
    <row r="1" spans="1:11">
      <c r="E1" s="3"/>
      <c r="F1" s="3"/>
      <c r="G1" s="3"/>
      <c r="H1" s="3"/>
      <c r="I1" s="3"/>
      <c r="J1" s="3"/>
      <c r="K1" s="3"/>
    </row>
    <row r="2" spans="1:11" ht="16">
      <c r="C2" s="356"/>
      <c r="E2" s="3"/>
      <c r="F2" s="3"/>
      <c r="G2" s="3"/>
      <c r="H2" s="3"/>
      <c r="I2" s="3"/>
      <c r="J2" s="3"/>
      <c r="K2" s="3"/>
    </row>
    <row r="3" spans="1:11">
      <c r="A3" s="467" t="s">
        <v>296</v>
      </c>
      <c r="B3" s="467"/>
      <c r="C3" s="467"/>
      <c r="D3" s="357"/>
      <c r="E3" s="3"/>
      <c r="F3" s="3"/>
      <c r="G3" s="3"/>
      <c r="H3" s="3"/>
      <c r="I3" s="3"/>
      <c r="J3" s="3"/>
      <c r="K3" s="3"/>
    </row>
    <row r="4" spans="1:11" ht="21">
      <c r="A4" s="466" t="s">
        <v>240</v>
      </c>
      <c r="B4" s="466"/>
      <c r="C4" s="466"/>
      <c r="D4" s="358"/>
      <c r="E4" s="3"/>
      <c r="F4" s="3"/>
      <c r="G4" s="3"/>
      <c r="H4" s="3"/>
      <c r="I4" s="3"/>
      <c r="J4" s="3"/>
      <c r="K4" s="3"/>
    </row>
    <row r="5" spans="1:11">
      <c r="E5" s="3"/>
      <c r="F5" s="3"/>
      <c r="G5" s="3"/>
      <c r="H5" s="3"/>
      <c r="I5" s="3"/>
      <c r="J5" s="3"/>
      <c r="K5" s="3"/>
    </row>
    <row r="6" spans="1:11" ht="14.25" customHeight="1">
      <c r="A6" s="468" t="s">
        <v>90</v>
      </c>
      <c r="B6" s="468"/>
      <c r="C6" s="468"/>
      <c r="E6" s="3"/>
      <c r="F6" s="3"/>
      <c r="G6" s="3"/>
      <c r="H6" s="3"/>
      <c r="I6" s="3"/>
      <c r="J6" s="3"/>
      <c r="K6" s="3"/>
    </row>
    <row r="7" spans="1:11" ht="58.25" customHeight="1">
      <c r="A7" s="465" t="s">
        <v>91</v>
      </c>
      <c r="B7" s="465"/>
      <c r="C7" s="465"/>
      <c r="D7" s="359"/>
      <c r="E7" s="3"/>
      <c r="F7" s="3"/>
      <c r="G7" s="3"/>
      <c r="H7" s="3"/>
      <c r="I7" s="3"/>
      <c r="J7" s="3"/>
      <c r="K7" s="3"/>
    </row>
    <row r="8" spans="1:11">
      <c r="C8" s="3"/>
      <c r="D8" s="3"/>
      <c r="E8" s="3"/>
      <c r="F8" s="3"/>
      <c r="G8" s="3"/>
      <c r="H8" s="3"/>
      <c r="I8" s="3"/>
      <c r="J8" s="3"/>
      <c r="K8" s="3"/>
    </row>
    <row r="9" spans="1:11">
      <c r="A9" s="360" t="s">
        <v>92</v>
      </c>
      <c r="B9" s="360"/>
      <c r="D9" s="360"/>
      <c r="E9" s="3"/>
      <c r="F9" s="3"/>
      <c r="G9" s="3"/>
      <c r="H9" s="3"/>
      <c r="I9" s="3"/>
      <c r="J9" s="3"/>
      <c r="K9" s="3"/>
    </row>
    <row r="10" spans="1:11">
      <c r="A10" s="360"/>
      <c r="B10" s="360"/>
      <c r="D10" s="360"/>
      <c r="E10" s="360"/>
      <c r="F10" s="360"/>
      <c r="G10" s="360"/>
      <c r="H10" s="360"/>
      <c r="I10" s="360"/>
    </row>
    <row r="11" spans="1:11" ht="39">
      <c r="A11" s="364" t="s">
        <v>238</v>
      </c>
      <c r="B11" s="365"/>
      <c r="C11" s="366" t="s">
        <v>275</v>
      </c>
      <c r="D11" s="360"/>
      <c r="E11" s="360"/>
      <c r="F11" s="360"/>
      <c r="G11" s="360"/>
      <c r="H11" s="360"/>
      <c r="I11" s="360"/>
    </row>
    <row r="12" spans="1:11">
      <c r="A12" s="364"/>
      <c r="B12" s="365"/>
      <c r="C12" s="363"/>
      <c r="D12" s="360"/>
      <c r="E12" s="360"/>
      <c r="F12" s="360"/>
      <c r="G12" s="360"/>
      <c r="H12" s="360"/>
      <c r="I12" s="360"/>
    </row>
    <row r="13" spans="1:11" ht="26">
      <c r="A13" s="361" t="s">
        <v>99</v>
      </c>
      <c r="B13" s="362"/>
      <c r="C13" s="363" t="s">
        <v>276</v>
      </c>
      <c r="D13" s="4"/>
      <c r="E13" s="3"/>
      <c r="F13" s="3"/>
      <c r="G13" s="3"/>
      <c r="H13" s="3"/>
      <c r="I13" s="3"/>
      <c r="J13" s="3"/>
      <c r="K13" s="3"/>
    </row>
    <row r="14" spans="1:11">
      <c r="A14" s="364"/>
      <c r="B14" s="365"/>
      <c r="C14" s="363"/>
      <c r="D14" s="360"/>
      <c r="E14" s="360"/>
      <c r="F14" s="360"/>
      <c r="G14" s="360"/>
      <c r="H14" s="360"/>
      <c r="I14" s="360"/>
    </row>
    <row r="15" spans="1:11" ht="46.25" customHeight="1">
      <c r="A15" s="364" t="s">
        <v>100</v>
      </c>
      <c r="B15" s="365"/>
      <c r="C15" s="363" t="s">
        <v>249</v>
      </c>
      <c r="E15" s="360"/>
      <c r="F15" s="360"/>
      <c r="G15" s="360"/>
      <c r="H15" s="360"/>
      <c r="I15" s="360"/>
    </row>
    <row r="16" spans="1:11">
      <c r="A16" s="364"/>
      <c r="B16" s="365"/>
      <c r="C16" s="363"/>
      <c r="D16" s="360"/>
      <c r="E16" s="360"/>
      <c r="F16" s="360"/>
      <c r="G16" s="360"/>
      <c r="H16" s="360"/>
      <c r="I16" s="360"/>
    </row>
    <row r="17" spans="1:14" ht="43.25" customHeight="1">
      <c r="A17" s="364" t="s">
        <v>211</v>
      </c>
      <c r="B17" s="365"/>
      <c r="C17" s="363" t="s">
        <v>93</v>
      </c>
      <c r="D17" s="360"/>
      <c r="E17" s="360"/>
      <c r="F17" s="360"/>
      <c r="G17" s="360"/>
      <c r="H17" s="360"/>
      <c r="I17" s="360"/>
    </row>
    <row r="18" spans="1:14">
      <c r="A18" s="364"/>
      <c r="B18" s="365"/>
      <c r="C18" s="363" t="s">
        <v>94</v>
      </c>
      <c r="D18" s="360"/>
      <c r="E18" s="360"/>
      <c r="F18" s="360"/>
      <c r="G18" s="360"/>
      <c r="H18" s="360"/>
      <c r="I18" s="360"/>
    </row>
    <row r="19" spans="1:14" ht="8.25" customHeight="1">
      <c r="A19" s="364"/>
      <c r="B19" s="365"/>
      <c r="C19" s="363"/>
      <c r="D19" s="360"/>
      <c r="E19" s="360"/>
      <c r="F19" s="360"/>
      <c r="G19" s="360"/>
      <c r="H19" s="360"/>
      <c r="I19" s="360"/>
    </row>
    <row r="20" spans="1:14">
      <c r="A20" s="360" t="s">
        <v>22</v>
      </c>
      <c r="B20" s="360"/>
      <c r="C20" s="360"/>
      <c r="D20" s="360"/>
      <c r="E20" s="360"/>
      <c r="F20" s="360"/>
      <c r="G20" s="360"/>
      <c r="H20" s="360"/>
      <c r="I20" s="360"/>
    </row>
    <row r="21" spans="1:14" ht="8.25" customHeight="1">
      <c r="D21" s="360"/>
      <c r="E21" s="360"/>
      <c r="F21" s="360"/>
      <c r="G21" s="360"/>
      <c r="H21" s="360"/>
      <c r="I21" s="360"/>
    </row>
    <row r="22" spans="1:14">
      <c r="A22" s="364" t="s">
        <v>6</v>
      </c>
      <c r="C22" s="363" t="s">
        <v>9</v>
      </c>
      <c r="D22" s="360"/>
      <c r="E22" s="360"/>
      <c r="F22" s="360"/>
      <c r="G22" s="360"/>
      <c r="H22" s="360"/>
      <c r="I22" s="360"/>
    </row>
    <row r="23" spans="1:14">
      <c r="D23" s="360"/>
      <c r="E23" s="360"/>
      <c r="F23" s="360"/>
      <c r="G23" s="360"/>
      <c r="H23" s="360"/>
      <c r="I23" s="360"/>
    </row>
    <row r="24" spans="1:14" s="360" customFormat="1">
      <c r="A24" s="364" t="s">
        <v>7</v>
      </c>
      <c r="B24" s="2"/>
      <c r="C24" s="363" t="s">
        <v>277</v>
      </c>
    </row>
    <row r="25" spans="1:14" ht="8.25" customHeight="1">
      <c r="D25" s="360"/>
      <c r="E25" s="360"/>
      <c r="F25" s="360"/>
      <c r="G25" s="360"/>
      <c r="H25" s="360"/>
      <c r="I25" s="360"/>
    </row>
    <row r="26" spans="1:14">
      <c r="A26" s="364" t="s">
        <v>8</v>
      </c>
      <c r="C26" s="363" t="s">
        <v>95</v>
      </c>
      <c r="D26" s="360"/>
      <c r="E26" s="360"/>
      <c r="F26" s="360"/>
      <c r="G26" s="360"/>
      <c r="H26" s="360"/>
      <c r="I26" s="360"/>
    </row>
    <row r="27" spans="1:14" ht="8.25" customHeight="1">
      <c r="A27" s="364"/>
      <c r="E27" s="360"/>
      <c r="F27" s="360"/>
      <c r="G27" s="360"/>
      <c r="H27" s="360"/>
      <c r="I27" s="360"/>
    </row>
    <row r="28" spans="1:14">
      <c r="A28" s="364" t="s">
        <v>10</v>
      </c>
      <c r="C28" s="363" t="s">
        <v>96</v>
      </c>
      <c r="E28" s="360"/>
      <c r="F28" s="360"/>
      <c r="G28" s="360"/>
      <c r="H28" s="360"/>
      <c r="I28" s="360"/>
    </row>
    <row r="29" spans="1:14" ht="8.25" customHeight="1"/>
    <row r="30" spans="1:14" ht="30" customHeight="1">
      <c r="A30" s="364" t="s">
        <v>11</v>
      </c>
      <c r="C30" s="363" t="s">
        <v>97</v>
      </c>
    </row>
    <row r="31" spans="1:14" ht="8.25" customHeight="1"/>
    <row r="32" spans="1:14" ht="42.5" customHeight="1">
      <c r="A32" s="361" t="s">
        <v>12</v>
      </c>
      <c r="B32" s="5"/>
      <c r="C32" s="366" t="s">
        <v>239</v>
      </c>
      <c r="D32" s="367"/>
      <c r="M32" s="78"/>
      <c r="N32" s="78"/>
    </row>
    <row r="33" spans="1:14" ht="8.25" customHeight="1">
      <c r="M33" s="78"/>
      <c r="N33" s="78"/>
    </row>
    <row r="34" spans="1:14" ht="26">
      <c r="A34" s="364" t="s">
        <v>25</v>
      </c>
      <c r="C34" s="363" t="s">
        <v>98</v>
      </c>
    </row>
    <row r="35" spans="1:14">
      <c r="A35" s="364"/>
      <c r="C35" s="363"/>
    </row>
    <row r="36" spans="1:14" ht="7.5" customHeight="1"/>
  </sheetData>
  <sheetProtection password="C8F7" sheet="1" objects="1" scenarios="1"/>
  <mergeCells count="4">
    <mergeCell ref="A7:C7"/>
    <mergeCell ref="A4:C4"/>
    <mergeCell ref="A3:C3"/>
    <mergeCell ref="A6:C6"/>
  </mergeCells>
  <phoneticPr fontId="7" type="noConversion"/>
  <pageMargins left="0.70866141732283505" right="0.70866141732283505" top="0.74803149606299202" bottom="0.74803149606299202" header="0.31496062992126" footer="0.31496062992126"/>
  <headerFooter alignWithMargins="0">
    <oddFooter>&amp;L&amp;F  
Tab: &amp;A&amp;CPrinted: &amp;D  &amp;T&amp;RPage &amp;P of &amp;N</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O55"/>
  <sheetViews>
    <sheetView showGridLines="0" view="pageBreakPreview" zoomScale="90" zoomScaleSheetLayoutView="90" workbookViewId="0">
      <pane ySplit="4" topLeftCell="A5" activePane="bottomLeft" state="frozen"/>
      <selection activeCell="D10" sqref="D10"/>
      <selection pane="bottomLeft" activeCell="C13" sqref="C13:E13"/>
    </sheetView>
  </sheetViews>
  <sheetFormatPr baseColWidth="10" defaultColWidth="9.1640625" defaultRowHeight="12" outlineLevelCol="1" x14ac:dyDescent="0"/>
  <cols>
    <col min="1" max="1" width="5.6640625" style="18" customWidth="1"/>
    <col min="2" max="2" width="29.6640625" style="18" customWidth="1"/>
    <col min="3" max="5" width="13.83203125" style="18" customWidth="1"/>
    <col min="6" max="6" width="2" style="22" customWidth="1"/>
    <col min="7" max="7" width="9.1640625" style="18"/>
    <col min="8" max="8" width="13.5" style="18" customWidth="1"/>
    <col min="9" max="12" width="9.1640625" style="18"/>
    <col min="13" max="14" width="14.1640625" style="162" hidden="1" customWidth="1" outlineLevel="1"/>
    <col min="15" max="15" width="9.1640625" style="18" collapsed="1"/>
    <col min="16" max="16384" width="9.1640625" style="18"/>
  </cols>
  <sheetData>
    <row r="1" spans="1:15" s="103" customFormat="1" ht="15.75" customHeight="1">
      <c r="A1" s="467" t="str">
        <f>Instructions!A3</f>
        <v>Funding Template Version of V3Feb11</v>
      </c>
      <c r="B1" s="467"/>
      <c r="C1" s="467"/>
      <c r="D1" s="467"/>
      <c r="E1" s="467"/>
      <c r="F1" s="467"/>
      <c r="G1" s="467"/>
      <c r="H1" s="467"/>
      <c r="I1" s="467"/>
      <c r="J1" s="467"/>
      <c r="K1" s="467"/>
      <c r="M1" s="101"/>
      <c r="N1" s="101"/>
    </row>
    <row r="2" spans="1:15" s="103" customFormat="1" ht="20.25" customHeight="1">
      <c r="A2" s="466" t="str">
        <f>Instructions!A4</f>
        <v>Funding Template - Shared Living</v>
      </c>
      <c r="B2" s="466"/>
      <c r="C2" s="466"/>
      <c r="D2" s="466"/>
      <c r="E2" s="466"/>
      <c r="F2" s="466"/>
      <c r="G2" s="466"/>
      <c r="H2" s="466"/>
      <c r="I2" s="466"/>
      <c r="J2" s="466"/>
      <c r="K2" s="466"/>
      <c r="M2" s="101"/>
      <c r="N2" s="101"/>
    </row>
    <row r="3" spans="1:15" s="103" customFormat="1" ht="16">
      <c r="A3" s="477" t="s">
        <v>236</v>
      </c>
      <c r="B3" s="477"/>
      <c r="C3" s="477"/>
      <c r="D3" s="477"/>
      <c r="E3" s="477"/>
      <c r="F3" s="477"/>
      <c r="G3" s="477"/>
      <c r="H3" s="477"/>
      <c r="I3" s="477"/>
      <c r="J3" s="477"/>
      <c r="K3" s="477"/>
      <c r="M3" s="101"/>
      <c r="N3" s="101"/>
    </row>
    <row r="4" spans="1:15" ht="28.5" customHeight="1"/>
    <row r="5" spans="1:15" s="103" customFormat="1" ht="15" customHeight="1">
      <c r="A5" s="476" t="s">
        <v>229</v>
      </c>
      <c r="B5" s="476"/>
      <c r="C5" s="476"/>
      <c r="D5" s="476"/>
      <c r="E5" s="476"/>
      <c r="F5" s="476"/>
      <c r="G5" s="476"/>
      <c r="H5" s="476"/>
      <c r="I5" s="476"/>
      <c r="J5" s="476"/>
      <c r="K5" s="476"/>
      <c r="L5" s="369"/>
      <c r="M5" s="101"/>
      <c r="N5" s="101"/>
    </row>
    <row r="6" spans="1:15" s="163" customFormat="1" ht="8.25" customHeight="1">
      <c r="B6" s="15"/>
      <c r="C6" s="164"/>
      <c r="D6" s="164"/>
      <c r="E6" s="165"/>
      <c r="F6" s="165"/>
      <c r="G6" s="165"/>
      <c r="H6" s="103"/>
      <c r="I6" s="103"/>
      <c r="J6" s="103"/>
      <c r="K6" s="103"/>
      <c r="L6" s="103"/>
      <c r="M6" s="101"/>
      <c r="N6" s="101"/>
      <c r="O6" s="103"/>
    </row>
    <row r="7" spans="1:15" s="163" customFormat="1" ht="13.5" customHeight="1" thickBot="1">
      <c r="B7" s="1" t="s">
        <v>101</v>
      </c>
      <c r="C7" s="470" t="s">
        <v>301</v>
      </c>
      <c r="D7" s="470"/>
      <c r="E7" s="470"/>
      <c r="F7" s="166"/>
      <c r="G7" s="482" t="s">
        <v>102</v>
      </c>
      <c r="H7" s="482"/>
      <c r="I7" s="480">
        <v>986166</v>
      </c>
      <c r="J7" s="480"/>
      <c r="K7" s="480"/>
      <c r="L7" s="103"/>
      <c r="M7" s="101" t="s">
        <v>131</v>
      </c>
      <c r="N7" s="101"/>
      <c r="O7" s="103"/>
    </row>
    <row r="8" spans="1:15" s="163" customFormat="1" ht="6" customHeight="1">
      <c r="B8" s="1"/>
      <c r="C8" s="164"/>
      <c r="D8" s="164"/>
      <c r="G8" s="438"/>
      <c r="H8" s="438"/>
      <c r="I8" s="167"/>
      <c r="J8" s="167"/>
      <c r="K8" s="167"/>
      <c r="L8" s="103"/>
      <c r="M8" s="101"/>
      <c r="N8" s="101"/>
      <c r="O8" s="103"/>
    </row>
    <row r="9" spans="1:15" s="163" customFormat="1" ht="13.5" customHeight="1" thickBot="1">
      <c r="B9" s="1" t="s">
        <v>4</v>
      </c>
      <c r="C9" s="470"/>
      <c r="D9" s="470"/>
      <c r="E9" s="470"/>
      <c r="F9" s="166"/>
      <c r="G9" s="473" t="s">
        <v>145</v>
      </c>
      <c r="H9" s="473"/>
      <c r="I9" s="480" t="s">
        <v>288</v>
      </c>
      <c r="J9" s="480"/>
      <c r="K9" s="480"/>
      <c r="M9" s="101">
        <f>IF(I9="Home Sharing",60001,60101)</f>
        <v>60001</v>
      </c>
      <c r="N9" s="101"/>
      <c r="O9" s="103"/>
    </row>
    <row r="10" spans="1:15" s="163" customFormat="1" ht="6" customHeight="1">
      <c r="B10" s="15"/>
      <c r="C10" s="164"/>
      <c r="D10" s="164"/>
      <c r="G10" s="165"/>
      <c r="H10" s="103"/>
      <c r="I10" s="103"/>
      <c r="J10" s="103"/>
      <c r="K10" s="103"/>
      <c r="L10" s="103"/>
      <c r="M10" s="101"/>
      <c r="N10" s="101"/>
      <c r="O10" s="103"/>
    </row>
    <row r="11" spans="1:15" s="163" customFormat="1" ht="13.5" customHeight="1" thickBot="1">
      <c r="B11" s="1" t="s">
        <v>13</v>
      </c>
      <c r="C11" s="478"/>
      <c r="D11" s="479"/>
      <c r="E11" s="479"/>
      <c r="F11" s="168"/>
      <c r="G11" s="473" t="s">
        <v>14</v>
      </c>
      <c r="H11" s="473"/>
      <c r="I11" s="481">
        <v>40</v>
      </c>
      <c r="J11" s="481"/>
      <c r="K11" s="481"/>
      <c r="L11" s="103"/>
      <c r="M11" s="101"/>
      <c r="N11" s="101"/>
      <c r="O11" s="103"/>
    </row>
    <row r="12" spans="1:15" s="163" customFormat="1" ht="6" customHeight="1">
      <c r="B12" s="15"/>
      <c r="C12" s="164"/>
      <c r="D12" s="164"/>
      <c r="G12" s="169"/>
      <c r="H12" s="169"/>
      <c r="I12" s="103"/>
      <c r="J12" s="103"/>
      <c r="K12" s="103"/>
      <c r="L12" s="103"/>
      <c r="M12" s="101"/>
      <c r="N12" s="101"/>
      <c r="O12" s="103"/>
    </row>
    <row r="13" spans="1:15" s="163" customFormat="1" ht="13.5" customHeight="1" thickBot="1">
      <c r="B13" s="1" t="s">
        <v>5</v>
      </c>
      <c r="C13" s="470" t="s">
        <v>302</v>
      </c>
      <c r="D13" s="470"/>
      <c r="E13" s="470"/>
      <c r="F13" s="166"/>
      <c r="G13" s="475" t="s">
        <v>86</v>
      </c>
      <c r="H13" s="475"/>
      <c r="I13" s="470" t="s">
        <v>87</v>
      </c>
      <c r="J13" s="470"/>
      <c r="K13" s="470"/>
      <c r="L13" s="103"/>
      <c r="M13" s="101"/>
      <c r="N13" s="101"/>
      <c r="O13" s="103"/>
    </row>
    <row r="14" spans="1:15" s="163" customFormat="1" ht="6" customHeight="1">
      <c r="B14" s="15"/>
      <c r="C14" s="164"/>
      <c r="D14" s="164"/>
      <c r="E14" s="165"/>
      <c r="F14" s="165"/>
      <c r="G14" s="170"/>
      <c r="H14" s="170"/>
      <c r="I14" s="170"/>
      <c r="J14" s="103"/>
      <c r="K14" s="103"/>
      <c r="L14" s="103"/>
      <c r="M14" s="101"/>
      <c r="N14" s="101"/>
      <c r="O14" s="103"/>
    </row>
    <row r="15" spans="1:15" s="163" customFormat="1" ht="13.5" customHeight="1" thickBot="1">
      <c r="B15" s="6" t="s">
        <v>241</v>
      </c>
      <c r="C15" s="471">
        <f>COUNTA('Page 3'!B10:B59)</f>
        <v>4</v>
      </c>
      <c r="D15" s="471"/>
      <c r="E15" s="471"/>
      <c r="F15" s="165"/>
      <c r="G15" s="473"/>
      <c r="H15" s="474"/>
      <c r="I15" s="165"/>
      <c r="J15" s="453"/>
      <c r="K15" s="453"/>
      <c r="L15" s="103"/>
      <c r="M15" s="452" t="s">
        <v>294</v>
      </c>
      <c r="N15" s="101"/>
      <c r="O15" s="103"/>
    </row>
    <row r="16" spans="1:15" s="163" customFormat="1" ht="13.5" customHeight="1">
      <c r="B16" s="6"/>
      <c r="C16" s="166"/>
      <c r="D16" s="166"/>
      <c r="E16" s="166"/>
      <c r="F16" s="165"/>
      <c r="G16" s="439"/>
      <c r="H16" s="439"/>
      <c r="I16" s="171"/>
      <c r="J16" s="171"/>
      <c r="K16" s="171"/>
      <c r="M16" s="101"/>
      <c r="N16" s="101"/>
    </row>
    <row r="17" spans="1:14" s="163" customFormat="1" ht="13.5" customHeight="1">
      <c r="B17" s="6"/>
      <c r="C17" s="166"/>
      <c r="D17" s="166"/>
      <c r="E17" s="166"/>
      <c r="F17" s="165"/>
      <c r="G17" s="439"/>
      <c r="H17" s="439"/>
      <c r="I17" s="171"/>
      <c r="J17" s="171"/>
      <c r="K17" s="171"/>
      <c r="M17" s="101"/>
      <c r="N17" s="101"/>
    </row>
    <row r="18" spans="1:14" s="163" customFormat="1" ht="13.5" hidden="1" customHeight="1">
      <c r="A18" s="476" t="s">
        <v>148</v>
      </c>
      <c r="B18" s="476"/>
      <c r="C18" s="476"/>
      <c r="D18" s="476"/>
      <c r="E18" s="476"/>
      <c r="F18" s="476"/>
      <c r="G18" s="476"/>
      <c r="H18" s="476"/>
      <c r="I18" s="476"/>
      <c r="J18" s="476"/>
      <c r="K18" s="476"/>
      <c r="L18" s="369"/>
      <c r="M18" s="101"/>
      <c r="N18" s="101"/>
    </row>
    <row r="19" spans="1:14" s="103" customFormat="1" ht="15" hidden="1" customHeight="1">
      <c r="A19" s="172" t="s">
        <v>206</v>
      </c>
      <c r="B19" s="173"/>
      <c r="C19" s="170"/>
      <c r="D19" s="170"/>
      <c r="E19" s="170"/>
      <c r="F19" s="174"/>
      <c r="G19" s="175"/>
      <c r="H19" s="175"/>
      <c r="I19" s="176"/>
      <c r="J19" s="176"/>
      <c r="K19" s="436"/>
      <c r="M19" s="101"/>
      <c r="N19" s="101"/>
    </row>
    <row r="20" spans="1:14" s="103" customFormat="1" ht="24" hidden="1" customHeight="1">
      <c r="A20" s="172"/>
      <c r="B20" s="173"/>
      <c r="C20" s="170"/>
      <c r="D20" s="170"/>
      <c r="E20" s="170"/>
      <c r="F20" s="174"/>
      <c r="G20" s="176"/>
      <c r="H20" s="176"/>
      <c r="I20" s="176"/>
      <c r="J20" s="176"/>
      <c r="K20" s="436"/>
      <c r="M20" s="101"/>
      <c r="N20" s="101"/>
    </row>
    <row r="21" spans="1:14" s="103" customFormat="1" ht="15" hidden="1" customHeight="1" thickBot="1">
      <c r="B21" s="1" t="s">
        <v>146</v>
      </c>
      <c r="C21" s="472"/>
      <c r="D21" s="472"/>
      <c r="E21" s="472"/>
      <c r="F21" s="174"/>
      <c r="G21" s="473" t="s">
        <v>161</v>
      </c>
      <c r="H21" s="473"/>
      <c r="I21" s="472"/>
      <c r="J21" s="472"/>
      <c r="K21" s="472"/>
      <c r="M21" s="101"/>
      <c r="N21" s="101"/>
    </row>
    <row r="22" spans="1:14" s="163" customFormat="1" ht="8" hidden="1" customHeight="1">
      <c r="B22" s="15"/>
      <c r="C22" s="177"/>
      <c r="D22" s="178"/>
      <c r="E22" s="178"/>
      <c r="F22" s="174"/>
      <c r="G22" s="438"/>
      <c r="H22" s="438"/>
      <c r="I22" s="179"/>
      <c r="J22" s="179"/>
      <c r="K22" s="179"/>
      <c r="M22" s="101"/>
      <c r="N22" s="101"/>
    </row>
    <row r="23" spans="1:14" s="103" customFormat="1" ht="15" hidden="1" customHeight="1" thickBot="1">
      <c r="B23" s="1" t="s">
        <v>147</v>
      </c>
      <c r="C23" s="472"/>
      <c r="D23" s="472"/>
      <c r="E23" s="472"/>
      <c r="F23" s="174"/>
      <c r="G23" s="473" t="s">
        <v>162</v>
      </c>
      <c r="H23" s="473"/>
      <c r="I23" s="472"/>
      <c r="J23" s="472"/>
      <c r="K23" s="472"/>
      <c r="M23" s="101"/>
      <c r="N23" s="101"/>
    </row>
    <row r="24" spans="1:14" s="103" customFormat="1" ht="15" hidden="1" customHeight="1">
      <c r="C24" s="170"/>
      <c r="D24" s="170"/>
      <c r="E24" s="170"/>
      <c r="F24" s="174"/>
      <c r="G24" s="176"/>
      <c r="H24" s="176"/>
      <c r="I24" s="176"/>
      <c r="J24" s="176"/>
      <c r="K24" s="436"/>
      <c r="M24" s="101"/>
      <c r="N24" s="101"/>
    </row>
    <row r="25" spans="1:14" s="103" customFormat="1" ht="15" hidden="1" customHeight="1">
      <c r="B25" s="173"/>
      <c r="C25" s="170"/>
      <c r="D25" s="170"/>
      <c r="E25" s="170"/>
      <c r="F25" s="174"/>
      <c r="G25" s="15"/>
      <c r="H25" s="170"/>
      <c r="I25" s="170"/>
      <c r="J25" s="180"/>
      <c r="M25" s="101"/>
      <c r="N25" s="101"/>
    </row>
    <row r="26" spans="1:14" s="103" customFormat="1" ht="15" customHeight="1">
      <c r="A26" s="181" t="s">
        <v>230</v>
      </c>
      <c r="B26" s="436"/>
      <c r="C26" s="436"/>
      <c r="D26" s="436"/>
      <c r="E26" s="436"/>
      <c r="F26" s="436"/>
      <c r="G26" s="15"/>
      <c r="H26" s="170"/>
      <c r="I26" s="170"/>
      <c r="J26" s="180"/>
      <c r="L26" s="436"/>
      <c r="M26" s="182"/>
      <c r="N26" s="182"/>
    </row>
    <row r="27" spans="1:14" s="103" customFormat="1" ht="15" customHeight="1">
      <c r="A27" s="183" t="s">
        <v>49</v>
      </c>
      <c r="B27" s="176"/>
      <c r="C27" s="176"/>
      <c r="D27" s="176"/>
      <c r="E27" s="176"/>
      <c r="F27" s="176"/>
      <c r="G27" s="15"/>
      <c r="H27" s="170"/>
      <c r="I27" s="170"/>
      <c r="J27" s="180"/>
      <c r="L27" s="436"/>
      <c r="M27" s="182"/>
      <c r="N27" s="182"/>
    </row>
    <row r="28" spans="1:14" s="103" customFormat="1" ht="24.75" customHeight="1">
      <c r="B28" s="173"/>
      <c r="C28" s="170"/>
      <c r="D28" s="170"/>
      <c r="E28" s="170"/>
      <c r="F28" s="174"/>
      <c r="G28" s="15"/>
      <c r="H28" s="170"/>
      <c r="I28" s="170"/>
      <c r="J28" s="180"/>
      <c r="M28" s="184"/>
      <c r="N28" s="327" t="s">
        <v>38</v>
      </c>
    </row>
    <row r="29" spans="1:14" s="103" customFormat="1" ht="15" customHeight="1" thickBot="1">
      <c r="B29" s="15" t="s">
        <v>40</v>
      </c>
      <c r="C29" s="469">
        <v>9.5600000000000004E-2</v>
      </c>
      <c r="D29" s="469"/>
      <c r="E29" s="469"/>
      <c r="F29" s="166"/>
      <c r="G29" s="15"/>
      <c r="H29" s="174"/>
      <c r="I29" s="174"/>
      <c r="J29" s="185"/>
      <c r="M29" s="186" t="str">
        <f>IF(C29&gt;0,"Yes","No")</f>
        <v>Yes</v>
      </c>
      <c r="N29" s="349">
        <f>IF(M33="No",1,0)</f>
        <v>1</v>
      </c>
    </row>
    <row r="30" spans="1:14" s="103" customFormat="1" ht="6" customHeight="1">
      <c r="B30" s="15"/>
      <c r="C30" s="187"/>
      <c r="D30" s="187"/>
      <c r="E30" s="188"/>
      <c r="F30" s="185"/>
      <c r="G30" s="15"/>
      <c r="H30" s="174"/>
      <c r="I30" s="174"/>
      <c r="J30" s="185"/>
      <c r="M30" s="182"/>
      <c r="N30" s="192"/>
    </row>
    <row r="31" spans="1:14" s="103" customFormat="1" ht="15" customHeight="1" thickBot="1">
      <c r="B31" s="15" t="s">
        <v>41</v>
      </c>
      <c r="C31" s="469">
        <v>0.7228</v>
      </c>
      <c r="D31" s="469"/>
      <c r="E31" s="469"/>
      <c r="F31" s="166"/>
      <c r="G31" s="15"/>
      <c r="H31" s="174"/>
      <c r="I31" s="174"/>
      <c r="J31" s="185"/>
      <c r="M31" s="182"/>
      <c r="N31" s="192"/>
    </row>
    <row r="32" spans="1:14" s="163" customFormat="1" ht="6" customHeight="1">
      <c r="B32" s="15"/>
      <c r="C32" s="189"/>
      <c r="D32" s="189"/>
      <c r="E32" s="189"/>
      <c r="F32" s="166"/>
      <c r="G32" s="15"/>
      <c r="H32" s="174"/>
      <c r="I32" s="174"/>
      <c r="J32" s="185"/>
      <c r="M32" s="182"/>
      <c r="N32" s="192"/>
    </row>
    <row r="33" spans="1:14" s="163" customFormat="1" ht="18" customHeight="1" thickBot="1">
      <c r="B33" s="15" t="s">
        <v>224</v>
      </c>
      <c r="C33" s="469"/>
      <c r="D33" s="469"/>
      <c r="E33" s="469"/>
      <c r="F33" s="166"/>
      <c r="G33" s="15"/>
      <c r="H33" s="174"/>
      <c r="I33" s="174"/>
      <c r="J33" s="185"/>
      <c r="M33" s="186" t="str">
        <f>IF(C33&gt;0,"Yes","No")</f>
        <v>No</v>
      </c>
      <c r="N33" s="349">
        <f>IF(M29="No",0.03,0)</f>
        <v>0</v>
      </c>
    </row>
    <row r="34" spans="1:14" s="163" customFormat="1" ht="6" customHeight="1">
      <c r="B34" s="15"/>
      <c r="C34" s="189"/>
      <c r="D34" s="189"/>
      <c r="E34" s="189"/>
      <c r="F34" s="166"/>
      <c r="G34" s="15"/>
      <c r="H34" s="174"/>
      <c r="I34" s="174"/>
      <c r="J34" s="185"/>
      <c r="M34" s="182"/>
      <c r="N34" s="182"/>
    </row>
    <row r="35" spans="1:14" s="103" customFormat="1" ht="15" customHeight="1" thickBot="1">
      <c r="B35" s="15" t="s">
        <v>47</v>
      </c>
      <c r="C35" s="469">
        <f>3.95%*0.7</f>
        <v>2.7649999999999997E-2</v>
      </c>
      <c r="D35" s="469"/>
      <c r="E35" s="469"/>
      <c r="F35" s="174"/>
      <c r="G35" s="15"/>
      <c r="H35" s="170"/>
      <c r="I35" s="170"/>
      <c r="J35" s="180"/>
      <c r="M35" s="186"/>
      <c r="N35" s="186"/>
    </row>
    <row r="36" spans="1:14" s="103" customFormat="1" ht="15" customHeight="1">
      <c r="B36" s="165"/>
      <c r="C36" s="170"/>
      <c r="D36" s="170"/>
      <c r="E36" s="170"/>
      <c r="F36" s="174"/>
      <c r="G36" s="15"/>
      <c r="H36" s="170"/>
      <c r="I36" s="170"/>
      <c r="J36" s="180"/>
      <c r="M36" s="190"/>
      <c r="N36" s="190"/>
    </row>
    <row r="37" spans="1:14" s="103" customFormat="1" ht="15" customHeight="1">
      <c r="B37" s="173"/>
      <c r="C37" s="170"/>
      <c r="D37" s="170"/>
      <c r="E37" s="170"/>
      <c r="F37" s="174"/>
      <c r="G37" s="15"/>
      <c r="H37" s="170"/>
      <c r="I37" s="170"/>
      <c r="J37" s="180"/>
      <c r="M37" s="190"/>
      <c r="N37" s="190"/>
    </row>
    <row r="38" spans="1:14" ht="14">
      <c r="A38" s="181" t="s">
        <v>230</v>
      </c>
    </row>
    <row r="39" spans="1:14" ht="14">
      <c r="A39" s="191" t="s">
        <v>189</v>
      </c>
    </row>
    <row r="40" spans="1:14" ht="21" customHeight="1">
      <c r="M40" s="192" t="s">
        <v>38</v>
      </c>
      <c r="N40" s="182"/>
    </row>
    <row r="41" spans="1:14" ht="15" thickBot="1">
      <c r="B41" s="15" t="s">
        <v>118</v>
      </c>
      <c r="C41" s="469">
        <v>0.09</v>
      </c>
      <c r="D41" s="469"/>
      <c r="E41" s="469"/>
      <c r="M41" s="193">
        <f>IF(I13="No",'LOCK_ME_Page 6_Rate Table'!C24,0%)</f>
        <v>0.1</v>
      </c>
      <c r="N41" s="348"/>
    </row>
    <row r="44" spans="1:14">
      <c r="B44" s="19"/>
    </row>
    <row r="45" spans="1:14">
      <c r="B45" s="19"/>
    </row>
    <row r="46" spans="1:14">
      <c r="B46" s="19"/>
    </row>
    <row r="48" spans="1:14">
      <c r="A48" s="22"/>
      <c r="B48" s="22"/>
    </row>
    <row r="52" spans="1:4">
      <c r="A52" s="22"/>
      <c r="B52" s="22"/>
    </row>
    <row r="55" spans="1:4">
      <c r="A55" s="22"/>
      <c r="B55" s="22"/>
      <c r="C55" s="22"/>
      <c r="D55" s="22"/>
    </row>
  </sheetData>
  <sheetProtection password="C8F7" sheet="1" objects="1" scenarios="1"/>
  <mergeCells count="30">
    <mergeCell ref="A5:K5"/>
    <mergeCell ref="A18:K18"/>
    <mergeCell ref="A2:K2"/>
    <mergeCell ref="A1:K1"/>
    <mergeCell ref="A3:K3"/>
    <mergeCell ref="C11:E11"/>
    <mergeCell ref="G11:H11"/>
    <mergeCell ref="I9:K9"/>
    <mergeCell ref="G9:H9"/>
    <mergeCell ref="I11:K11"/>
    <mergeCell ref="G7:H7"/>
    <mergeCell ref="I7:K7"/>
    <mergeCell ref="I21:K21"/>
    <mergeCell ref="I23:K23"/>
    <mergeCell ref="C13:E13"/>
    <mergeCell ref="G21:H21"/>
    <mergeCell ref="G23:H23"/>
    <mergeCell ref="C21:E21"/>
    <mergeCell ref="C23:E23"/>
    <mergeCell ref="G15:H15"/>
    <mergeCell ref="G13:H13"/>
    <mergeCell ref="I13:K13"/>
    <mergeCell ref="C33:E33"/>
    <mergeCell ref="C41:E41"/>
    <mergeCell ref="C7:E7"/>
    <mergeCell ref="C9:E9"/>
    <mergeCell ref="C15:E15"/>
    <mergeCell ref="C35:E35"/>
    <mergeCell ref="C29:E29"/>
    <mergeCell ref="C31:E31"/>
  </mergeCells>
  <dataValidations count="10">
    <dataValidation type="decimal" allowBlank="1" showInputMessage="1" showErrorMessage="1" error="The MPP Contribution % you entered is invalid - it is either too high or you are clamining RRSP funding, but you cannot have both RRSP and MPP." sqref="C29:E29">
      <formula1>0</formula1>
      <formula2>N29</formula2>
    </dataValidation>
    <dataValidation type="decimal" allowBlank="1" showInputMessage="1" showErrorMessage="1" error="The RRSP % you entered is incorrect - it may be above the Maximum 3.0% allowed or, if you have MPP, then no RRSP is allowed." sqref="C33:E33">
      <formula1>0</formula1>
      <formula2>N33</formula2>
    </dataValidation>
    <dataValidation type="decimal" allowBlank="1" showInputMessage="1" showErrorMessage="1" error="The administration % you entered is either (a) above the maximum or (b) not allowed because your organisation is incorporated as a Microboard Society. Please re-enter. " sqref="C41:E41">
      <formula1>0</formula1>
      <formula2>M41</formula2>
    </dataValidation>
    <dataValidation type="decimal" allowBlank="1" showInputMessage="1" showErrorMessage="1" error="The LTD % you entered is invalid. Please re-enter." sqref="C35:E35">
      <formula1>0</formula1>
      <formula2>1</formula2>
    </dataValidation>
    <dataValidation type="decimal" allowBlank="1" showInputMessage="1" showErrorMessage="1" error="MPP Participation % cannot exceed 100%" sqref="C31:E31">
      <formula1>0</formula1>
      <formula2>1</formula2>
    </dataValidation>
    <dataValidation type="list" showInputMessage="1" showErrorMessage="1" errorTitle="Error!" error="You MUST enter Yes or No" sqref="I13:K13">
      <formula1>"Yes, No"</formula1>
    </dataValidation>
    <dataValidation type="decimal" allowBlank="1" showInputMessage="1" showErrorMessage="1" errorTitle="Error" error="FTE Hours / Week MUST be between 35 to 40" sqref="I11:K11">
      <formula1>33</formula1>
      <formula2>40</formula2>
    </dataValidation>
    <dataValidation type="decimal" operator="greaterThanOrEqual" allowBlank="1" showInputMessage="1" showErrorMessage="1" sqref="C15:C17">
      <formula1>0</formula1>
    </dataValidation>
    <dataValidation type="list" allowBlank="1" showInputMessage="1" showErrorMessage="1" sqref="I9:K9">
      <formula1>"Home Sharing, Live in Support"</formula1>
    </dataValidation>
    <dataValidation type="list" allowBlank="1" showInputMessage="1" showErrorMessage="1" sqref="M15">
      <formula1>"Agency Coordinated"</formula1>
    </dataValidation>
  </dataValidations>
  <pageMargins left="0" right="0" top="0" bottom="0" header="0.3" footer="0.3"/>
  <headerFooter alignWithMargins="0">
    <oddFooter>&amp;L&amp;F  
Tab: &amp;A&amp;CPrinted: &amp;D  &amp;T&amp;RPage &amp;P of &amp;N</oddFooter>
  </headerFooter>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50"/>
  <sheetViews>
    <sheetView showGridLines="0" view="pageBreakPreview" zoomScale="80" zoomScaleSheetLayoutView="80" workbookViewId="0">
      <pane xSplit="1" ySplit="7" topLeftCell="B8" activePane="bottomRight" state="frozen"/>
      <selection activeCell="D10" sqref="D10"/>
      <selection pane="topRight" activeCell="D10" sqref="D10"/>
      <selection pane="bottomLeft" activeCell="D10" sqref="D10"/>
      <selection pane="bottomRight" activeCell="L34" sqref="L34"/>
    </sheetView>
  </sheetViews>
  <sheetFormatPr baseColWidth="10" defaultColWidth="9.1640625" defaultRowHeight="13" outlineLevelCol="1" x14ac:dyDescent="0"/>
  <cols>
    <col min="1" max="1" width="3.5" style="3" customWidth="1"/>
    <col min="2" max="2" width="19.6640625" style="2" customWidth="1"/>
    <col min="3" max="3" width="18.6640625" style="2" customWidth="1"/>
    <col min="4" max="4" width="11.33203125" style="2" customWidth="1"/>
    <col min="5" max="5" width="18.33203125" style="13" customWidth="1"/>
    <col min="6" max="6" width="19.1640625" style="13" customWidth="1"/>
    <col min="7" max="7" width="17.33203125" style="2" customWidth="1"/>
    <col min="8" max="8" width="5.1640625" style="79" customWidth="1"/>
    <col min="9" max="9" width="20.1640625" style="161" hidden="1" customWidth="1" outlineLevel="1"/>
    <col min="10" max="10" width="23.1640625" style="161" hidden="1" customWidth="1" outlineLevel="1"/>
    <col min="11" max="11" width="15.5" style="161" hidden="1" customWidth="1" outlineLevel="1"/>
    <col min="12" max="12" width="88.6640625" style="105" customWidth="1" collapsed="1"/>
    <col min="13" max="16384" width="9.1640625" style="2"/>
  </cols>
  <sheetData>
    <row r="1" spans="1:13" s="103" customFormat="1" ht="14">
      <c r="A1" s="513" t="str">
        <f>Instructions!A3</f>
        <v>Funding Template Version of V3Feb11</v>
      </c>
      <c r="B1" s="513"/>
      <c r="C1" s="513"/>
      <c r="D1" s="513"/>
      <c r="E1" s="513"/>
      <c r="F1" s="513"/>
      <c r="G1" s="513"/>
      <c r="H1" s="440"/>
      <c r="I1" s="101" t="s">
        <v>71</v>
      </c>
      <c r="J1" s="102">
        <f>'Page 1'!C15</f>
        <v>4</v>
      </c>
      <c r="K1" s="102"/>
    </row>
    <row r="2" spans="1:13" s="103" customFormat="1" ht="23.25" customHeight="1">
      <c r="A2" s="466" t="str">
        <f>Instructions!A4</f>
        <v>Funding Template - Shared Living</v>
      </c>
      <c r="B2" s="466"/>
      <c r="C2" s="466"/>
      <c r="D2" s="466"/>
      <c r="E2" s="466"/>
      <c r="F2" s="466"/>
      <c r="G2" s="466"/>
      <c r="H2" s="440"/>
      <c r="I2" s="101" t="s">
        <v>130</v>
      </c>
      <c r="J2" s="104">
        <f>ROUNDUP('Page 5'!A27,0)</f>
        <v>1</v>
      </c>
      <c r="K2" s="104"/>
    </row>
    <row r="3" spans="1:13" s="103" customFormat="1" ht="16">
      <c r="A3" s="477" t="s">
        <v>233</v>
      </c>
      <c r="B3" s="477"/>
      <c r="C3" s="477"/>
      <c r="D3" s="477"/>
      <c r="E3" s="477"/>
      <c r="F3" s="477"/>
      <c r="G3" s="477"/>
      <c r="H3" s="440"/>
      <c r="I3" s="101" t="s">
        <v>72</v>
      </c>
      <c r="J3" s="104">
        <f>'Page 5'!B27</f>
        <v>6.4</v>
      </c>
      <c r="K3" s="104"/>
    </row>
    <row r="4" spans="1:13" s="103" customFormat="1" ht="16.5" customHeight="1">
      <c r="A4" s="514" t="str">
        <f>'Page 1'!C7</f>
        <v>Burnaby Associotion for Community Inclusion</v>
      </c>
      <c r="B4" s="514"/>
      <c r="C4" s="514"/>
      <c r="D4" s="514"/>
      <c r="E4" s="514"/>
      <c r="F4" s="514"/>
      <c r="G4" s="514"/>
      <c r="H4" s="440"/>
      <c r="I4" s="101" t="s">
        <v>88</v>
      </c>
      <c r="J4" s="101" t="s">
        <v>87</v>
      </c>
      <c r="K4" s="101"/>
    </row>
    <row r="5" spans="1:13" ht="19.5" customHeight="1">
      <c r="A5" s="515">
        <f>'Page 1'!C9</f>
        <v>0</v>
      </c>
      <c r="B5" s="515"/>
      <c r="C5" s="515"/>
      <c r="D5" s="515"/>
      <c r="E5" s="515"/>
      <c r="F5" s="515"/>
      <c r="G5" s="515"/>
      <c r="I5" s="454" t="s">
        <v>259</v>
      </c>
      <c r="J5" s="455" t="str">
        <f>'Page 1'!M15</f>
        <v>Agency Coordinated</v>
      </c>
      <c r="K5" s="102"/>
    </row>
    <row r="6" spans="1:13" ht="16">
      <c r="A6" s="106" t="s">
        <v>20</v>
      </c>
      <c r="B6" s="510" t="s">
        <v>23</v>
      </c>
      <c r="C6" s="511"/>
      <c r="D6" s="511"/>
      <c r="E6" s="511"/>
      <c r="F6" s="511"/>
      <c r="G6" s="512"/>
      <c r="H6" s="107" t="s">
        <v>20</v>
      </c>
      <c r="I6" s="108"/>
      <c r="J6" s="108"/>
      <c r="K6" s="109"/>
      <c r="L6" s="382" t="s">
        <v>200</v>
      </c>
    </row>
    <row r="7" spans="1:13">
      <c r="A7" s="110" t="s">
        <v>15</v>
      </c>
      <c r="B7" s="505"/>
      <c r="C7" s="506"/>
      <c r="D7" s="507"/>
      <c r="E7" s="111" t="s">
        <v>0</v>
      </c>
      <c r="F7" s="111" t="s">
        <v>1</v>
      </c>
      <c r="G7" s="112" t="s">
        <v>19</v>
      </c>
      <c r="H7" s="113" t="s">
        <v>15</v>
      </c>
      <c r="I7" s="108"/>
      <c r="J7" s="108"/>
      <c r="K7" s="114" t="s">
        <v>131</v>
      </c>
      <c r="L7" s="383" t="s">
        <v>16</v>
      </c>
    </row>
    <row r="8" spans="1:13" ht="26" customHeight="1">
      <c r="A8" s="115"/>
      <c r="B8" s="505" t="s">
        <v>24</v>
      </c>
      <c r="C8" s="506"/>
      <c r="D8" s="507"/>
      <c r="E8" s="370"/>
      <c r="F8" s="370"/>
      <c r="G8" s="370"/>
      <c r="H8" s="113"/>
      <c r="I8" s="108"/>
      <c r="J8" s="108"/>
      <c r="K8" s="116"/>
      <c r="L8" s="383"/>
    </row>
    <row r="9" spans="1:13">
      <c r="A9" s="117">
        <v>1</v>
      </c>
      <c r="B9" s="118" t="s">
        <v>70</v>
      </c>
      <c r="C9" s="119"/>
      <c r="D9" s="120"/>
      <c r="E9" s="307">
        <f>'Page 5'!D27</f>
        <v>794.19999999999993</v>
      </c>
      <c r="F9" s="307">
        <f>'Page 5'!E27</f>
        <v>9530.4000000000015</v>
      </c>
      <c r="G9" s="141">
        <f>IF(F9&gt;0,F9/$F$41,0)</f>
        <v>0.42174315248779293</v>
      </c>
      <c r="H9" s="117">
        <f t="shared" ref="H9:H12" si="0">A9</f>
        <v>1</v>
      </c>
      <c r="I9" s="121"/>
      <c r="J9" s="121"/>
      <c r="K9" s="122"/>
      <c r="L9" s="384"/>
    </row>
    <row r="10" spans="1:13">
      <c r="A10" s="117">
        <f>A9+1</f>
        <v>2</v>
      </c>
      <c r="B10" s="118" t="s">
        <v>84</v>
      </c>
      <c r="C10" s="119"/>
      <c r="D10" s="120"/>
      <c r="E10" s="307">
        <f>'Page 5'!G27</f>
        <v>126.11895999999999</v>
      </c>
      <c r="F10" s="307">
        <f>'Page 5'!H27</f>
        <v>1513.44</v>
      </c>
      <c r="G10" s="141">
        <f>IF(F10&gt;0,F10/$F$41,0)</f>
        <v>6.6973364885117653E-2</v>
      </c>
      <c r="H10" s="117">
        <f t="shared" si="0"/>
        <v>2</v>
      </c>
      <c r="I10" s="121"/>
      <c r="J10" s="121"/>
      <c r="K10" s="122"/>
      <c r="L10" s="384"/>
    </row>
    <row r="11" spans="1:13">
      <c r="A11" s="117">
        <f t="shared" ref="A11" si="1">A10+1</f>
        <v>3</v>
      </c>
      <c r="B11" s="118" t="s">
        <v>85</v>
      </c>
      <c r="C11" s="119"/>
      <c r="D11" s="120"/>
      <c r="E11" s="307">
        <f>'Page 5'!J27</f>
        <v>76.838595855999984</v>
      </c>
      <c r="F11" s="307">
        <f>'Page 5'!K27</f>
        <v>922.08</v>
      </c>
      <c r="G11" s="141">
        <f>IF(F11&gt;0,F11/$F$41,0)</f>
        <v>4.0804260686429117E-2</v>
      </c>
      <c r="H11" s="117">
        <f t="shared" si="0"/>
        <v>3</v>
      </c>
      <c r="I11" s="121"/>
      <c r="J11" s="121"/>
      <c r="K11" s="122"/>
      <c r="L11" s="384"/>
    </row>
    <row r="12" spans="1:13">
      <c r="A12" s="117">
        <f>A11+1</f>
        <v>4</v>
      </c>
      <c r="B12" s="421" t="s">
        <v>21</v>
      </c>
      <c r="C12" s="119"/>
      <c r="D12" s="120"/>
      <c r="E12" s="422">
        <f>SUM(E9:E11)</f>
        <v>997.15755585599993</v>
      </c>
      <c r="F12" s="422">
        <f>SUM(F9:F11)</f>
        <v>11965.920000000002</v>
      </c>
      <c r="G12" s="423">
        <f>SUM(G9:G11)</f>
        <v>0.52952077805933961</v>
      </c>
      <c r="H12" s="117">
        <f t="shared" si="0"/>
        <v>4</v>
      </c>
      <c r="I12" s="122"/>
      <c r="J12" s="123"/>
      <c r="K12" s="122"/>
      <c r="L12" s="384"/>
    </row>
    <row r="13" spans="1:13">
      <c r="A13" s="115"/>
      <c r="B13" s="124" t="s">
        <v>17</v>
      </c>
      <c r="C13" s="125"/>
      <c r="D13" s="125"/>
      <c r="E13" s="111"/>
      <c r="F13" s="111"/>
      <c r="G13" s="112"/>
      <c r="H13" s="126"/>
      <c r="I13" s="116" t="s">
        <v>51</v>
      </c>
      <c r="J13" s="127"/>
      <c r="K13" s="116"/>
      <c r="L13" s="128"/>
    </row>
    <row r="14" spans="1:13">
      <c r="A14" s="117">
        <f>A12+1</f>
        <v>5</v>
      </c>
      <c r="B14" s="492" t="s">
        <v>104</v>
      </c>
      <c r="C14" s="509"/>
      <c r="D14" s="493"/>
      <c r="E14" s="307">
        <f>F14/12</f>
        <v>175</v>
      </c>
      <c r="F14" s="307">
        <f>IF($J$5="Agency Coordinated",$I$14*$J$2,0)</f>
        <v>2100</v>
      </c>
      <c r="G14" s="141">
        <f>IF(F14&gt;0,F14/$F$41,0)</f>
        <v>9.2930057523751899E-2</v>
      </c>
      <c r="H14" s="117">
        <f>$A$14</f>
        <v>5</v>
      </c>
      <c r="I14" s="129">
        <f>'LOCK_ME_Page 6_Rate Table'!C21</f>
        <v>2100</v>
      </c>
      <c r="J14" s="123" t="s">
        <v>129</v>
      </c>
      <c r="K14" s="122"/>
      <c r="L14" s="384"/>
      <c r="M14" s="130"/>
    </row>
    <row r="15" spans="1:13">
      <c r="A15" s="117">
        <f t="shared" ref="A15:A17" si="2">A14+1</f>
        <v>6</v>
      </c>
      <c r="B15" s="492" t="s">
        <v>105</v>
      </c>
      <c r="C15" s="509"/>
      <c r="D15" s="493"/>
      <c r="E15" s="307">
        <f>F15/12</f>
        <v>93.333333333333329</v>
      </c>
      <c r="F15" s="307">
        <f>IF($J$5="Agency Coordinated",J1*I15,0)</f>
        <v>1120</v>
      </c>
      <c r="G15" s="141">
        <f>IF(F15&gt;0,F15/$F$41,0)</f>
        <v>4.9562697346001008E-2</v>
      </c>
      <c r="H15" s="117">
        <f t="shared" ref="H15:H18" si="3">A15</f>
        <v>6</v>
      </c>
      <c r="I15" s="129">
        <f>'LOCK_ME_Page 6_Rate Table'!C22</f>
        <v>280</v>
      </c>
      <c r="J15" s="123" t="s">
        <v>113</v>
      </c>
      <c r="K15" s="122"/>
      <c r="L15" s="384"/>
    </row>
    <row r="16" spans="1:13">
      <c r="A16" s="117">
        <f t="shared" si="2"/>
        <v>7</v>
      </c>
      <c r="B16" s="118" t="s">
        <v>298</v>
      </c>
      <c r="C16" s="119"/>
      <c r="D16" s="119"/>
      <c r="E16" s="307">
        <f>'Page 3'!Z9</f>
        <v>0</v>
      </c>
      <c r="F16" s="307">
        <f>E16*12</f>
        <v>0</v>
      </c>
      <c r="G16" s="141">
        <f>IF(F16&gt;0,F16/$F$41,0)</f>
        <v>0</v>
      </c>
      <c r="H16" s="117">
        <f t="shared" si="3"/>
        <v>7</v>
      </c>
      <c r="I16" s="129"/>
      <c r="J16" s="123"/>
      <c r="K16" s="122"/>
      <c r="L16" s="384" t="s">
        <v>199</v>
      </c>
    </row>
    <row r="17" spans="1:12">
      <c r="A17" s="117">
        <f t="shared" si="2"/>
        <v>8</v>
      </c>
      <c r="B17" s="118" t="s">
        <v>300</v>
      </c>
      <c r="C17" s="119"/>
      <c r="D17" s="119"/>
      <c r="E17" s="307">
        <f>'Page 3'!AA9</f>
        <v>-190.75</v>
      </c>
      <c r="F17" s="307">
        <f>E17*12</f>
        <v>-2289</v>
      </c>
      <c r="G17" s="141">
        <f>IF(F17&gt;0,F17/$F$41,0)</f>
        <v>0</v>
      </c>
      <c r="H17" s="117">
        <f t="shared" si="3"/>
        <v>8</v>
      </c>
      <c r="I17" s="129"/>
      <c r="J17" s="123"/>
      <c r="K17" s="122"/>
      <c r="L17" s="384" t="s">
        <v>199</v>
      </c>
    </row>
    <row r="18" spans="1:12">
      <c r="A18" s="117">
        <f>A17+1</f>
        <v>9</v>
      </c>
      <c r="B18" s="421" t="s">
        <v>106</v>
      </c>
      <c r="C18" s="119"/>
      <c r="D18" s="119"/>
      <c r="E18" s="422">
        <f>SUM(E14:E17)</f>
        <v>77.583333333333314</v>
      </c>
      <c r="F18" s="422">
        <f>SUM(F14:F17)</f>
        <v>931</v>
      </c>
      <c r="G18" s="423">
        <f>SUM(G14:G17)</f>
        <v>0.14249275486975291</v>
      </c>
      <c r="H18" s="117">
        <f t="shared" si="3"/>
        <v>9</v>
      </c>
      <c r="I18" s="122"/>
      <c r="J18" s="123"/>
      <c r="K18" s="122"/>
      <c r="L18" s="384"/>
    </row>
    <row r="19" spans="1:12">
      <c r="A19" s="79"/>
      <c r="B19" s="497" t="s">
        <v>107</v>
      </c>
      <c r="C19" s="498"/>
      <c r="D19" s="499"/>
      <c r="E19" s="308">
        <f>E12+E18</f>
        <v>1074.7408891893333</v>
      </c>
      <c r="F19" s="308">
        <f>F18+F12</f>
        <v>12896.920000000002</v>
      </c>
      <c r="G19" s="310">
        <f>G12+G18</f>
        <v>0.67201353292909249</v>
      </c>
      <c r="H19" s="131"/>
      <c r="I19" s="132"/>
      <c r="J19" s="132"/>
      <c r="K19" s="133">
        <v>69101</v>
      </c>
    </row>
    <row r="20" spans="1:12" ht="13.5" customHeight="1">
      <c r="A20" s="134"/>
      <c r="B20" s="135"/>
      <c r="C20" s="135"/>
      <c r="D20" s="135"/>
      <c r="E20" s="136"/>
      <c r="F20" s="136"/>
      <c r="G20" s="137"/>
      <c r="H20" s="107" t="s">
        <v>20</v>
      </c>
      <c r="I20" s="116"/>
      <c r="J20" s="127"/>
      <c r="K20" s="116"/>
      <c r="L20" s="385" t="s">
        <v>18</v>
      </c>
    </row>
    <row r="21" spans="1:12">
      <c r="A21" s="134"/>
      <c r="B21" s="505" t="s">
        <v>18</v>
      </c>
      <c r="C21" s="507"/>
      <c r="D21" s="138" t="s">
        <v>2</v>
      </c>
      <c r="E21" s="111" t="s">
        <v>0</v>
      </c>
      <c r="F21" s="111" t="s">
        <v>1</v>
      </c>
      <c r="G21" s="139" t="s">
        <v>19</v>
      </c>
      <c r="H21" s="113" t="s">
        <v>15</v>
      </c>
      <c r="I21" s="140" t="s">
        <v>80</v>
      </c>
      <c r="J21" s="140" t="s">
        <v>48</v>
      </c>
      <c r="K21" s="116"/>
      <c r="L21" s="383" t="s">
        <v>16</v>
      </c>
    </row>
    <row r="22" spans="1:12" s="12" customFormat="1" ht="11">
      <c r="A22" s="117">
        <f>A18+1</f>
        <v>10</v>
      </c>
      <c r="B22" s="492" t="s">
        <v>46</v>
      </c>
      <c r="C22" s="493"/>
      <c r="D22" s="141">
        <f>IF(J4="No",'Page 1'!C41,0)</f>
        <v>0.09</v>
      </c>
      <c r="E22" s="307">
        <f>IF($J$5="Agency Coordinated",E19*D22,0)</f>
        <v>96.72668002703999</v>
      </c>
      <c r="F22" s="307">
        <f>E22*12</f>
        <v>1160.7201603244798</v>
      </c>
      <c r="G22" s="141">
        <f>IF(F22&gt;0,F22/$F$41,0)</f>
        <v>5.1364662508539251E-2</v>
      </c>
      <c r="H22" s="117">
        <f>A22</f>
        <v>10</v>
      </c>
      <c r="I22" s="142">
        <f>IF(J4="No",'LOCK_ME_Page 6_Rate Table'!C24,0)</f>
        <v>0.1</v>
      </c>
      <c r="J22" s="142">
        <v>0</v>
      </c>
      <c r="K22" s="143"/>
      <c r="L22" s="384"/>
    </row>
    <row r="23" spans="1:12" s="12" customFormat="1" ht="11">
      <c r="A23" s="117">
        <f>A22+1</f>
        <v>11</v>
      </c>
      <c r="B23" s="443" t="s">
        <v>89</v>
      </c>
      <c r="C23" s="444"/>
      <c r="D23" s="141">
        <f>IF(J4="Yes",I23,0)</f>
        <v>0</v>
      </c>
      <c r="E23" s="307">
        <f>IF(J5="Agency Coordinated",E19*D23,0)</f>
        <v>0</v>
      </c>
      <c r="F23" s="307">
        <f>E23*12</f>
        <v>0</v>
      </c>
      <c r="G23" s="141">
        <f>IF(F23&gt;0,F23/$F$41,0)</f>
        <v>0</v>
      </c>
      <c r="H23" s="117">
        <f>A23</f>
        <v>11</v>
      </c>
      <c r="I23" s="142">
        <f>'LOCK_ME_Page 6_Rate Table'!C25</f>
        <v>0.03</v>
      </c>
      <c r="J23" s="144"/>
      <c r="K23" s="143"/>
      <c r="L23" s="384"/>
    </row>
    <row r="24" spans="1:12" s="12" customFormat="1" ht="11">
      <c r="A24" s="117">
        <f>A23+1</f>
        <v>12</v>
      </c>
      <c r="B24" s="492" t="s">
        <v>220</v>
      </c>
      <c r="C24" s="509"/>
      <c r="D24" s="493"/>
      <c r="E24" s="307">
        <f>F24/12</f>
        <v>711.66666666666663</v>
      </c>
      <c r="F24" s="307">
        <f>IF($J$5="Agency Coordinated",I24*J1,0)</f>
        <v>8540</v>
      </c>
      <c r="G24" s="311">
        <f>IF(F24&gt;0,F24/$F$41,0)</f>
        <v>0.3779155672632577</v>
      </c>
      <c r="H24" s="117">
        <f>A24</f>
        <v>12</v>
      </c>
      <c r="I24" s="129">
        <f>'LOCK_ME_Page 6_Rate Table'!C26</f>
        <v>2135</v>
      </c>
      <c r="J24" s="144" t="s">
        <v>113</v>
      </c>
      <c r="K24" s="143"/>
      <c r="L24" s="384"/>
    </row>
    <row r="25" spans="1:12" s="12" customFormat="1" ht="14.25" customHeight="1">
      <c r="A25" s="79"/>
      <c r="B25" s="497" t="s">
        <v>77</v>
      </c>
      <c r="C25" s="498"/>
      <c r="D25" s="499"/>
      <c r="E25" s="308">
        <f>SUM(E22:E24)</f>
        <v>808.39334669370658</v>
      </c>
      <c r="F25" s="308">
        <f>SUM(F22:F24)</f>
        <v>9700.7201603244794</v>
      </c>
      <c r="G25" s="310">
        <f>SUM(G22:G24)</f>
        <v>0.42928022977179697</v>
      </c>
      <c r="H25" s="131"/>
      <c r="I25" s="132"/>
      <c r="J25" s="132"/>
      <c r="K25" s="133">
        <v>69101</v>
      </c>
      <c r="L25" s="105"/>
    </row>
    <row r="26" spans="1:12" s="322" customFormat="1" ht="14.25" customHeight="1">
      <c r="A26" s="145"/>
      <c r="B26" s="320"/>
      <c r="C26" s="320"/>
      <c r="D26" s="320"/>
      <c r="E26" s="321"/>
      <c r="F26" s="321"/>
      <c r="G26" s="137"/>
      <c r="H26" s="145"/>
      <c r="I26" s="325"/>
      <c r="J26" s="325"/>
      <c r="K26" s="326"/>
      <c r="L26" s="319"/>
    </row>
    <row r="27" spans="1:12" s="12" customFormat="1" ht="14.25" customHeight="1">
      <c r="A27" s="145"/>
      <c r="B27" s="489" t="s">
        <v>270</v>
      </c>
      <c r="C27" s="490"/>
      <c r="D27" s="491"/>
      <c r="E27" s="419">
        <f>E19+E25</f>
        <v>1883.1342358830398</v>
      </c>
      <c r="F27" s="419">
        <f>F19+F25</f>
        <v>22597.640160324481</v>
      </c>
      <c r="G27" s="420">
        <f>G19+G25</f>
        <v>1.1012937627008894</v>
      </c>
      <c r="H27" s="145"/>
      <c r="I27" s="325"/>
      <c r="J27" s="325"/>
      <c r="K27" s="326"/>
      <c r="L27" s="319"/>
    </row>
    <row r="28" spans="1:12" ht="13.5" customHeight="1">
      <c r="A28" s="79"/>
      <c r="G28" s="146"/>
      <c r="H28" s="107" t="s">
        <v>20</v>
      </c>
      <c r="I28" s="147"/>
      <c r="J28" s="147"/>
      <c r="K28" s="116"/>
      <c r="L28" s="386" t="s">
        <v>111</v>
      </c>
    </row>
    <row r="29" spans="1:12">
      <c r="A29" s="134"/>
      <c r="B29" s="505" t="s">
        <v>111</v>
      </c>
      <c r="C29" s="506"/>
      <c r="D29" s="507"/>
      <c r="E29" s="111" t="s">
        <v>0</v>
      </c>
      <c r="F29" s="111" t="s">
        <v>1</v>
      </c>
      <c r="G29" s="139" t="s">
        <v>19</v>
      </c>
      <c r="H29" s="113" t="s">
        <v>15</v>
      </c>
      <c r="I29" s="140"/>
      <c r="J29" s="140"/>
      <c r="K29" s="116"/>
      <c r="L29" s="383" t="s">
        <v>16</v>
      </c>
    </row>
    <row r="30" spans="1:12" s="12" customFormat="1" ht="11">
      <c r="A30" s="117">
        <f>A24+1</f>
        <v>13</v>
      </c>
      <c r="B30" s="118" t="s">
        <v>242</v>
      </c>
      <c r="C30" s="119"/>
      <c r="D30" s="120"/>
      <c r="E30" s="307">
        <f>'Page 3'!O9</f>
        <v>0</v>
      </c>
      <c r="F30" s="307">
        <f>'Page 3'!P9</f>
        <v>0</v>
      </c>
      <c r="G30" s="141">
        <f>IF(F30&gt;0,F30/$F$41,0)</f>
        <v>0</v>
      </c>
      <c r="H30" s="117">
        <f>A30</f>
        <v>13</v>
      </c>
      <c r="I30" s="129"/>
      <c r="J30" s="144"/>
      <c r="K30" s="143"/>
      <c r="L30" s="384"/>
    </row>
    <row r="31" spans="1:12" s="12" customFormat="1" ht="14.25" customHeight="1">
      <c r="A31" s="145"/>
      <c r="B31" s="502" t="s">
        <v>149</v>
      </c>
      <c r="C31" s="503"/>
      <c r="D31" s="504"/>
      <c r="E31" s="424">
        <f>SUM(E30)</f>
        <v>0</v>
      </c>
      <c r="F31" s="424">
        <f>SUM(F30)</f>
        <v>0</v>
      </c>
      <c r="G31" s="425">
        <f>SUM(G30:G30)</f>
        <v>0</v>
      </c>
      <c r="H31" s="390"/>
      <c r="I31" s="389"/>
      <c r="J31" s="144"/>
      <c r="K31" s="387">
        <f>'Page 1'!M9</f>
        <v>60001</v>
      </c>
      <c r="L31" s="388"/>
    </row>
    <row r="32" spans="1:12" ht="13.5" customHeight="1">
      <c r="A32" s="79"/>
      <c r="G32" s="146"/>
      <c r="H32" s="107" t="s">
        <v>20</v>
      </c>
      <c r="I32" s="147"/>
      <c r="J32" s="147"/>
      <c r="K32" s="116"/>
      <c r="L32" s="386" t="s">
        <v>264</v>
      </c>
    </row>
    <row r="33" spans="1:12">
      <c r="A33" s="79"/>
      <c r="B33" s="505" t="s">
        <v>243</v>
      </c>
      <c r="C33" s="506"/>
      <c r="D33" s="507"/>
      <c r="E33" s="111"/>
      <c r="F33" s="111"/>
      <c r="G33" s="148"/>
      <c r="H33" s="113" t="s">
        <v>15</v>
      </c>
      <c r="I33" s="140"/>
      <c r="J33" s="140"/>
      <c r="K33" s="116"/>
      <c r="L33" s="383" t="s">
        <v>16</v>
      </c>
    </row>
    <row r="34" spans="1:12">
      <c r="A34" s="117">
        <f>A30+1</f>
        <v>14</v>
      </c>
      <c r="B34" s="500" t="s">
        <v>172</v>
      </c>
      <c r="C34" s="501"/>
      <c r="D34" s="149"/>
      <c r="E34" s="307">
        <f>'Page 4'!I11</f>
        <v>0</v>
      </c>
      <c r="F34" s="307">
        <f>'Page 4'!J11</f>
        <v>0</v>
      </c>
      <c r="G34" s="141">
        <f>IF(F34&gt;0,F34/$F$41,0)</f>
        <v>0</v>
      </c>
      <c r="H34" s="117">
        <f t="shared" ref="H34:H36" si="4">A34</f>
        <v>14</v>
      </c>
      <c r="I34" s="150"/>
      <c r="J34" s="151"/>
      <c r="K34" s="133" t="s">
        <v>184</v>
      </c>
      <c r="L34" s="384"/>
    </row>
    <row r="35" spans="1:12">
      <c r="A35" s="117">
        <f>A34+1</f>
        <v>15</v>
      </c>
      <c r="B35" s="500" t="s">
        <v>176</v>
      </c>
      <c r="C35" s="501"/>
      <c r="D35" s="149"/>
      <c r="E35" s="307">
        <f>'Page 4'!O11</f>
        <v>0</v>
      </c>
      <c r="F35" s="307">
        <f>'Page 4'!P11</f>
        <v>0</v>
      </c>
      <c r="G35" s="141">
        <f>IF(F35&gt;0,F35/$F$41,0)</f>
        <v>0</v>
      </c>
      <c r="H35" s="117">
        <f t="shared" si="4"/>
        <v>15</v>
      </c>
      <c r="I35" s="150"/>
      <c r="J35" s="151"/>
      <c r="K35" s="133" t="s">
        <v>185</v>
      </c>
      <c r="L35" s="384"/>
    </row>
    <row r="36" spans="1:12">
      <c r="A36" s="117">
        <f>A35+1</f>
        <v>16</v>
      </c>
      <c r="B36" s="500" t="s">
        <v>271</v>
      </c>
      <c r="C36" s="501"/>
      <c r="D36" s="149"/>
      <c r="E36" s="415">
        <f>'Page 3'!S9</f>
        <v>0</v>
      </c>
      <c r="F36" s="307">
        <f>'Page 3'!T9</f>
        <v>0</v>
      </c>
      <c r="G36" s="141">
        <f>IF(F36&gt;0,F36/$F$41,0)</f>
        <v>0</v>
      </c>
      <c r="H36" s="117">
        <f t="shared" si="4"/>
        <v>16</v>
      </c>
      <c r="I36" s="150"/>
      <c r="J36" s="151"/>
      <c r="K36" s="133"/>
      <c r="L36" s="384" t="s">
        <v>199</v>
      </c>
    </row>
    <row r="37" spans="1:12">
      <c r="B37" s="508" t="s">
        <v>244</v>
      </c>
      <c r="C37" s="497"/>
      <c r="D37" s="442"/>
      <c r="E37" s="308">
        <f>SUM(E34:E36)</f>
        <v>0</v>
      </c>
      <c r="F37" s="308">
        <f>SUM(F34:F36)</f>
        <v>0</v>
      </c>
      <c r="G37" s="310">
        <f>SUM(G34:G36)</f>
        <v>0</v>
      </c>
      <c r="H37" s="131"/>
      <c r="I37" s="132"/>
      <c r="J37" s="132"/>
      <c r="K37" s="152"/>
    </row>
    <row r="38" spans="1:12" s="5" customFormat="1">
      <c r="A38" s="134"/>
      <c r="B38" s="320"/>
      <c r="C38" s="320"/>
      <c r="D38" s="320"/>
      <c r="E38" s="321"/>
      <c r="F38" s="321"/>
      <c r="G38" s="137"/>
      <c r="H38" s="131"/>
      <c r="I38" s="132"/>
      <c r="J38" s="132"/>
      <c r="K38" s="152"/>
      <c r="L38" s="105"/>
    </row>
    <row r="39" spans="1:12" s="12" customFormat="1" ht="14.25" customHeight="1">
      <c r="A39" s="145"/>
      <c r="B39" s="489" t="s">
        <v>245</v>
      </c>
      <c r="C39" s="490"/>
      <c r="D39" s="491"/>
      <c r="E39" s="419">
        <f>E31+E37</f>
        <v>0</v>
      </c>
      <c r="F39" s="419">
        <f>F31+F37</f>
        <v>0</v>
      </c>
      <c r="G39" s="420">
        <f>G31+G37</f>
        <v>0</v>
      </c>
      <c r="H39" s="145"/>
      <c r="I39" s="325"/>
      <c r="J39" s="325"/>
      <c r="K39" s="326"/>
      <c r="L39" s="319"/>
    </row>
    <row r="40" spans="1:12" s="407" customFormat="1" ht="14.25" customHeight="1">
      <c r="A40" s="145"/>
      <c r="B40" s="445"/>
      <c r="C40" s="445"/>
      <c r="D40" s="445"/>
      <c r="E40" s="408"/>
      <c r="F40" s="408"/>
      <c r="G40" s="409"/>
      <c r="H40" s="145"/>
      <c r="I40" s="405"/>
      <c r="J40" s="405"/>
      <c r="K40" s="406"/>
      <c r="L40" s="319"/>
    </row>
    <row r="41" spans="1:12" ht="16">
      <c r="B41" s="494" t="s">
        <v>78</v>
      </c>
      <c r="C41" s="495"/>
      <c r="D41" s="496"/>
      <c r="E41" s="309">
        <f>E27+E39</f>
        <v>1883.1342358830398</v>
      </c>
      <c r="F41" s="309">
        <f>F27+F39</f>
        <v>22597.640160324481</v>
      </c>
      <c r="G41" s="312">
        <f>G19+G25+G37+G31</f>
        <v>1.1012937627008894</v>
      </c>
      <c r="H41" s="131"/>
      <c r="I41" s="132"/>
      <c r="J41" s="132"/>
      <c r="K41" s="132"/>
    </row>
    <row r="42" spans="1:12" s="105" customFormat="1" ht="14" thickBot="1">
      <c r="A42" s="153"/>
      <c r="B42" s="320"/>
      <c r="C42" s="320"/>
      <c r="D42" s="320"/>
      <c r="E42" s="154"/>
      <c r="F42" s="154"/>
      <c r="G42" s="155"/>
      <c r="H42" s="156"/>
      <c r="I42" s="157"/>
      <c r="J42" s="157"/>
      <c r="K42" s="157"/>
      <c r="L42" s="158"/>
    </row>
    <row r="43" spans="1:12" s="105" customFormat="1">
      <c r="A43" s="153"/>
      <c r="B43" s="483" t="s">
        <v>227</v>
      </c>
      <c r="C43" s="484"/>
      <c r="D43" s="485"/>
      <c r="E43" s="352"/>
      <c r="F43" s="353">
        <f>ROUND(E43,2)*12</f>
        <v>0</v>
      </c>
      <c r="G43" s="155"/>
      <c r="H43" s="156"/>
      <c r="I43" s="157"/>
      <c r="J43" s="157"/>
      <c r="K43" s="157"/>
      <c r="L43" s="158"/>
    </row>
    <row r="44" spans="1:12" s="105" customFormat="1" ht="14" thickBot="1">
      <c r="A44" s="153"/>
      <c r="B44" s="486" t="s">
        <v>228</v>
      </c>
      <c r="C44" s="487"/>
      <c r="D44" s="488"/>
      <c r="E44" s="354">
        <f>E41-E43</f>
        <v>1883.1342358830398</v>
      </c>
      <c r="F44" s="355">
        <f>F41-F43</f>
        <v>22597.640160324481</v>
      </c>
      <c r="G44" s="155"/>
      <c r="H44" s="156"/>
      <c r="I44" s="157"/>
      <c r="J44" s="157"/>
      <c r="K44" s="157"/>
      <c r="L44" s="158"/>
    </row>
    <row r="45" spans="1:12" s="105" customFormat="1">
      <c r="A45" s="153"/>
      <c r="B45" s="99"/>
      <c r="C45" s="99"/>
      <c r="D45" s="99"/>
      <c r="E45" s="100"/>
      <c r="F45" s="154"/>
      <c r="G45" s="155"/>
      <c r="H45" s="156"/>
      <c r="I45" s="157"/>
      <c r="J45" s="157"/>
      <c r="K45" s="157"/>
      <c r="L45" s="158"/>
    </row>
    <row r="46" spans="1:12" ht="16">
      <c r="A46" s="159"/>
      <c r="B46" s="10"/>
      <c r="C46" s="10"/>
      <c r="D46" s="10"/>
      <c r="E46" s="11"/>
      <c r="F46" s="160"/>
      <c r="G46" s="5"/>
    </row>
    <row r="47" spans="1:12" ht="16">
      <c r="A47" s="159"/>
      <c r="B47" s="12" t="s">
        <v>135</v>
      </c>
    </row>
    <row r="48" spans="1:12" ht="16">
      <c r="A48" s="159"/>
      <c r="B48" s="14"/>
    </row>
    <row r="49" spans="2:2">
      <c r="B49" s="10"/>
    </row>
    <row r="50" spans="2:2">
      <c r="B50" s="12" t="s">
        <v>136</v>
      </c>
    </row>
  </sheetData>
  <sheetProtection password="C8F7" sheet="1" objects="1" scenarios="1"/>
  <mergeCells count="27">
    <mergeCell ref="A1:G1"/>
    <mergeCell ref="A2:G2"/>
    <mergeCell ref="A3:G3"/>
    <mergeCell ref="A4:G4"/>
    <mergeCell ref="A5:G5"/>
    <mergeCell ref="B6:G6"/>
    <mergeCell ref="B7:D7"/>
    <mergeCell ref="B8:D8"/>
    <mergeCell ref="B36:C36"/>
    <mergeCell ref="B21:C21"/>
    <mergeCell ref="B19:D19"/>
    <mergeCell ref="B14:D14"/>
    <mergeCell ref="B15:D15"/>
    <mergeCell ref="B43:D43"/>
    <mergeCell ref="B44:D44"/>
    <mergeCell ref="B27:D27"/>
    <mergeCell ref="B39:D39"/>
    <mergeCell ref="B22:C22"/>
    <mergeCell ref="B41:D41"/>
    <mergeCell ref="B25:D25"/>
    <mergeCell ref="B35:C35"/>
    <mergeCell ref="B34:C34"/>
    <mergeCell ref="B31:D31"/>
    <mergeCell ref="B29:D29"/>
    <mergeCell ref="B37:C37"/>
    <mergeCell ref="B33:D33"/>
    <mergeCell ref="B24:D24"/>
  </mergeCells>
  <phoneticPr fontId="0" type="noConversion"/>
  <conditionalFormatting sqref="E14:E17">
    <cfRule type="cellIs" dxfId="11" priority="41" operator="greaterThan">
      <formula>#REF!</formula>
    </cfRule>
  </conditionalFormatting>
  <conditionalFormatting sqref="E36">
    <cfRule type="cellIs" dxfId="10" priority="14" operator="lessThan">
      <formula>0</formula>
    </cfRule>
    <cfRule type="cellIs" dxfId="9" priority="15" operator="greaterThan">
      <formula>0</formula>
    </cfRule>
  </conditionalFormatting>
  <conditionalFormatting sqref="E16:E17">
    <cfRule type="cellIs" dxfId="8" priority="1" operator="lessThan">
      <formula>0</formula>
    </cfRule>
    <cfRule type="cellIs" dxfId="7" priority="2" operator="greaterThan">
      <formula>0</formula>
    </cfRule>
  </conditionalFormatting>
  <dataValidations disablePrompts="1" count="2">
    <dataValidation type="decimal" errorStyle="warning" allowBlank="1" showInputMessage="1" showErrorMessage="1" error="The Administration % you enetered is outside Maximum % allowed. Please re-enter." sqref="D22:D23">
      <formula1>J22</formula1>
      <formula2>I22</formula2>
    </dataValidation>
    <dataValidation type="decimal" errorStyle="warning" allowBlank="1" showInputMessage="1" showErrorMessage="1" error="The Administration % you enetered is outside Maximum % allowed. Please re-enter." sqref="D30">
      <formula1>#REF!</formula1>
      <formula2>#REF!</formula2>
    </dataValidation>
  </dataValidations>
  <pageMargins left="0" right="0" top="0" bottom="0" header="0.3" footer="0.3"/>
  <headerFooter alignWithMargins="0">
    <oddFooter>&amp;L&amp;F  
Tab: &amp;A&amp;CPrinted: &amp;D  &amp;T&amp;RPage &amp;P of &amp;N</oddFooter>
  </headerFooter>
  <colBreaks count="1" manualBreakCount="1">
    <brk id="7" max="49" man="1"/>
  </colBreak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AW60"/>
  <sheetViews>
    <sheetView showGridLines="0" tabSelected="1" view="pageBreakPreview" zoomScale="80" zoomScaleSheetLayoutView="80" workbookViewId="0">
      <pane xSplit="3" ySplit="9" topLeftCell="V10" activePane="bottomRight" state="frozen"/>
      <selection activeCell="D10" sqref="D10"/>
      <selection pane="topRight" activeCell="D10" sqref="D10"/>
      <selection pane="bottomLeft" activeCell="D10" sqref="D10"/>
      <selection pane="bottomRight" activeCell="B14" sqref="B14"/>
    </sheetView>
  </sheetViews>
  <sheetFormatPr baseColWidth="10" defaultColWidth="9.1640625" defaultRowHeight="12" outlineLevelCol="1" x14ac:dyDescent="0"/>
  <cols>
    <col min="1" max="1" width="4.83203125" style="18" customWidth="1"/>
    <col min="2" max="2" width="20.6640625" style="18" customWidth="1"/>
    <col min="3" max="3" width="20.33203125" style="18" customWidth="1"/>
    <col min="4" max="4" width="9.5" style="18" customWidth="1"/>
    <col min="5" max="5" width="22.5" style="18" hidden="1" customWidth="1" outlineLevel="1"/>
    <col min="6" max="6" width="30.6640625" style="18" customWidth="1" collapsed="1"/>
    <col min="7" max="7" width="15.33203125" style="18" customWidth="1"/>
    <col min="8" max="8" width="8.6640625" style="18" customWidth="1"/>
    <col min="9" max="9" width="21.83203125" style="18" customWidth="1"/>
    <col min="10" max="10" width="20.6640625" style="18" customWidth="1"/>
    <col min="11" max="11" width="9.33203125" style="18" customWidth="1"/>
    <col min="12" max="12" width="7.83203125" style="18" customWidth="1"/>
    <col min="13" max="15" width="12.5" style="18" customWidth="1"/>
    <col min="16" max="16" width="14.6640625" style="18" hidden="1" customWidth="1" outlineLevel="1"/>
    <col min="17" max="17" width="14.5" style="18" customWidth="1" collapsed="1"/>
    <col min="18" max="18" width="13.6640625" style="18" hidden="1" customWidth="1" outlineLevel="1"/>
    <col min="19" max="19" width="13.6640625" style="18" customWidth="1" collapsed="1"/>
    <col min="20" max="20" width="13.6640625" style="18" hidden="1" customWidth="1"/>
    <col min="21" max="21" width="13.6640625" style="18" customWidth="1"/>
    <col min="22" max="22" width="14.1640625" style="18" customWidth="1"/>
    <col min="23" max="23" width="13.6640625" style="18" customWidth="1"/>
    <col min="24" max="24" width="12.33203125" style="18" customWidth="1"/>
    <col min="25" max="25" width="14" style="18" customWidth="1"/>
    <col min="26" max="27" width="12.33203125" style="18" customWidth="1"/>
    <col min="28" max="30" width="13.6640625" style="18" customWidth="1"/>
    <col min="31" max="31" width="14.1640625" style="18" customWidth="1"/>
    <col min="32" max="34" width="13.6640625" style="18" customWidth="1"/>
    <col min="35" max="35" width="10.33203125" style="18" hidden="1" customWidth="1" outlineLevel="1"/>
    <col min="36" max="36" width="26.83203125" style="162" hidden="1" customWidth="1" outlineLevel="1"/>
    <col min="37" max="37" width="16.5" style="162" hidden="1" customWidth="1" outlineLevel="1"/>
    <col min="38" max="38" width="4.5" style="18" customWidth="1" collapsed="1"/>
    <col min="39" max="16384" width="9.1640625" style="18"/>
  </cols>
  <sheetData>
    <row r="1" spans="1:49" ht="14">
      <c r="B1" s="396"/>
      <c r="C1" s="396"/>
      <c r="D1" s="396"/>
      <c r="E1" s="396"/>
      <c r="F1" s="440" t="str">
        <f>Instructions!A3</f>
        <v>Funding Template Version of V3Feb11</v>
      </c>
      <c r="G1" s="396"/>
      <c r="H1" s="396"/>
      <c r="I1" s="396"/>
      <c r="J1" s="396"/>
      <c r="K1" s="396"/>
      <c r="L1" s="396"/>
      <c r="M1" s="396"/>
      <c r="N1" s="396"/>
      <c r="O1" s="396"/>
      <c r="P1" s="396"/>
      <c r="Q1" s="396"/>
      <c r="R1" s="396"/>
      <c r="S1" s="396"/>
      <c r="T1" s="396"/>
      <c r="U1" s="396"/>
      <c r="V1" s="396"/>
      <c r="W1" s="396"/>
      <c r="X1" s="396"/>
      <c r="Y1" s="396"/>
      <c r="Z1" s="396"/>
      <c r="AA1" s="396"/>
      <c r="AB1" s="396"/>
      <c r="AC1" s="396"/>
      <c r="AD1" s="396"/>
      <c r="AE1" s="396"/>
      <c r="AF1" s="396"/>
      <c r="AG1" s="396"/>
      <c r="AH1" s="396"/>
      <c r="AI1" s="396"/>
      <c r="AJ1" s="330"/>
    </row>
    <row r="2" spans="1:49" ht="21">
      <c r="B2" s="358"/>
      <c r="C2" s="358"/>
      <c r="D2" s="358"/>
      <c r="E2" s="358"/>
      <c r="F2" s="435" t="str">
        <f>Instructions!A4</f>
        <v>Funding Template - Shared Living</v>
      </c>
      <c r="G2" s="358"/>
      <c r="H2" s="358"/>
      <c r="I2" s="358"/>
      <c r="J2" s="358"/>
      <c r="K2" s="358"/>
      <c r="L2" s="358"/>
      <c r="M2" s="358"/>
      <c r="N2" s="358"/>
      <c r="O2" s="358"/>
      <c r="P2" s="358"/>
      <c r="Q2" s="358"/>
      <c r="R2" s="358"/>
      <c r="S2" s="358"/>
      <c r="T2" s="358"/>
      <c r="U2" s="358"/>
      <c r="V2" s="358"/>
      <c r="W2" s="358"/>
      <c r="X2" s="358"/>
      <c r="Y2" s="358"/>
      <c r="Z2" s="358"/>
      <c r="AA2" s="358"/>
      <c r="AB2" s="358"/>
      <c r="AC2" s="358"/>
      <c r="AD2" s="358"/>
      <c r="AE2" s="358"/>
      <c r="AF2" s="358"/>
      <c r="AG2" s="358"/>
      <c r="AH2" s="358"/>
      <c r="AI2" s="358"/>
      <c r="AJ2" s="330"/>
    </row>
    <row r="3" spans="1:49" ht="16">
      <c r="B3" s="24"/>
      <c r="C3" s="24"/>
      <c r="D3" s="24"/>
      <c r="E3" s="24"/>
      <c r="F3" s="437" t="s">
        <v>235</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330"/>
    </row>
    <row r="4" spans="1:49">
      <c r="B4" s="397"/>
      <c r="C4" s="397"/>
      <c r="D4" s="397"/>
      <c r="E4" s="397"/>
      <c r="F4" s="441" t="str">
        <f>'Page 1'!C7</f>
        <v>Burnaby Associotion for Community Inclusion</v>
      </c>
      <c r="G4" s="397"/>
      <c r="H4" s="397"/>
      <c r="I4" s="397"/>
      <c r="J4" s="397"/>
      <c r="K4" s="397"/>
      <c r="L4" s="397"/>
      <c r="M4" s="397"/>
      <c r="N4" s="397"/>
      <c r="O4" s="397"/>
      <c r="P4" s="397"/>
      <c r="Q4" s="397"/>
      <c r="R4" s="397"/>
      <c r="S4" s="416"/>
      <c r="T4" s="397"/>
      <c r="U4" s="397"/>
      <c r="V4" s="397"/>
      <c r="W4" s="397"/>
      <c r="X4" s="397"/>
      <c r="Y4" s="397"/>
      <c r="Z4" s="397"/>
      <c r="AA4" s="397"/>
      <c r="AB4" s="397"/>
      <c r="AC4" s="397"/>
      <c r="AD4" s="397"/>
      <c r="AE4" s="397"/>
      <c r="AF4" s="397"/>
      <c r="AG4" s="397"/>
      <c r="AH4" s="397"/>
      <c r="AI4" s="397"/>
      <c r="AJ4" s="330"/>
    </row>
    <row r="5" spans="1:49" ht="15" customHeight="1">
      <c r="B5" s="398"/>
      <c r="C5" s="398"/>
      <c r="D5" s="398"/>
      <c r="E5" s="398"/>
      <c r="F5" s="393">
        <f>'Page 1'!C9</f>
        <v>0</v>
      </c>
      <c r="G5" s="398"/>
      <c r="H5" s="398"/>
      <c r="I5" s="398"/>
      <c r="J5" s="398"/>
      <c r="K5" s="398"/>
      <c r="L5" s="398"/>
      <c r="M5" s="398"/>
      <c r="N5" s="398"/>
      <c r="O5" s="398"/>
      <c r="P5" s="398"/>
      <c r="Q5" s="398"/>
      <c r="R5" s="398"/>
      <c r="S5" s="398"/>
      <c r="T5" s="398"/>
      <c r="U5" s="398"/>
      <c r="V5" s="398"/>
      <c r="W5" s="411"/>
      <c r="X5" s="412"/>
      <c r="Y5" s="398"/>
      <c r="Z5" s="427"/>
      <c r="AA5" s="427"/>
      <c r="AB5" s="398"/>
      <c r="AC5" s="398"/>
      <c r="AD5" s="398"/>
      <c r="AE5" s="398"/>
      <c r="AF5" s="398"/>
      <c r="AG5" s="398"/>
      <c r="AH5" s="398"/>
      <c r="AI5" s="398"/>
    </row>
    <row r="6" spans="1:49" ht="15" customHeight="1">
      <c r="A6" s="414" t="s">
        <v>268</v>
      </c>
      <c r="B6" s="197"/>
      <c r="C6" s="197"/>
      <c r="D6" s="197"/>
      <c r="E6" s="197"/>
      <c r="F6" s="393"/>
      <c r="G6" s="393"/>
      <c r="H6" s="393"/>
      <c r="I6" s="393"/>
      <c r="J6" s="393"/>
      <c r="K6" s="393"/>
      <c r="L6" s="429" t="s">
        <v>131</v>
      </c>
      <c r="M6" s="430">
        <f>'Page 1'!$M$9</f>
        <v>60001</v>
      </c>
      <c r="N6" s="430">
        <f>'Page 1'!$M$9</f>
        <v>60001</v>
      </c>
      <c r="O6" s="430">
        <f>'Page 1'!$M$9</f>
        <v>60001</v>
      </c>
      <c r="P6" s="431"/>
      <c r="Q6" s="430">
        <v>60201</v>
      </c>
      <c r="R6" s="431"/>
      <c r="S6" s="430">
        <v>60201</v>
      </c>
      <c r="T6" s="431"/>
      <c r="U6" s="430" t="s">
        <v>289</v>
      </c>
      <c r="V6" s="430" t="s">
        <v>289</v>
      </c>
      <c r="W6" s="430">
        <v>69101</v>
      </c>
      <c r="X6" s="432">
        <v>69101</v>
      </c>
      <c r="Y6" s="430">
        <v>69101</v>
      </c>
      <c r="Z6" s="430">
        <f>'Page 1'!$M$9</f>
        <v>60001</v>
      </c>
      <c r="AA6" s="430">
        <v>69101</v>
      </c>
      <c r="AB6" s="430" t="s">
        <v>289</v>
      </c>
      <c r="AC6" s="430" t="s">
        <v>289</v>
      </c>
      <c r="AD6" s="428"/>
      <c r="AE6" s="428"/>
      <c r="AF6" s="519" t="s">
        <v>293</v>
      </c>
      <c r="AG6" s="519"/>
      <c r="AH6" s="519"/>
      <c r="AI6" s="380"/>
    </row>
    <row r="7" spans="1:49" ht="15">
      <c r="A7" s="197" t="s">
        <v>63</v>
      </c>
      <c r="F7" s="47"/>
      <c r="G7" s="22"/>
      <c r="H7" s="22"/>
      <c r="I7" s="22"/>
      <c r="J7" s="22"/>
      <c r="K7" s="22"/>
      <c r="M7" s="523" t="s">
        <v>263</v>
      </c>
      <c r="N7" s="523"/>
      <c r="O7" s="523"/>
      <c r="P7" s="523"/>
      <c r="Q7" s="523"/>
      <c r="R7" s="523"/>
      <c r="S7" s="523"/>
      <c r="T7" s="523"/>
      <c r="U7" s="523"/>
      <c r="V7" s="523"/>
      <c r="W7" s="520" t="s">
        <v>269</v>
      </c>
      <c r="X7" s="521"/>
      <c r="Y7" s="521"/>
      <c r="Z7" s="521"/>
      <c r="AA7" s="521"/>
      <c r="AB7" s="521"/>
      <c r="AC7" s="522"/>
      <c r="AD7" s="524" t="s">
        <v>262</v>
      </c>
      <c r="AE7" s="524"/>
      <c r="AF7" s="520" t="s">
        <v>292</v>
      </c>
      <c r="AG7" s="521"/>
      <c r="AH7" s="522"/>
      <c r="AI7" s="392" t="s">
        <v>256</v>
      </c>
    </row>
    <row r="8" spans="1:49" s="449" customFormat="1" ht="55.5" customHeight="1">
      <c r="A8" s="198" t="s">
        <v>64</v>
      </c>
      <c r="B8" s="198" t="s">
        <v>115</v>
      </c>
      <c r="C8" s="199" t="s">
        <v>116</v>
      </c>
      <c r="D8" s="446" t="s">
        <v>117</v>
      </c>
      <c r="E8" s="418" t="s">
        <v>274</v>
      </c>
      <c r="F8" s="446" t="s">
        <v>108</v>
      </c>
      <c r="G8" s="446" t="s">
        <v>109</v>
      </c>
      <c r="H8" s="200" t="s">
        <v>110</v>
      </c>
      <c r="I8" s="200" t="s">
        <v>246</v>
      </c>
      <c r="J8" s="200" t="s">
        <v>247</v>
      </c>
      <c r="K8" s="198" t="s">
        <v>163</v>
      </c>
      <c r="L8" s="446" t="s">
        <v>65</v>
      </c>
      <c r="M8" s="280" t="s">
        <v>203</v>
      </c>
      <c r="N8" s="280" t="s">
        <v>279</v>
      </c>
      <c r="O8" s="280" t="s">
        <v>204</v>
      </c>
      <c r="P8" s="280" t="s">
        <v>202</v>
      </c>
      <c r="Q8" s="280" t="s">
        <v>280</v>
      </c>
      <c r="R8" s="280" t="s">
        <v>278</v>
      </c>
      <c r="S8" s="280" t="s">
        <v>272</v>
      </c>
      <c r="T8" s="280" t="s">
        <v>273</v>
      </c>
      <c r="U8" s="280" t="s">
        <v>281</v>
      </c>
      <c r="V8" s="280" t="s">
        <v>282</v>
      </c>
      <c r="W8" s="281" t="s">
        <v>260</v>
      </c>
      <c r="X8" s="281" t="s">
        <v>267</v>
      </c>
      <c r="Y8" s="281" t="s">
        <v>261</v>
      </c>
      <c r="Z8" s="281" t="s">
        <v>297</v>
      </c>
      <c r="AA8" s="281" t="s">
        <v>299</v>
      </c>
      <c r="AB8" s="281" t="s">
        <v>283</v>
      </c>
      <c r="AC8" s="281" t="s">
        <v>284</v>
      </c>
      <c r="AD8" s="201" t="s">
        <v>265</v>
      </c>
      <c r="AE8" s="201" t="s">
        <v>266</v>
      </c>
      <c r="AF8" s="281" t="str">
        <f>CONCATENATE('Page 1'!M9," - ",'Page 1'!I9)</f>
        <v>60001 - Home Sharing</v>
      </c>
      <c r="AG8" s="281" t="s">
        <v>290</v>
      </c>
      <c r="AH8" s="281" t="s">
        <v>291</v>
      </c>
      <c r="AI8" s="381" t="s">
        <v>255</v>
      </c>
      <c r="AJ8" s="202" t="s">
        <v>61</v>
      </c>
      <c r="AK8" s="202"/>
      <c r="AL8" s="198" t="s">
        <v>64</v>
      </c>
      <c r="AM8" s="525" t="s">
        <v>66</v>
      </c>
      <c r="AN8" s="526"/>
      <c r="AO8" s="526"/>
      <c r="AP8" s="526"/>
      <c r="AQ8" s="526"/>
      <c r="AR8" s="526"/>
      <c r="AS8" s="526"/>
      <c r="AT8" s="526"/>
      <c r="AU8" s="526"/>
      <c r="AV8" s="526"/>
      <c r="AW8" s="527"/>
    </row>
    <row r="9" spans="1:49" ht="14">
      <c r="A9" s="203" t="s">
        <v>208</v>
      </c>
      <c r="B9" s="204"/>
      <c r="C9" s="204"/>
      <c r="D9" s="204"/>
      <c r="E9" s="204"/>
      <c r="F9" s="204"/>
      <c r="G9" s="204"/>
      <c r="H9" s="204"/>
      <c r="I9" s="204"/>
      <c r="J9" s="204"/>
      <c r="K9" s="204"/>
      <c r="L9" s="204"/>
      <c r="M9" s="205">
        <f t="shared" ref="M9:AG9" si="0">SUM(M10:M59)</f>
        <v>0</v>
      </c>
      <c r="N9" s="205">
        <f t="shared" si="0"/>
        <v>0</v>
      </c>
      <c r="O9" s="205">
        <f t="shared" si="0"/>
        <v>0</v>
      </c>
      <c r="P9" s="371">
        <f t="shared" si="0"/>
        <v>0</v>
      </c>
      <c r="Q9" s="371">
        <f t="shared" si="0"/>
        <v>0</v>
      </c>
      <c r="R9" s="371">
        <f t="shared" si="0"/>
        <v>0</v>
      </c>
      <c r="S9" s="371">
        <f t="shared" si="0"/>
        <v>0</v>
      </c>
      <c r="T9" s="371">
        <f t="shared" si="0"/>
        <v>0</v>
      </c>
      <c r="U9" s="371">
        <f t="shared" si="0"/>
        <v>0</v>
      </c>
      <c r="V9" s="371">
        <f t="shared" si="0"/>
        <v>0</v>
      </c>
      <c r="W9" s="410">
        <f t="shared" si="0"/>
        <v>0</v>
      </c>
      <c r="X9" s="371">
        <f t="shared" si="0"/>
        <v>0</v>
      </c>
      <c r="Y9" s="371">
        <f t="shared" si="0"/>
        <v>0</v>
      </c>
      <c r="Z9" s="371">
        <f>SUM(Z10:Z59)</f>
        <v>0</v>
      </c>
      <c r="AA9" s="371">
        <f>SUM(AA10:AA59)</f>
        <v>-190.75</v>
      </c>
      <c r="AB9" s="371">
        <f>SUM(AB10:AB59)</f>
        <v>-190.75</v>
      </c>
      <c r="AC9" s="371">
        <f>'Page 2'!F27</f>
        <v>22597.640160324481</v>
      </c>
      <c r="AD9" s="371">
        <f>SUM(AD10:AD59)</f>
        <v>-190.75</v>
      </c>
      <c r="AE9" s="371">
        <f>SUM(AE10:AE59)</f>
        <v>22597.640160324481</v>
      </c>
      <c r="AF9" s="371">
        <f>SUM(AF10:AF59)</f>
        <v>0</v>
      </c>
      <c r="AG9" s="371">
        <f t="shared" si="0"/>
        <v>0</v>
      </c>
      <c r="AH9" s="371">
        <f>SUM(AH10:AH59)</f>
        <v>-190.75</v>
      </c>
      <c r="AI9" s="394">
        <f>SUM(AI10:AI59)</f>
        <v>0</v>
      </c>
      <c r="AJ9" s="206"/>
      <c r="AK9" s="206"/>
      <c r="AL9" s="207"/>
      <c r="AM9" s="528"/>
      <c r="AN9" s="529"/>
      <c r="AO9" s="529"/>
      <c r="AP9" s="529"/>
      <c r="AQ9" s="529"/>
      <c r="AR9" s="529"/>
      <c r="AS9" s="529"/>
      <c r="AT9" s="529"/>
      <c r="AU9" s="529"/>
      <c r="AV9" s="529"/>
      <c r="AW9" s="530"/>
    </row>
    <row r="10" spans="1:49" ht="14">
      <c r="A10" s="208">
        <v>1</v>
      </c>
      <c r="B10" s="8" t="s">
        <v>303</v>
      </c>
      <c r="C10" s="8"/>
      <c r="D10" s="459"/>
      <c r="E10" s="417"/>
      <c r="F10" s="460"/>
      <c r="G10" s="460"/>
      <c r="H10" s="461"/>
      <c r="I10" s="460"/>
      <c r="J10" s="460"/>
      <c r="K10" s="196"/>
      <c r="L10" s="7"/>
      <c r="M10" s="400">
        <f>IF($L10&gt;0,(VLOOKUP($AJ10,'LOCK_ME_Page 6_Rate Table'!$D$45:$E$62,2,FALSE)),0)</f>
        <v>0</v>
      </c>
      <c r="N10" s="344"/>
      <c r="O10" s="400">
        <f>IF(N10&gt;0,N10,M10)</f>
        <v>0</v>
      </c>
      <c r="P10" s="401">
        <f>ROUND(O10,2)*12</f>
        <v>0</v>
      </c>
      <c r="Q10" s="401">
        <f>'Page 4'!Q12</f>
        <v>0</v>
      </c>
      <c r="R10" s="401">
        <f>'Page 4'!T12</f>
        <v>0</v>
      </c>
      <c r="S10" s="450"/>
      <c r="T10" s="401">
        <f>ROUND($S10*12,2)</f>
        <v>0</v>
      </c>
      <c r="U10" s="402">
        <f>O10+Q10+S10</f>
        <v>0</v>
      </c>
      <c r="V10" s="402">
        <f>P10+R10+T10</f>
        <v>0</v>
      </c>
      <c r="W10" s="404">
        <f>IF(NOT($V10=0),$V10/$V$9*'Page 2'!$E$12,0)</f>
        <v>0</v>
      </c>
      <c r="X10" s="404">
        <f>IF(NOT($V10=0),$V10/$V$9*('Page 2'!$E$14)+'Page 2'!$E$15/'Page 1'!$C$15,0)</f>
        <v>0</v>
      </c>
      <c r="Y10" s="404">
        <f>IF(NOT($V10=0),$V10/$V$9*('Page 2'!$E$22+'Page 2'!$E$23)+'Page 2'!$E$24/'Page 1'!$C$15,0)</f>
        <v>0</v>
      </c>
      <c r="Z10" s="344"/>
      <c r="AA10" s="464">
        <v>-190.75</v>
      </c>
      <c r="AB10" s="404">
        <f>SUM(W10:AA10)</f>
        <v>-190.75</v>
      </c>
      <c r="AC10" s="404">
        <f>IF(NOT($AB$9=0),AB10/$AB$9*$AC$9,0)</f>
        <v>22597.640160324481</v>
      </c>
      <c r="AD10" s="372">
        <f>U10+AB10</f>
        <v>-190.75</v>
      </c>
      <c r="AE10" s="372">
        <f t="shared" ref="AE10:AE41" si="1">V10+AC10</f>
        <v>22597.640160324481</v>
      </c>
      <c r="AF10" s="404">
        <f>SUM(O10,Z10)</f>
        <v>0</v>
      </c>
      <c r="AG10" s="404">
        <f>SUM(Q10,S10)</f>
        <v>0</v>
      </c>
      <c r="AH10" s="404">
        <f>SUM(W10,,X10,Y10,AA10)</f>
        <v>-190.75</v>
      </c>
      <c r="AI10" s="395"/>
      <c r="AJ10" s="209" t="str">
        <f t="shared" ref="AJ10:AJ19" si="2">CONCATENATE(L10,K10)</f>
        <v/>
      </c>
      <c r="AK10" s="413"/>
      <c r="AL10" s="210">
        <f t="shared" ref="AL10:AL59" si="3">A10</f>
        <v>1</v>
      </c>
      <c r="AM10" s="516"/>
      <c r="AN10" s="517"/>
      <c r="AO10" s="517"/>
      <c r="AP10" s="517"/>
      <c r="AQ10" s="517"/>
      <c r="AR10" s="517"/>
      <c r="AS10" s="517"/>
      <c r="AT10" s="517"/>
      <c r="AU10" s="517"/>
      <c r="AV10" s="517"/>
      <c r="AW10" s="518"/>
    </row>
    <row r="11" spans="1:49" ht="14">
      <c r="A11" s="208">
        <f>A10+1</f>
        <v>2</v>
      </c>
      <c r="B11" s="8" t="s">
        <v>304</v>
      </c>
      <c r="C11" s="8"/>
      <c r="D11" s="459"/>
      <c r="E11" s="417"/>
      <c r="F11" s="460"/>
      <c r="G11" s="460"/>
      <c r="H11" s="461"/>
      <c r="I11" s="460"/>
      <c r="J11" s="460"/>
      <c r="K11" s="196"/>
      <c r="L11" s="7"/>
      <c r="M11" s="400">
        <f>IF($L11&gt;0,(VLOOKUP($AJ11,'LOCK_ME_Page 6_Rate Table'!$D$45:$E$62,2,FALSE)),0)</f>
        <v>0</v>
      </c>
      <c r="N11" s="344"/>
      <c r="O11" s="400">
        <f t="shared" ref="O11:O59" si="4">IF(N11&gt;0,N11,M11)</f>
        <v>0</v>
      </c>
      <c r="P11" s="401">
        <f t="shared" ref="P11:P59" si="5">ROUND(O11,2)*12</f>
        <v>0</v>
      </c>
      <c r="Q11" s="401">
        <f>'Page 4'!Q13</f>
        <v>0</v>
      </c>
      <c r="R11" s="401">
        <f>'Page 4'!T13</f>
        <v>0</v>
      </c>
      <c r="S11" s="450"/>
      <c r="T11" s="401">
        <f t="shared" ref="T11:T59" si="6">ROUND($S11*12,2)</f>
        <v>0</v>
      </c>
      <c r="U11" s="402">
        <f t="shared" ref="U11:U59" si="7">O11+Q11+S11</f>
        <v>0</v>
      </c>
      <c r="V11" s="402">
        <f t="shared" ref="V11:V59" si="8">P11+R11+T11</f>
        <v>0</v>
      </c>
      <c r="W11" s="404">
        <f>IF(NOT($V11=0),$V11/$V$9*'Page 2'!$E$12,0)</f>
        <v>0</v>
      </c>
      <c r="X11" s="404">
        <f>IF(NOT($V11=0),$V11/$V$9*('Page 2'!$E$14)+'Page 2'!$E$15/'Page 1'!$C$15,0)</f>
        <v>0</v>
      </c>
      <c r="Y11" s="404">
        <f>IF(NOT($V11=0),$V11/$V$9*('Page 2'!$E$22+'Page 2'!$E$23)+'Page 2'!$E$24/'Page 1'!$C$15,0)</f>
        <v>0</v>
      </c>
      <c r="Z11" s="344"/>
      <c r="AA11" s="344"/>
      <c r="AB11" s="404">
        <f t="shared" ref="AB11:AB59" si="9">SUM(W11:AA11)</f>
        <v>0</v>
      </c>
      <c r="AC11" s="404">
        <f t="shared" ref="AC11:AC59" si="10">IF(NOT($AB$9=0),AB11/$AB$9*$AC$9,0)</f>
        <v>0</v>
      </c>
      <c r="AD11" s="372">
        <f t="shared" ref="AD11:AD41" si="11">U11+AB11</f>
        <v>0</v>
      </c>
      <c r="AE11" s="372">
        <f t="shared" si="1"/>
        <v>0</v>
      </c>
      <c r="AF11" s="404">
        <f t="shared" ref="AF11:AF59" si="12">SUM(O11,Z11)</f>
        <v>0</v>
      </c>
      <c r="AG11" s="404">
        <f t="shared" ref="AG11:AG59" si="13">SUM(Q11,S11)</f>
        <v>0</v>
      </c>
      <c r="AH11" s="404">
        <f t="shared" ref="AH11:AH59" si="14">SUM(W11,,X11,Y11,AA11)</f>
        <v>0</v>
      </c>
      <c r="AI11" s="395"/>
      <c r="AJ11" s="209" t="str">
        <f t="shared" si="2"/>
        <v/>
      </c>
      <c r="AK11" s="413"/>
      <c r="AL11" s="210">
        <f t="shared" si="3"/>
        <v>2</v>
      </c>
      <c r="AM11" s="516"/>
      <c r="AN11" s="517"/>
      <c r="AO11" s="517"/>
      <c r="AP11" s="517"/>
      <c r="AQ11" s="517"/>
      <c r="AR11" s="517"/>
      <c r="AS11" s="517"/>
      <c r="AT11" s="517"/>
      <c r="AU11" s="517"/>
      <c r="AV11" s="517"/>
      <c r="AW11" s="518"/>
    </row>
    <row r="12" spans="1:49" ht="14">
      <c r="A12" s="208">
        <f t="shared" ref="A12:A59" si="15">A11+1</f>
        <v>3</v>
      </c>
      <c r="B12" s="8" t="s">
        <v>305</v>
      </c>
      <c r="C12" s="8"/>
      <c r="D12" s="459"/>
      <c r="E12" s="417"/>
      <c r="F12" s="460"/>
      <c r="G12" s="460"/>
      <c r="H12" s="461"/>
      <c r="I12" s="460"/>
      <c r="J12" s="460"/>
      <c r="K12" s="196"/>
      <c r="L12" s="7"/>
      <c r="M12" s="400">
        <f>IF($L12&gt;0,(VLOOKUP($AJ12,'LOCK_ME_Page 6_Rate Table'!$D$45:$E$62,2,FALSE)),0)</f>
        <v>0</v>
      </c>
      <c r="N12" s="344"/>
      <c r="O12" s="400">
        <f t="shared" si="4"/>
        <v>0</v>
      </c>
      <c r="P12" s="400">
        <f t="shared" si="5"/>
        <v>0</v>
      </c>
      <c r="Q12" s="400">
        <f>'Page 4'!Q14</f>
        <v>0</v>
      </c>
      <c r="R12" s="400">
        <f>'Page 4'!T14</f>
        <v>0</v>
      </c>
      <c r="S12" s="451"/>
      <c r="T12" s="400">
        <f t="shared" si="6"/>
        <v>0</v>
      </c>
      <c r="U12" s="403">
        <f t="shared" si="7"/>
        <v>0</v>
      </c>
      <c r="V12" s="402">
        <f t="shared" si="8"/>
        <v>0</v>
      </c>
      <c r="W12" s="404">
        <f>IF(NOT($V12=0),$V12/$V$9*'Page 2'!$E$12,0)</f>
        <v>0</v>
      </c>
      <c r="X12" s="404">
        <f>IF(NOT($V12=0),$V12/$V$9*('Page 2'!$E$14)+'Page 2'!$E$15/'Page 1'!$C$15,0)</f>
        <v>0</v>
      </c>
      <c r="Y12" s="404">
        <f>IF(NOT($V12=0),$V12/$V$9*('Page 2'!$E$22+'Page 2'!$E$23)+'Page 2'!$E$24/'Page 1'!$C$15,0)</f>
        <v>0</v>
      </c>
      <c r="Z12" s="344"/>
      <c r="AA12" s="344"/>
      <c r="AB12" s="404">
        <f t="shared" si="9"/>
        <v>0</v>
      </c>
      <c r="AC12" s="404">
        <f t="shared" si="10"/>
        <v>0</v>
      </c>
      <c r="AD12" s="399">
        <f t="shared" si="11"/>
        <v>0</v>
      </c>
      <c r="AE12" s="399">
        <f t="shared" si="1"/>
        <v>0</v>
      </c>
      <c r="AF12" s="404">
        <f t="shared" si="12"/>
        <v>0</v>
      </c>
      <c r="AG12" s="404">
        <f t="shared" si="13"/>
        <v>0</v>
      </c>
      <c r="AH12" s="404">
        <f t="shared" si="14"/>
        <v>0</v>
      </c>
      <c r="AI12" s="314"/>
      <c r="AJ12" s="209" t="str">
        <f t="shared" si="2"/>
        <v/>
      </c>
      <c r="AK12" s="413"/>
      <c r="AL12" s="210">
        <f t="shared" si="3"/>
        <v>3</v>
      </c>
      <c r="AM12" s="516"/>
      <c r="AN12" s="517"/>
      <c r="AO12" s="517"/>
      <c r="AP12" s="517"/>
      <c r="AQ12" s="517"/>
      <c r="AR12" s="517"/>
      <c r="AS12" s="517"/>
      <c r="AT12" s="517"/>
      <c r="AU12" s="517"/>
      <c r="AV12" s="517"/>
      <c r="AW12" s="518"/>
    </row>
    <row r="13" spans="1:49" ht="14">
      <c r="A13" s="208">
        <f t="shared" si="15"/>
        <v>4</v>
      </c>
      <c r="B13" s="8" t="s">
        <v>306</v>
      </c>
      <c r="C13" s="8"/>
      <c r="D13" s="459"/>
      <c r="E13" s="417"/>
      <c r="F13" s="460"/>
      <c r="G13" s="460"/>
      <c r="H13" s="461"/>
      <c r="I13" s="460"/>
      <c r="J13" s="460"/>
      <c r="K13" s="196"/>
      <c r="L13" s="7"/>
      <c r="M13" s="400">
        <f>IF($L13&gt;0,(VLOOKUP($AJ13,'LOCK_ME_Page 6_Rate Table'!$D$45:$E$62,2,FALSE)),0)</f>
        <v>0</v>
      </c>
      <c r="N13" s="344"/>
      <c r="O13" s="400">
        <f t="shared" si="4"/>
        <v>0</v>
      </c>
      <c r="P13" s="400">
        <f t="shared" si="5"/>
        <v>0</v>
      </c>
      <c r="Q13" s="400">
        <f>'Page 4'!Q15</f>
        <v>0</v>
      </c>
      <c r="R13" s="400">
        <f>'Page 4'!T15</f>
        <v>0</v>
      </c>
      <c r="S13" s="451"/>
      <c r="T13" s="400">
        <f t="shared" si="6"/>
        <v>0</v>
      </c>
      <c r="U13" s="403">
        <f t="shared" si="7"/>
        <v>0</v>
      </c>
      <c r="V13" s="402">
        <f t="shared" si="8"/>
        <v>0</v>
      </c>
      <c r="W13" s="404">
        <f>IF(NOT($V13=0),$V13/$V$9*'Page 2'!$E$12,0)</f>
        <v>0</v>
      </c>
      <c r="X13" s="404">
        <f>IF(NOT($V13=0),$V13/$V$9*('Page 2'!$E$14)+'Page 2'!$E$15/'Page 1'!$C$15,0)</f>
        <v>0</v>
      </c>
      <c r="Y13" s="404">
        <f>IF(NOT($V13=0),$V13/$V$9*('Page 2'!$E$22+'Page 2'!$E$23)+'Page 2'!$E$24/'Page 1'!$C$15,0)</f>
        <v>0</v>
      </c>
      <c r="Z13" s="344"/>
      <c r="AA13" s="344"/>
      <c r="AB13" s="404">
        <f t="shared" si="9"/>
        <v>0</v>
      </c>
      <c r="AC13" s="404">
        <f t="shared" si="10"/>
        <v>0</v>
      </c>
      <c r="AD13" s="399">
        <f t="shared" si="11"/>
        <v>0</v>
      </c>
      <c r="AE13" s="399">
        <f t="shared" si="1"/>
        <v>0</v>
      </c>
      <c r="AF13" s="404">
        <f t="shared" si="12"/>
        <v>0</v>
      </c>
      <c r="AG13" s="404">
        <f t="shared" si="13"/>
        <v>0</v>
      </c>
      <c r="AH13" s="404">
        <f t="shared" si="14"/>
        <v>0</v>
      </c>
      <c r="AI13" s="314"/>
      <c r="AJ13" s="209" t="str">
        <f t="shared" si="2"/>
        <v/>
      </c>
      <c r="AK13" s="413"/>
      <c r="AL13" s="210">
        <f t="shared" si="3"/>
        <v>4</v>
      </c>
      <c r="AM13" s="516"/>
      <c r="AN13" s="517"/>
      <c r="AO13" s="517"/>
      <c r="AP13" s="517"/>
      <c r="AQ13" s="517"/>
      <c r="AR13" s="517"/>
      <c r="AS13" s="517"/>
      <c r="AT13" s="517"/>
      <c r="AU13" s="517"/>
      <c r="AV13" s="517"/>
      <c r="AW13" s="518"/>
    </row>
    <row r="14" spans="1:49" ht="14">
      <c r="A14" s="208">
        <f t="shared" si="15"/>
        <v>5</v>
      </c>
      <c r="B14" s="8"/>
      <c r="C14" s="8"/>
      <c r="D14" s="459"/>
      <c r="E14" s="417"/>
      <c r="F14" s="460"/>
      <c r="G14" s="460"/>
      <c r="H14" s="461"/>
      <c r="I14" s="460"/>
      <c r="J14" s="460"/>
      <c r="K14" s="196"/>
      <c r="L14" s="7"/>
      <c r="M14" s="400">
        <f>IF($L14&gt;0,(VLOOKUP($AJ14,'LOCK_ME_Page 6_Rate Table'!$D$45:$E$62,2,FALSE)),0)</f>
        <v>0</v>
      </c>
      <c r="N14" s="344"/>
      <c r="O14" s="400">
        <f t="shared" si="4"/>
        <v>0</v>
      </c>
      <c r="P14" s="400">
        <f t="shared" si="5"/>
        <v>0</v>
      </c>
      <c r="Q14" s="400">
        <f>'Page 4'!Q16</f>
        <v>0</v>
      </c>
      <c r="R14" s="400">
        <f>'Page 4'!T16</f>
        <v>0</v>
      </c>
      <c r="S14" s="451"/>
      <c r="T14" s="400">
        <f t="shared" si="6"/>
        <v>0</v>
      </c>
      <c r="U14" s="403">
        <f t="shared" si="7"/>
        <v>0</v>
      </c>
      <c r="V14" s="402">
        <f t="shared" si="8"/>
        <v>0</v>
      </c>
      <c r="W14" s="404">
        <f>IF(NOT($V14=0),$V14/$V$9*'Page 2'!$E$12,0)</f>
        <v>0</v>
      </c>
      <c r="X14" s="404">
        <f>IF(NOT($V14=0),$V14/$V$9*('Page 2'!$E$14)+'Page 2'!$E$15/'Page 1'!$C$15,0)</f>
        <v>0</v>
      </c>
      <c r="Y14" s="404">
        <f>IF(NOT($V14=0),$V14/$V$9*('Page 2'!$E$22+'Page 2'!$E$23)+'Page 2'!$E$24/'Page 1'!$C$15,0)</f>
        <v>0</v>
      </c>
      <c r="Z14" s="344"/>
      <c r="AA14" s="344"/>
      <c r="AB14" s="404">
        <f t="shared" si="9"/>
        <v>0</v>
      </c>
      <c r="AC14" s="404">
        <f t="shared" si="10"/>
        <v>0</v>
      </c>
      <c r="AD14" s="399">
        <f t="shared" si="11"/>
        <v>0</v>
      </c>
      <c r="AE14" s="399">
        <f t="shared" si="1"/>
        <v>0</v>
      </c>
      <c r="AF14" s="404">
        <f t="shared" si="12"/>
        <v>0</v>
      </c>
      <c r="AG14" s="404">
        <f t="shared" si="13"/>
        <v>0</v>
      </c>
      <c r="AH14" s="404">
        <f t="shared" si="14"/>
        <v>0</v>
      </c>
      <c r="AI14" s="314"/>
      <c r="AJ14" s="209" t="str">
        <f t="shared" si="2"/>
        <v/>
      </c>
      <c r="AK14" s="413"/>
      <c r="AL14" s="210">
        <f t="shared" si="3"/>
        <v>5</v>
      </c>
      <c r="AM14" s="516"/>
      <c r="AN14" s="517"/>
      <c r="AO14" s="517"/>
      <c r="AP14" s="517"/>
      <c r="AQ14" s="517"/>
      <c r="AR14" s="517"/>
      <c r="AS14" s="517"/>
      <c r="AT14" s="517"/>
      <c r="AU14" s="517"/>
      <c r="AV14" s="517"/>
      <c r="AW14" s="518"/>
    </row>
    <row r="15" spans="1:49" ht="14">
      <c r="A15" s="208">
        <f t="shared" si="15"/>
        <v>6</v>
      </c>
      <c r="B15" s="8"/>
      <c r="C15" s="8"/>
      <c r="D15" s="459"/>
      <c r="E15" s="417"/>
      <c r="F15" s="460"/>
      <c r="G15" s="460"/>
      <c r="H15" s="461"/>
      <c r="I15" s="460"/>
      <c r="J15" s="460"/>
      <c r="K15" s="196"/>
      <c r="L15" s="7"/>
      <c r="M15" s="400">
        <f>IF($L15&gt;0,(VLOOKUP($AJ15,'LOCK_ME_Page 6_Rate Table'!$D$45:$E$62,2,FALSE)),0)</f>
        <v>0</v>
      </c>
      <c r="N15" s="344"/>
      <c r="O15" s="400">
        <f t="shared" si="4"/>
        <v>0</v>
      </c>
      <c r="P15" s="400">
        <f t="shared" si="5"/>
        <v>0</v>
      </c>
      <c r="Q15" s="400">
        <f>'Page 4'!Q17</f>
        <v>0</v>
      </c>
      <c r="R15" s="400">
        <f>'Page 4'!T17</f>
        <v>0</v>
      </c>
      <c r="S15" s="451"/>
      <c r="T15" s="400">
        <f t="shared" si="6"/>
        <v>0</v>
      </c>
      <c r="U15" s="403">
        <f t="shared" si="7"/>
        <v>0</v>
      </c>
      <c r="V15" s="402">
        <f t="shared" si="8"/>
        <v>0</v>
      </c>
      <c r="W15" s="404">
        <f>IF(NOT($V15=0),$V15/$V$9*'Page 2'!$E$12,0)</f>
        <v>0</v>
      </c>
      <c r="X15" s="404">
        <f>IF(NOT($V15=0),$V15/$V$9*('Page 2'!$E$14)+'Page 2'!$E$15/'Page 1'!$C$15,0)</f>
        <v>0</v>
      </c>
      <c r="Y15" s="404">
        <f>IF(NOT($V15=0),$V15/$V$9*('Page 2'!$E$22+'Page 2'!$E$23)+'Page 2'!$E$24/'Page 1'!$C$15,0)</f>
        <v>0</v>
      </c>
      <c r="Z15" s="344"/>
      <c r="AA15" s="344"/>
      <c r="AB15" s="404">
        <f t="shared" si="9"/>
        <v>0</v>
      </c>
      <c r="AC15" s="404">
        <f t="shared" si="10"/>
        <v>0</v>
      </c>
      <c r="AD15" s="399">
        <f t="shared" si="11"/>
        <v>0</v>
      </c>
      <c r="AE15" s="399">
        <f t="shared" si="1"/>
        <v>0</v>
      </c>
      <c r="AF15" s="404">
        <f t="shared" si="12"/>
        <v>0</v>
      </c>
      <c r="AG15" s="404">
        <f t="shared" si="13"/>
        <v>0</v>
      </c>
      <c r="AH15" s="404">
        <f t="shared" si="14"/>
        <v>0</v>
      </c>
      <c r="AI15" s="314"/>
      <c r="AJ15" s="209" t="str">
        <f t="shared" si="2"/>
        <v/>
      </c>
      <c r="AK15" s="413"/>
      <c r="AL15" s="210">
        <f t="shared" si="3"/>
        <v>6</v>
      </c>
      <c r="AM15" s="516"/>
      <c r="AN15" s="517"/>
      <c r="AO15" s="517"/>
      <c r="AP15" s="517"/>
      <c r="AQ15" s="517"/>
      <c r="AR15" s="517"/>
      <c r="AS15" s="517"/>
      <c r="AT15" s="517"/>
      <c r="AU15" s="517"/>
      <c r="AV15" s="517"/>
      <c r="AW15" s="518"/>
    </row>
    <row r="16" spans="1:49" ht="14">
      <c r="A16" s="208">
        <f t="shared" si="15"/>
        <v>7</v>
      </c>
      <c r="B16" s="8"/>
      <c r="C16" s="8"/>
      <c r="D16" s="459"/>
      <c r="E16" s="417"/>
      <c r="F16" s="460"/>
      <c r="G16" s="460"/>
      <c r="H16" s="461"/>
      <c r="I16" s="460"/>
      <c r="J16" s="460"/>
      <c r="K16" s="196"/>
      <c r="L16" s="7"/>
      <c r="M16" s="400">
        <f>IF($L16&gt;0,(VLOOKUP($AJ16,'LOCK_ME_Page 6_Rate Table'!$D$45:$E$62,2,FALSE)),0)</f>
        <v>0</v>
      </c>
      <c r="N16" s="344"/>
      <c r="O16" s="400">
        <f t="shared" si="4"/>
        <v>0</v>
      </c>
      <c r="P16" s="400">
        <f t="shared" si="5"/>
        <v>0</v>
      </c>
      <c r="Q16" s="400">
        <f>'Page 4'!Q18</f>
        <v>0</v>
      </c>
      <c r="R16" s="400">
        <f>'Page 4'!T18</f>
        <v>0</v>
      </c>
      <c r="S16" s="451"/>
      <c r="T16" s="400">
        <f t="shared" si="6"/>
        <v>0</v>
      </c>
      <c r="U16" s="403">
        <f t="shared" si="7"/>
        <v>0</v>
      </c>
      <c r="V16" s="402">
        <f t="shared" si="8"/>
        <v>0</v>
      </c>
      <c r="W16" s="404">
        <f>IF(NOT($V16=0),$V16/$V$9*'Page 2'!$E$12,0)</f>
        <v>0</v>
      </c>
      <c r="X16" s="404">
        <f>IF(NOT($V16=0),$V16/$V$9*('Page 2'!$E$14)+'Page 2'!$E$15/'Page 1'!$C$15,0)</f>
        <v>0</v>
      </c>
      <c r="Y16" s="404">
        <f>IF(NOT($V16=0),$V16/$V$9*('Page 2'!$E$22+'Page 2'!$E$23)+'Page 2'!$E$24/'Page 1'!$C$15,0)</f>
        <v>0</v>
      </c>
      <c r="Z16" s="344"/>
      <c r="AA16" s="344"/>
      <c r="AB16" s="404">
        <f t="shared" si="9"/>
        <v>0</v>
      </c>
      <c r="AC16" s="404">
        <f t="shared" si="10"/>
        <v>0</v>
      </c>
      <c r="AD16" s="399">
        <f t="shared" si="11"/>
        <v>0</v>
      </c>
      <c r="AE16" s="399">
        <f t="shared" si="1"/>
        <v>0</v>
      </c>
      <c r="AF16" s="404">
        <f t="shared" si="12"/>
        <v>0</v>
      </c>
      <c r="AG16" s="404">
        <f t="shared" si="13"/>
        <v>0</v>
      </c>
      <c r="AH16" s="404">
        <f t="shared" si="14"/>
        <v>0</v>
      </c>
      <c r="AI16" s="314"/>
      <c r="AJ16" s="209" t="str">
        <f t="shared" si="2"/>
        <v/>
      </c>
      <c r="AK16" s="413"/>
      <c r="AL16" s="210">
        <f t="shared" si="3"/>
        <v>7</v>
      </c>
      <c r="AM16" s="516"/>
      <c r="AN16" s="517"/>
      <c r="AO16" s="517"/>
      <c r="AP16" s="517"/>
      <c r="AQ16" s="517"/>
      <c r="AR16" s="517"/>
      <c r="AS16" s="517"/>
      <c r="AT16" s="517"/>
      <c r="AU16" s="517"/>
      <c r="AV16" s="517"/>
      <c r="AW16" s="518"/>
    </row>
    <row r="17" spans="1:49" ht="14">
      <c r="A17" s="208">
        <f t="shared" si="15"/>
        <v>8</v>
      </c>
      <c r="B17" s="8"/>
      <c r="C17" s="8"/>
      <c r="D17" s="459"/>
      <c r="E17" s="417"/>
      <c r="F17" s="460"/>
      <c r="G17" s="460"/>
      <c r="H17" s="461"/>
      <c r="I17" s="460"/>
      <c r="J17" s="460"/>
      <c r="K17" s="196"/>
      <c r="L17" s="7"/>
      <c r="M17" s="400">
        <f>IF($L17&gt;0,(VLOOKUP($AJ17,'LOCK_ME_Page 6_Rate Table'!$D$45:$E$62,2,FALSE)),0)</f>
        <v>0</v>
      </c>
      <c r="N17" s="344"/>
      <c r="O17" s="400">
        <f t="shared" si="4"/>
        <v>0</v>
      </c>
      <c r="P17" s="400">
        <f t="shared" si="5"/>
        <v>0</v>
      </c>
      <c r="Q17" s="400">
        <f>'Page 4'!Q19</f>
        <v>0</v>
      </c>
      <c r="R17" s="400">
        <f>'Page 4'!T19</f>
        <v>0</v>
      </c>
      <c r="S17" s="451"/>
      <c r="T17" s="400">
        <f t="shared" si="6"/>
        <v>0</v>
      </c>
      <c r="U17" s="403">
        <f t="shared" si="7"/>
        <v>0</v>
      </c>
      <c r="V17" s="402">
        <f t="shared" si="8"/>
        <v>0</v>
      </c>
      <c r="W17" s="404">
        <f>IF(NOT($V17=0),$V17/$V$9*'Page 2'!$E$12,0)</f>
        <v>0</v>
      </c>
      <c r="X17" s="404">
        <f>IF(NOT($V17=0),$V17/$V$9*('Page 2'!$E$14)+'Page 2'!$E$15/'Page 1'!$C$15,0)</f>
        <v>0</v>
      </c>
      <c r="Y17" s="404">
        <f>IF(NOT($V17=0),$V17/$V$9*('Page 2'!$E$22+'Page 2'!$E$23)+'Page 2'!$E$24/'Page 1'!$C$15,0)</f>
        <v>0</v>
      </c>
      <c r="Z17" s="344"/>
      <c r="AA17" s="344"/>
      <c r="AB17" s="404">
        <f t="shared" si="9"/>
        <v>0</v>
      </c>
      <c r="AC17" s="404">
        <f t="shared" si="10"/>
        <v>0</v>
      </c>
      <c r="AD17" s="399">
        <f t="shared" si="11"/>
        <v>0</v>
      </c>
      <c r="AE17" s="399">
        <f t="shared" si="1"/>
        <v>0</v>
      </c>
      <c r="AF17" s="404">
        <f t="shared" si="12"/>
        <v>0</v>
      </c>
      <c r="AG17" s="404">
        <f t="shared" si="13"/>
        <v>0</v>
      </c>
      <c r="AH17" s="404">
        <f t="shared" si="14"/>
        <v>0</v>
      </c>
      <c r="AI17" s="314"/>
      <c r="AJ17" s="209" t="str">
        <f t="shared" si="2"/>
        <v/>
      </c>
      <c r="AK17" s="413"/>
      <c r="AL17" s="210">
        <f t="shared" si="3"/>
        <v>8</v>
      </c>
      <c r="AM17" s="516"/>
      <c r="AN17" s="517"/>
      <c r="AO17" s="517"/>
      <c r="AP17" s="517"/>
      <c r="AQ17" s="517"/>
      <c r="AR17" s="517"/>
      <c r="AS17" s="517"/>
      <c r="AT17" s="517"/>
      <c r="AU17" s="517"/>
      <c r="AV17" s="517"/>
      <c r="AW17" s="518"/>
    </row>
    <row r="18" spans="1:49" ht="14">
      <c r="A18" s="208">
        <f t="shared" si="15"/>
        <v>9</v>
      </c>
      <c r="B18" s="8"/>
      <c r="C18" s="8"/>
      <c r="D18" s="459"/>
      <c r="E18" s="417"/>
      <c r="F18" s="460"/>
      <c r="G18" s="460"/>
      <c r="H18" s="461"/>
      <c r="I18" s="460"/>
      <c r="J18" s="460"/>
      <c r="K18" s="196"/>
      <c r="L18" s="7"/>
      <c r="M18" s="400">
        <f>IF($L18&gt;0,(VLOOKUP($AJ18,'LOCK_ME_Page 6_Rate Table'!$D$45:$E$62,2,FALSE)),0)</f>
        <v>0</v>
      </c>
      <c r="N18" s="344"/>
      <c r="O18" s="400">
        <f t="shared" si="4"/>
        <v>0</v>
      </c>
      <c r="P18" s="400">
        <f t="shared" si="5"/>
        <v>0</v>
      </c>
      <c r="Q18" s="400">
        <f>'Page 4'!Q20</f>
        <v>0</v>
      </c>
      <c r="R18" s="400">
        <f>'Page 4'!T20</f>
        <v>0</v>
      </c>
      <c r="S18" s="451"/>
      <c r="T18" s="400">
        <f t="shared" si="6"/>
        <v>0</v>
      </c>
      <c r="U18" s="403">
        <f t="shared" si="7"/>
        <v>0</v>
      </c>
      <c r="V18" s="402">
        <f t="shared" si="8"/>
        <v>0</v>
      </c>
      <c r="W18" s="404">
        <f>IF(NOT($V18=0),$V18/$V$9*'Page 2'!$E$12,0)</f>
        <v>0</v>
      </c>
      <c r="X18" s="404">
        <f>IF(NOT($V18=0),$V18/$V$9*('Page 2'!$E$14)+'Page 2'!$E$15/'Page 1'!$C$15,0)</f>
        <v>0</v>
      </c>
      <c r="Y18" s="404">
        <f>IF(NOT($V18=0),$V18/$V$9*('Page 2'!$E$22+'Page 2'!$E$23)+'Page 2'!$E$24/'Page 1'!$C$15,0)</f>
        <v>0</v>
      </c>
      <c r="Z18" s="344"/>
      <c r="AA18" s="344"/>
      <c r="AB18" s="404">
        <f t="shared" si="9"/>
        <v>0</v>
      </c>
      <c r="AC18" s="404">
        <f t="shared" si="10"/>
        <v>0</v>
      </c>
      <c r="AD18" s="399">
        <f t="shared" si="11"/>
        <v>0</v>
      </c>
      <c r="AE18" s="399">
        <f t="shared" si="1"/>
        <v>0</v>
      </c>
      <c r="AF18" s="404">
        <f t="shared" si="12"/>
        <v>0</v>
      </c>
      <c r="AG18" s="404">
        <f t="shared" si="13"/>
        <v>0</v>
      </c>
      <c r="AH18" s="404">
        <f t="shared" si="14"/>
        <v>0</v>
      </c>
      <c r="AI18" s="314"/>
      <c r="AJ18" s="209" t="str">
        <f t="shared" si="2"/>
        <v/>
      </c>
      <c r="AK18" s="413"/>
      <c r="AL18" s="210">
        <f t="shared" si="3"/>
        <v>9</v>
      </c>
      <c r="AM18" s="516"/>
      <c r="AN18" s="517"/>
      <c r="AO18" s="517"/>
      <c r="AP18" s="517"/>
      <c r="AQ18" s="517"/>
      <c r="AR18" s="517"/>
      <c r="AS18" s="517"/>
      <c r="AT18" s="517"/>
      <c r="AU18" s="517"/>
      <c r="AV18" s="517"/>
      <c r="AW18" s="518"/>
    </row>
    <row r="19" spans="1:49" ht="14">
      <c r="A19" s="208">
        <f t="shared" si="15"/>
        <v>10</v>
      </c>
      <c r="B19" s="8"/>
      <c r="C19" s="8"/>
      <c r="D19" s="459"/>
      <c r="E19" s="417"/>
      <c r="F19" s="460"/>
      <c r="G19" s="460"/>
      <c r="H19" s="461"/>
      <c r="I19" s="460"/>
      <c r="J19" s="460"/>
      <c r="K19" s="196"/>
      <c r="L19" s="7"/>
      <c r="M19" s="400">
        <f>IF($L19&gt;0,(VLOOKUP($AJ19,'LOCK_ME_Page 6_Rate Table'!$D$45:$E$62,2,FALSE)),0)</f>
        <v>0</v>
      </c>
      <c r="N19" s="344"/>
      <c r="O19" s="400">
        <f t="shared" si="4"/>
        <v>0</v>
      </c>
      <c r="P19" s="400">
        <f t="shared" si="5"/>
        <v>0</v>
      </c>
      <c r="Q19" s="400">
        <f>'Page 4'!Q21</f>
        <v>0</v>
      </c>
      <c r="R19" s="400">
        <f>'Page 4'!T21</f>
        <v>0</v>
      </c>
      <c r="S19" s="451"/>
      <c r="T19" s="400">
        <f t="shared" si="6"/>
        <v>0</v>
      </c>
      <c r="U19" s="403">
        <f t="shared" si="7"/>
        <v>0</v>
      </c>
      <c r="V19" s="402">
        <f t="shared" si="8"/>
        <v>0</v>
      </c>
      <c r="W19" s="404">
        <f>IF(NOT($V19=0),$V19/$V$9*'Page 2'!$E$12,0)</f>
        <v>0</v>
      </c>
      <c r="X19" s="404">
        <f>IF(NOT($V19=0),$V19/$V$9*('Page 2'!$E$14)+'Page 2'!$E$15/'Page 1'!$C$15,0)</f>
        <v>0</v>
      </c>
      <c r="Y19" s="404">
        <f>IF(NOT($V19=0),$V19/$V$9*('Page 2'!$E$22+'Page 2'!$E$23)+'Page 2'!$E$24/'Page 1'!$C$15,0)</f>
        <v>0</v>
      </c>
      <c r="Z19" s="344"/>
      <c r="AA19" s="344"/>
      <c r="AB19" s="404">
        <f t="shared" si="9"/>
        <v>0</v>
      </c>
      <c r="AC19" s="404">
        <f t="shared" si="10"/>
        <v>0</v>
      </c>
      <c r="AD19" s="399">
        <f t="shared" si="11"/>
        <v>0</v>
      </c>
      <c r="AE19" s="399">
        <f t="shared" si="1"/>
        <v>0</v>
      </c>
      <c r="AF19" s="404">
        <f t="shared" si="12"/>
        <v>0</v>
      </c>
      <c r="AG19" s="404">
        <f t="shared" si="13"/>
        <v>0</v>
      </c>
      <c r="AH19" s="404">
        <f t="shared" si="14"/>
        <v>0</v>
      </c>
      <c r="AI19" s="314"/>
      <c r="AJ19" s="209" t="str">
        <f t="shared" si="2"/>
        <v/>
      </c>
      <c r="AK19" s="413"/>
      <c r="AL19" s="210">
        <f t="shared" si="3"/>
        <v>10</v>
      </c>
      <c r="AM19" s="516"/>
      <c r="AN19" s="517"/>
      <c r="AO19" s="517"/>
      <c r="AP19" s="517"/>
      <c r="AQ19" s="517"/>
      <c r="AR19" s="517"/>
      <c r="AS19" s="517"/>
      <c r="AT19" s="517"/>
      <c r="AU19" s="517"/>
      <c r="AV19" s="517"/>
      <c r="AW19" s="518"/>
    </row>
    <row r="20" spans="1:49" ht="14">
      <c r="A20" s="208">
        <f t="shared" si="15"/>
        <v>11</v>
      </c>
      <c r="B20" s="8"/>
      <c r="C20" s="8"/>
      <c r="D20" s="459"/>
      <c r="E20" s="417"/>
      <c r="F20" s="460"/>
      <c r="G20" s="460"/>
      <c r="H20" s="461"/>
      <c r="I20" s="460"/>
      <c r="J20" s="460"/>
      <c r="K20" s="196"/>
      <c r="L20" s="7"/>
      <c r="M20" s="400">
        <f>IF($L20&gt;0,(VLOOKUP($AJ20,'LOCK_ME_Page 6_Rate Table'!$D$45:$E$62,2,FALSE)),0)</f>
        <v>0</v>
      </c>
      <c r="N20" s="344"/>
      <c r="O20" s="400">
        <f t="shared" si="4"/>
        <v>0</v>
      </c>
      <c r="P20" s="400">
        <f t="shared" si="5"/>
        <v>0</v>
      </c>
      <c r="Q20" s="400">
        <f>'Page 4'!Q22</f>
        <v>0</v>
      </c>
      <c r="R20" s="400">
        <f>'Page 4'!T22</f>
        <v>0</v>
      </c>
      <c r="S20" s="451"/>
      <c r="T20" s="400">
        <f t="shared" si="6"/>
        <v>0</v>
      </c>
      <c r="U20" s="403">
        <f t="shared" si="7"/>
        <v>0</v>
      </c>
      <c r="V20" s="402">
        <f t="shared" si="8"/>
        <v>0</v>
      </c>
      <c r="W20" s="404">
        <f>IF(NOT($V20=0),$V20/$V$9*'Page 2'!$E$12,0)</f>
        <v>0</v>
      </c>
      <c r="X20" s="404">
        <f>IF(NOT($V20=0),$V20/$V$9*('Page 2'!$E$14)+'Page 2'!$E$15/'Page 1'!$C$15,0)</f>
        <v>0</v>
      </c>
      <c r="Y20" s="404">
        <f>IF(NOT($V20=0),$V20/$V$9*('Page 2'!$E$22+'Page 2'!$E$23)+'Page 2'!$E$24/'Page 1'!$C$15,0)</f>
        <v>0</v>
      </c>
      <c r="Z20" s="344"/>
      <c r="AA20" s="344"/>
      <c r="AB20" s="404">
        <f t="shared" si="9"/>
        <v>0</v>
      </c>
      <c r="AC20" s="404">
        <f t="shared" si="10"/>
        <v>0</v>
      </c>
      <c r="AD20" s="399">
        <f t="shared" si="11"/>
        <v>0</v>
      </c>
      <c r="AE20" s="399">
        <f t="shared" si="1"/>
        <v>0</v>
      </c>
      <c r="AF20" s="404">
        <f t="shared" si="12"/>
        <v>0</v>
      </c>
      <c r="AG20" s="404">
        <f t="shared" si="13"/>
        <v>0</v>
      </c>
      <c r="AH20" s="404">
        <f t="shared" si="14"/>
        <v>0</v>
      </c>
      <c r="AI20" s="314"/>
      <c r="AJ20" s="209" t="str">
        <f t="shared" ref="AJ20:AJ59" si="16">CONCATENATE(L20,K20)</f>
        <v/>
      </c>
      <c r="AK20" s="413"/>
      <c r="AL20" s="210">
        <f t="shared" si="3"/>
        <v>11</v>
      </c>
      <c r="AM20" s="516"/>
      <c r="AN20" s="517"/>
      <c r="AO20" s="517"/>
      <c r="AP20" s="517"/>
      <c r="AQ20" s="517"/>
      <c r="AR20" s="517"/>
      <c r="AS20" s="517"/>
      <c r="AT20" s="517"/>
      <c r="AU20" s="517"/>
      <c r="AV20" s="517"/>
      <c r="AW20" s="518"/>
    </row>
    <row r="21" spans="1:49" ht="14">
      <c r="A21" s="208">
        <f t="shared" si="15"/>
        <v>12</v>
      </c>
      <c r="B21" s="8"/>
      <c r="C21" s="8"/>
      <c r="D21" s="16"/>
      <c r="E21" s="417"/>
      <c r="F21" s="194"/>
      <c r="G21" s="194"/>
      <c r="H21" s="195"/>
      <c r="I21" s="194"/>
      <c r="J21" s="194"/>
      <c r="K21" s="196"/>
      <c r="L21" s="7"/>
      <c r="M21" s="400">
        <f>IF($L21&gt;0,(VLOOKUP($AJ21,'LOCK_ME_Page 6_Rate Table'!$D$45:$E$62,2,FALSE)),0)</f>
        <v>0</v>
      </c>
      <c r="N21" s="344"/>
      <c r="O21" s="400">
        <f t="shared" si="4"/>
        <v>0</v>
      </c>
      <c r="P21" s="400">
        <f t="shared" si="5"/>
        <v>0</v>
      </c>
      <c r="Q21" s="400">
        <f>'Page 4'!Q23</f>
        <v>0</v>
      </c>
      <c r="R21" s="400">
        <f>'Page 4'!T23</f>
        <v>0</v>
      </c>
      <c r="S21" s="451"/>
      <c r="T21" s="400">
        <f t="shared" si="6"/>
        <v>0</v>
      </c>
      <c r="U21" s="403">
        <f t="shared" si="7"/>
        <v>0</v>
      </c>
      <c r="V21" s="402">
        <f t="shared" si="8"/>
        <v>0</v>
      </c>
      <c r="W21" s="404">
        <f>IF(NOT($V21=0),$V21/$V$9*'Page 2'!$E$12,0)</f>
        <v>0</v>
      </c>
      <c r="X21" s="404">
        <f>IF(NOT($V21=0),$V21/$V$9*('Page 2'!$E$14)+'Page 2'!$E$15/'Page 1'!$C$15,0)</f>
        <v>0</v>
      </c>
      <c r="Y21" s="404">
        <f>IF(NOT($V21=0),$V21/$V$9*('Page 2'!$E$22+'Page 2'!$E$23)+'Page 2'!$E$24/'Page 1'!$C$15,0)</f>
        <v>0</v>
      </c>
      <c r="Z21" s="344"/>
      <c r="AA21" s="344"/>
      <c r="AB21" s="404">
        <f t="shared" si="9"/>
        <v>0</v>
      </c>
      <c r="AC21" s="404">
        <f t="shared" si="10"/>
        <v>0</v>
      </c>
      <c r="AD21" s="399">
        <f t="shared" si="11"/>
        <v>0</v>
      </c>
      <c r="AE21" s="399">
        <f t="shared" si="1"/>
        <v>0</v>
      </c>
      <c r="AF21" s="404">
        <f t="shared" si="12"/>
        <v>0</v>
      </c>
      <c r="AG21" s="404">
        <f t="shared" si="13"/>
        <v>0</v>
      </c>
      <c r="AH21" s="404">
        <f t="shared" si="14"/>
        <v>0</v>
      </c>
      <c r="AI21" s="314"/>
      <c r="AJ21" s="209" t="str">
        <f>CONCATENATE(L21,K21)</f>
        <v/>
      </c>
      <c r="AK21" s="413"/>
      <c r="AL21" s="210">
        <f t="shared" si="3"/>
        <v>12</v>
      </c>
      <c r="AM21" s="516"/>
      <c r="AN21" s="517"/>
      <c r="AO21" s="517"/>
      <c r="AP21" s="517"/>
      <c r="AQ21" s="517"/>
      <c r="AR21" s="517"/>
      <c r="AS21" s="517"/>
      <c r="AT21" s="517"/>
      <c r="AU21" s="517"/>
      <c r="AV21" s="517"/>
      <c r="AW21" s="518"/>
    </row>
    <row r="22" spans="1:49" ht="14">
      <c r="A22" s="208">
        <f t="shared" si="15"/>
        <v>13</v>
      </c>
      <c r="B22" s="8"/>
      <c r="C22" s="8"/>
      <c r="D22" s="16"/>
      <c r="E22" s="417"/>
      <c r="F22" s="462"/>
      <c r="G22" s="462"/>
      <c r="H22" s="463"/>
      <c r="I22" s="462"/>
      <c r="J22" s="462"/>
      <c r="K22" s="196"/>
      <c r="L22" s="7"/>
      <c r="M22" s="400">
        <f>IF($L22&gt;0,(VLOOKUP($AJ22,'LOCK_ME_Page 6_Rate Table'!$D$45:$E$62,2,FALSE)),0)</f>
        <v>0</v>
      </c>
      <c r="N22" s="344"/>
      <c r="O22" s="400">
        <f t="shared" si="4"/>
        <v>0</v>
      </c>
      <c r="P22" s="400">
        <f t="shared" si="5"/>
        <v>0</v>
      </c>
      <c r="Q22" s="400">
        <f>'Page 4'!Q24</f>
        <v>0</v>
      </c>
      <c r="R22" s="400">
        <f>'Page 4'!T24</f>
        <v>0</v>
      </c>
      <c r="S22" s="451"/>
      <c r="T22" s="400">
        <f t="shared" si="6"/>
        <v>0</v>
      </c>
      <c r="U22" s="403">
        <f t="shared" si="7"/>
        <v>0</v>
      </c>
      <c r="V22" s="402">
        <f t="shared" si="8"/>
        <v>0</v>
      </c>
      <c r="W22" s="404">
        <f>IF(NOT($V22=0),$V22/$V$9*'Page 2'!$E$12,0)</f>
        <v>0</v>
      </c>
      <c r="X22" s="404">
        <f>IF(NOT($V22=0),$V22/$V$9*('Page 2'!$E$14)+'Page 2'!$E$15/'Page 1'!$C$15,0)</f>
        <v>0</v>
      </c>
      <c r="Y22" s="404">
        <f>IF(NOT($V22=0),$V22/$V$9*('Page 2'!$E$22+'Page 2'!$E$23)+'Page 2'!$E$24/'Page 1'!$C$15,0)</f>
        <v>0</v>
      </c>
      <c r="Z22" s="344"/>
      <c r="AA22" s="344"/>
      <c r="AB22" s="404">
        <f t="shared" si="9"/>
        <v>0</v>
      </c>
      <c r="AC22" s="404">
        <f t="shared" si="10"/>
        <v>0</v>
      </c>
      <c r="AD22" s="399">
        <f t="shared" si="11"/>
        <v>0</v>
      </c>
      <c r="AE22" s="399">
        <f t="shared" si="1"/>
        <v>0</v>
      </c>
      <c r="AF22" s="404">
        <f t="shared" si="12"/>
        <v>0</v>
      </c>
      <c r="AG22" s="404">
        <f t="shared" si="13"/>
        <v>0</v>
      </c>
      <c r="AH22" s="404">
        <f t="shared" si="14"/>
        <v>0</v>
      </c>
      <c r="AI22" s="314"/>
      <c r="AJ22" s="209" t="str">
        <f>CONCATENATE(L22,K22)</f>
        <v/>
      </c>
      <c r="AK22" s="413"/>
      <c r="AL22" s="210">
        <f t="shared" si="3"/>
        <v>13</v>
      </c>
      <c r="AM22" s="516"/>
      <c r="AN22" s="517"/>
      <c r="AO22" s="517"/>
      <c r="AP22" s="517"/>
      <c r="AQ22" s="517"/>
      <c r="AR22" s="517"/>
      <c r="AS22" s="517"/>
      <c r="AT22" s="517"/>
      <c r="AU22" s="517"/>
      <c r="AV22" s="517"/>
      <c r="AW22" s="518"/>
    </row>
    <row r="23" spans="1:49" ht="14">
      <c r="A23" s="208">
        <f t="shared" si="15"/>
        <v>14</v>
      </c>
      <c r="B23" s="8"/>
      <c r="C23" s="8"/>
      <c r="D23" s="16"/>
      <c r="E23" s="417"/>
      <c r="F23" s="194"/>
      <c r="G23" s="194"/>
      <c r="H23" s="195"/>
      <c r="I23" s="194"/>
      <c r="J23" s="194"/>
      <c r="K23" s="196"/>
      <c r="L23" s="7"/>
      <c r="M23" s="400">
        <f>IF($L23&gt;0,(VLOOKUP($AJ23,'LOCK_ME_Page 6_Rate Table'!$D$45:$E$62,2,FALSE)),0)</f>
        <v>0</v>
      </c>
      <c r="N23" s="344"/>
      <c r="O23" s="400">
        <f t="shared" si="4"/>
        <v>0</v>
      </c>
      <c r="P23" s="400">
        <f t="shared" si="5"/>
        <v>0</v>
      </c>
      <c r="Q23" s="400">
        <f>'Page 4'!Q25</f>
        <v>0</v>
      </c>
      <c r="R23" s="400">
        <f>'Page 4'!T25</f>
        <v>0</v>
      </c>
      <c r="S23" s="451"/>
      <c r="T23" s="400">
        <f t="shared" si="6"/>
        <v>0</v>
      </c>
      <c r="U23" s="403">
        <f t="shared" si="7"/>
        <v>0</v>
      </c>
      <c r="V23" s="402">
        <f t="shared" si="8"/>
        <v>0</v>
      </c>
      <c r="W23" s="404">
        <f>IF(NOT($V23=0),$V23/$V$9*'Page 2'!$E$12,0)</f>
        <v>0</v>
      </c>
      <c r="X23" s="404">
        <f>IF(NOT($V23=0),$V23/$V$9*('Page 2'!$E$14)+'Page 2'!$E$15/'Page 1'!$C$15,0)</f>
        <v>0</v>
      </c>
      <c r="Y23" s="404">
        <f>IF(NOT($V23=0),$V23/$V$9*('Page 2'!$E$22+'Page 2'!$E$23)+'Page 2'!$E$24/'Page 1'!$C$15,0)</f>
        <v>0</v>
      </c>
      <c r="Z23" s="344"/>
      <c r="AA23" s="344"/>
      <c r="AB23" s="404">
        <f t="shared" si="9"/>
        <v>0</v>
      </c>
      <c r="AC23" s="404">
        <f t="shared" si="10"/>
        <v>0</v>
      </c>
      <c r="AD23" s="399">
        <f t="shared" si="11"/>
        <v>0</v>
      </c>
      <c r="AE23" s="399">
        <f t="shared" si="1"/>
        <v>0</v>
      </c>
      <c r="AF23" s="404">
        <f t="shared" si="12"/>
        <v>0</v>
      </c>
      <c r="AG23" s="404">
        <f t="shared" si="13"/>
        <v>0</v>
      </c>
      <c r="AH23" s="404">
        <f t="shared" si="14"/>
        <v>0</v>
      </c>
      <c r="AI23" s="314"/>
      <c r="AJ23" s="209" t="str">
        <f t="shared" si="16"/>
        <v/>
      </c>
      <c r="AK23" s="413"/>
      <c r="AL23" s="210">
        <f t="shared" si="3"/>
        <v>14</v>
      </c>
      <c r="AM23" s="516"/>
      <c r="AN23" s="517"/>
      <c r="AO23" s="517"/>
      <c r="AP23" s="517"/>
      <c r="AQ23" s="517"/>
      <c r="AR23" s="517"/>
      <c r="AS23" s="517"/>
      <c r="AT23" s="517"/>
      <c r="AU23" s="517"/>
      <c r="AV23" s="517"/>
      <c r="AW23" s="518"/>
    </row>
    <row r="24" spans="1:49" ht="14">
      <c r="A24" s="208">
        <f t="shared" si="15"/>
        <v>15</v>
      </c>
      <c r="B24" s="8"/>
      <c r="C24" s="8"/>
      <c r="D24" s="16"/>
      <c r="E24" s="417"/>
      <c r="F24" s="194"/>
      <c r="G24" s="194"/>
      <c r="H24" s="195"/>
      <c r="I24" s="194"/>
      <c r="J24" s="194"/>
      <c r="K24" s="196"/>
      <c r="L24" s="7"/>
      <c r="M24" s="400">
        <f>IF($L24&gt;0,(VLOOKUP($AJ24,'LOCK_ME_Page 6_Rate Table'!$D$45:$E$62,2,FALSE)),0)</f>
        <v>0</v>
      </c>
      <c r="N24" s="344"/>
      <c r="O24" s="400">
        <f t="shared" si="4"/>
        <v>0</v>
      </c>
      <c r="P24" s="400">
        <f t="shared" si="5"/>
        <v>0</v>
      </c>
      <c r="Q24" s="400">
        <f>'Page 4'!Q26</f>
        <v>0</v>
      </c>
      <c r="R24" s="400">
        <f>'Page 4'!T26</f>
        <v>0</v>
      </c>
      <c r="S24" s="451"/>
      <c r="T24" s="400">
        <f t="shared" si="6"/>
        <v>0</v>
      </c>
      <c r="U24" s="403">
        <f t="shared" si="7"/>
        <v>0</v>
      </c>
      <c r="V24" s="402">
        <f t="shared" si="8"/>
        <v>0</v>
      </c>
      <c r="W24" s="404">
        <f>IF(NOT($V24=0),$V24/$V$9*'Page 2'!$E$12,0)</f>
        <v>0</v>
      </c>
      <c r="X24" s="404">
        <f>IF(NOT($V24=0),$V24/$V$9*('Page 2'!$E$14)+'Page 2'!$E$15/'Page 1'!$C$15,0)</f>
        <v>0</v>
      </c>
      <c r="Y24" s="404">
        <f>IF(NOT($V24=0),$V24/$V$9*('Page 2'!$E$22+'Page 2'!$E$23)+'Page 2'!$E$24/'Page 1'!$C$15,0)</f>
        <v>0</v>
      </c>
      <c r="Z24" s="344"/>
      <c r="AA24" s="344"/>
      <c r="AB24" s="404">
        <f t="shared" si="9"/>
        <v>0</v>
      </c>
      <c r="AC24" s="404">
        <f t="shared" si="10"/>
        <v>0</v>
      </c>
      <c r="AD24" s="399">
        <f t="shared" si="11"/>
        <v>0</v>
      </c>
      <c r="AE24" s="399">
        <f t="shared" si="1"/>
        <v>0</v>
      </c>
      <c r="AF24" s="404">
        <f t="shared" si="12"/>
        <v>0</v>
      </c>
      <c r="AG24" s="404">
        <f t="shared" si="13"/>
        <v>0</v>
      </c>
      <c r="AH24" s="404">
        <f t="shared" si="14"/>
        <v>0</v>
      </c>
      <c r="AI24" s="314"/>
      <c r="AJ24" s="209" t="str">
        <f t="shared" si="16"/>
        <v/>
      </c>
      <c r="AK24" s="413"/>
      <c r="AL24" s="210">
        <f t="shared" si="3"/>
        <v>15</v>
      </c>
      <c r="AM24" s="516"/>
      <c r="AN24" s="517"/>
      <c r="AO24" s="517"/>
      <c r="AP24" s="517"/>
      <c r="AQ24" s="517"/>
      <c r="AR24" s="517"/>
      <c r="AS24" s="517"/>
      <c r="AT24" s="517"/>
      <c r="AU24" s="517"/>
      <c r="AV24" s="517"/>
      <c r="AW24" s="518"/>
    </row>
    <row r="25" spans="1:49" ht="14">
      <c r="A25" s="208">
        <f t="shared" si="15"/>
        <v>16</v>
      </c>
      <c r="B25" s="8"/>
      <c r="C25" s="8"/>
      <c r="D25" s="16"/>
      <c r="E25" s="417"/>
      <c r="F25" s="194"/>
      <c r="G25" s="194"/>
      <c r="H25" s="195"/>
      <c r="I25" s="194"/>
      <c r="J25" s="194"/>
      <c r="K25" s="196"/>
      <c r="L25" s="7"/>
      <c r="M25" s="400">
        <f>IF($L25&gt;0,(VLOOKUP($AJ25,'LOCK_ME_Page 6_Rate Table'!$D$45:$E$62,2,FALSE)),0)</f>
        <v>0</v>
      </c>
      <c r="N25" s="344"/>
      <c r="O25" s="400">
        <f t="shared" si="4"/>
        <v>0</v>
      </c>
      <c r="P25" s="400">
        <f t="shared" si="5"/>
        <v>0</v>
      </c>
      <c r="Q25" s="400">
        <f>'Page 4'!Q27</f>
        <v>0</v>
      </c>
      <c r="R25" s="400">
        <f>'Page 4'!T27</f>
        <v>0</v>
      </c>
      <c r="S25" s="451"/>
      <c r="T25" s="400">
        <f t="shared" si="6"/>
        <v>0</v>
      </c>
      <c r="U25" s="403">
        <f t="shared" si="7"/>
        <v>0</v>
      </c>
      <c r="V25" s="402">
        <f t="shared" si="8"/>
        <v>0</v>
      </c>
      <c r="W25" s="404">
        <f>IF(NOT($V25=0),$V25/$V$9*'Page 2'!$E$12,0)</f>
        <v>0</v>
      </c>
      <c r="X25" s="404">
        <f>IF(NOT($V25=0),$V25/$V$9*('Page 2'!$E$14)+'Page 2'!$E$15/'Page 1'!$C$15,0)</f>
        <v>0</v>
      </c>
      <c r="Y25" s="404">
        <f>IF(NOT($V25=0),$V25/$V$9*('Page 2'!$E$22+'Page 2'!$E$23)+'Page 2'!$E$24/'Page 1'!$C$15,0)</f>
        <v>0</v>
      </c>
      <c r="Z25" s="344"/>
      <c r="AA25" s="344"/>
      <c r="AB25" s="404">
        <f t="shared" si="9"/>
        <v>0</v>
      </c>
      <c r="AC25" s="404">
        <f t="shared" si="10"/>
        <v>0</v>
      </c>
      <c r="AD25" s="399">
        <f t="shared" si="11"/>
        <v>0</v>
      </c>
      <c r="AE25" s="399">
        <f t="shared" si="1"/>
        <v>0</v>
      </c>
      <c r="AF25" s="404">
        <f t="shared" si="12"/>
        <v>0</v>
      </c>
      <c r="AG25" s="404">
        <f t="shared" si="13"/>
        <v>0</v>
      </c>
      <c r="AH25" s="404">
        <f t="shared" si="14"/>
        <v>0</v>
      </c>
      <c r="AI25" s="314"/>
      <c r="AJ25" s="209" t="str">
        <f t="shared" si="16"/>
        <v/>
      </c>
      <c r="AK25" s="413"/>
      <c r="AL25" s="210">
        <f t="shared" si="3"/>
        <v>16</v>
      </c>
      <c r="AM25" s="516"/>
      <c r="AN25" s="517"/>
      <c r="AO25" s="517"/>
      <c r="AP25" s="517"/>
      <c r="AQ25" s="517"/>
      <c r="AR25" s="517"/>
      <c r="AS25" s="517"/>
      <c r="AT25" s="517"/>
      <c r="AU25" s="517"/>
      <c r="AV25" s="517"/>
      <c r="AW25" s="518"/>
    </row>
    <row r="26" spans="1:49" ht="14">
      <c r="A26" s="208">
        <f t="shared" si="15"/>
        <v>17</v>
      </c>
      <c r="B26" s="8"/>
      <c r="C26" s="8"/>
      <c r="D26" s="16"/>
      <c r="E26" s="417"/>
      <c r="F26" s="194"/>
      <c r="G26" s="194"/>
      <c r="H26" s="195"/>
      <c r="I26" s="194"/>
      <c r="J26" s="194"/>
      <c r="K26" s="196"/>
      <c r="L26" s="7"/>
      <c r="M26" s="400">
        <f>IF($L26&gt;0,(VLOOKUP($AJ26,'LOCK_ME_Page 6_Rate Table'!$D$45:$E$62,2,FALSE)),0)</f>
        <v>0</v>
      </c>
      <c r="N26" s="344"/>
      <c r="O26" s="400">
        <f t="shared" si="4"/>
        <v>0</v>
      </c>
      <c r="P26" s="400">
        <f t="shared" si="5"/>
        <v>0</v>
      </c>
      <c r="Q26" s="400">
        <f>'Page 4'!Q28</f>
        <v>0</v>
      </c>
      <c r="R26" s="400">
        <f>'Page 4'!T28</f>
        <v>0</v>
      </c>
      <c r="S26" s="451"/>
      <c r="T26" s="400">
        <f t="shared" si="6"/>
        <v>0</v>
      </c>
      <c r="U26" s="403">
        <f t="shared" si="7"/>
        <v>0</v>
      </c>
      <c r="V26" s="402">
        <f t="shared" si="8"/>
        <v>0</v>
      </c>
      <c r="W26" s="404">
        <f>IF(NOT($V26=0),$V26/$V$9*'Page 2'!$E$12,0)</f>
        <v>0</v>
      </c>
      <c r="X26" s="404">
        <f>IF(NOT($V26=0),$V26/$V$9*('Page 2'!$E$14)+'Page 2'!$E$15/'Page 1'!$C$15,0)</f>
        <v>0</v>
      </c>
      <c r="Y26" s="404">
        <f>IF(NOT($V26=0),$V26/$V$9*('Page 2'!$E$22+'Page 2'!$E$23)+'Page 2'!$E$24/'Page 1'!$C$15,0)</f>
        <v>0</v>
      </c>
      <c r="Z26" s="344"/>
      <c r="AA26" s="344"/>
      <c r="AB26" s="404">
        <f t="shared" si="9"/>
        <v>0</v>
      </c>
      <c r="AC26" s="404">
        <f t="shared" si="10"/>
        <v>0</v>
      </c>
      <c r="AD26" s="399">
        <f t="shared" si="11"/>
        <v>0</v>
      </c>
      <c r="AE26" s="399">
        <f t="shared" si="1"/>
        <v>0</v>
      </c>
      <c r="AF26" s="404">
        <f t="shared" si="12"/>
        <v>0</v>
      </c>
      <c r="AG26" s="404">
        <f t="shared" si="13"/>
        <v>0</v>
      </c>
      <c r="AH26" s="404">
        <f t="shared" si="14"/>
        <v>0</v>
      </c>
      <c r="AI26" s="314"/>
      <c r="AJ26" s="209" t="str">
        <f t="shared" si="16"/>
        <v/>
      </c>
      <c r="AK26" s="413"/>
      <c r="AL26" s="210">
        <f t="shared" si="3"/>
        <v>17</v>
      </c>
      <c r="AM26" s="516"/>
      <c r="AN26" s="517"/>
      <c r="AO26" s="517"/>
      <c r="AP26" s="517"/>
      <c r="AQ26" s="517"/>
      <c r="AR26" s="517"/>
      <c r="AS26" s="517"/>
      <c r="AT26" s="517"/>
      <c r="AU26" s="517"/>
      <c r="AV26" s="517"/>
      <c r="AW26" s="518"/>
    </row>
    <row r="27" spans="1:49" ht="14">
      <c r="A27" s="208">
        <f t="shared" si="15"/>
        <v>18</v>
      </c>
      <c r="B27" s="8"/>
      <c r="C27" s="8"/>
      <c r="D27" s="16"/>
      <c r="E27" s="417"/>
      <c r="F27" s="194"/>
      <c r="G27" s="194"/>
      <c r="H27" s="195"/>
      <c r="I27" s="194"/>
      <c r="J27" s="194"/>
      <c r="K27" s="196"/>
      <c r="L27" s="7"/>
      <c r="M27" s="400">
        <f>IF($L27&gt;0,(VLOOKUP($AJ27,'LOCK_ME_Page 6_Rate Table'!$D$45:$E$62,2,FALSE)),0)</f>
        <v>0</v>
      </c>
      <c r="N27" s="344"/>
      <c r="O27" s="400">
        <f t="shared" si="4"/>
        <v>0</v>
      </c>
      <c r="P27" s="400">
        <f t="shared" si="5"/>
        <v>0</v>
      </c>
      <c r="Q27" s="400">
        <f>'Page 4'!Q29</f>
        <v>0</v>
      </c>
      <c r="R27" s="400">
        <f>'Page 4'!T29</f>
        <v>0</v>
      </c>
      <c r="S27" s="451"/>
      <c r="T27" s="400">
        <f t="shared" si="6"/>
        <v>0</v>
      </c>
      <c r="U27" s="403">
        <f t="shared" si="7"/>
        <v>0</v>
      </c>
      <c r="V27" s="402">
        <f t="shared" si="8"/>
        <v>0</v>
      </c>
      <c r="W27" s="404">
        <f>IF(NOT($V27=0),$V27/$V$9*'Page 2'!$E$12,0)</f>
        <v>0</v>
      </c>
      <c r="X27" s="404">
        <f>IF(NOT($V27=0),$V27/$V$9*('Page 2'!$E$14)+'Page 2'!$E$15/'Page 1'!$C$15,0)</f>
        <v>0</v>
      </c>
      <c r="Y27" s="404">
        <f>IF(NOT($V27=0),$V27/$V$9*('Page 2'!$E$22+'Page 2'!$E$23)+'Page 2'!$E$24/'Page 1'!$C$15,0)</f>
        <v>0</v>
      </c>
      <c r="Z27" s="344"/>
      <c r="AA27" s="344"/>
      <c r="AB27" s="404">
        <f t="shared" si="9"/>
        <v>0</v>
      </c>
      <c r="AC27" s="404">
        <f t="shared" si="10"/>
        <v>0</v>
      </c>
      <c r="AD27" s="399">
        <f t="shared" si="11"/>
        <v>0</v>
      </c>
      <c r="AE27" s="399">
        <f t="shared" si="1"/>
        <v>0</v>
      </c>
      <c r="AF27" s="404">
        <f t="shared" si="12"/>
        <v>0</v>
      </c>
      <c r="AG27" s="404">
        <f t="shared" si="13"/>
        <v>0</v>
      </c>
      <c r="AH27" s="404">
        <f t="shared" si="14"/>
        <v>0</v>
      </c>
      <c r="AI27" s="314"/>
      <c r="AJ27" s="209" t="str">
        <f t="shared" si="16"/>
        <v/>
      </c>
      <c r="AK27" s="413"/>
      <c r="AL27" s="210">
        <f t="shared" si="3"/>
        <v>18</v>
      </c>
      <c r="AM27" s="516"/>
      <c r="AN27" s="517"/>
      <c r="AO27" s="517"/>
      <c r="AP27" s="517"/>
      <c r="AQ27" s="517"/>
      <c r="AR27" s="517"/>
      <c r="AS27" s="517"/>
      <c r="AT27" s="517"/>
      <c r="AU27" s="517"/>
      <c r="AV27" s="517"/>
      <c r="AW27" s="518"/>
    </row>
    <row r="28" spans="1:49" ht="14">
      <c r="A28" s="208">
        <f t="shared" si="15"/>
        <v>19</v>
      </c>
      <c r="B28" s="8"/>
      <c r="C28" s="8"/>
      <c r="D28" s="16"/>
      <c r="E28" s="417"/>
      <c r="F28" s="194"/>
      <c r="G28" s="194"/>
      <c r="H28" s="195"/>
      <c r="I28" s="194"/>
      <c r="J28" s="194"/>
      <c r="K28" s="196"/>
      <c r="L28" s="7"/>
      <c r="M28" s="400">
        <f>IF($L28&gt;0,(VLOOKUP($AJ28,'LOCK_ME_Page 6_Rate Table'!$D$45:$E$62,2,FALSE)),0)</f>
        <v>0</v>
      </c>
      <c r="N28" s="344"/>
      <c r="O28" s="400">
        <f t="shared" si="4"/>
        <v>0</v>
      </c>
      <c r="P28" s="400">
        <f t="shared" si="5"/>
        <v>0</v>
      </c>
      <c r="Q28" s="400">
        <f>'Page 4'!Q30</f>
        <v>0</v>
      </c>
      <c r="R28" s="400">
        <f>'Page 4'!T30</f>
        <v>0</v>
      </c>
      <c r="S28" s="451"/>
      <c r="T28" s="400">
        <f t="shared" si="6"/>
        <v>0</v>
      </c>
      <c r="U28" s="403">
        <f t="shared" si="7"/>
        <v>0</v>
      </c>
      <c r="V28" s="402">
        <f t="shared" si="8"/>
        <v>0</v>
      </c>
      <c r="W28" s="404">
        <f>IF(NOT($V28=0),$V28/$V$9*'Page 2'!$E$12,0)</f>
        <v>0</v>
      </c>
      <c r="X28" s="404">
        <f>IF(NOT($V28=0),$V28/$V$9*('Page 2'!$E$14)+'Page 2'!$E$15/'Page 1'!$C$15,0)</f>
        <v>0</v>
      </c>
      <c r="Y28" s="404">
        <f>IF(NOT($V28=0),$V28/$V$9*('Page 2'!$E$22+'Page 2'!$E$23)+'Page 2'!$E$24/'Page 1'!$C$15,0)</f>
        <v>0</v>
      </c>
      <c r="Z28" s="344"/>
      <c r="AA28" s="344"/>
      <c r="AB28" s="404">
        <f t="shared" si="9"/>
        <v>0</v>
      </c>
      <c r="AC28" s="404">
        <f t="shared" si="10"/>
        <v>0</v>
      </c>
      <c r="AD28" s="399">
        <f t="shared" si="11"/>
        <v>0</v>
      </c>
      <c r="AE28" s="399">
        <f t="shared" si="1"/>
        <v>0</v>
      </c>
      <c r="AF28" s="404">
        <f t="shared" si="12"/>
        <v>0</v>
      </c>
      <c r="AG28" s="404">
        <f t="shared" si="13"/>
        <v>0</v>
      </c>
      <c r="AH28" s="404">
        <f t="shared" si="14"/>
        <v>0</v>
      </c>
      <c r="AI28" s="314"/>
      <c r="AJ28" s="209" t="str">
        <f t="shared" si="16"/>
        <v/>
      </c>
      <c r="AK28" s="413"/>
      <c r="AL28" s="210">
        <f t="shared" si="3"/>
        <v>19</v>
      </c>
      <c r="AM28" s="516"/>
      <c r="AN28" s="517"/>
      <c r="AO28" s="517"/>
      <c r="AP28" s="517"/>
      <c r="AQ28" s="517"/>
      <c r="AR28" s="517"/>
      <c r="AS28" s="517"/>
      <c r="AT28" s="517"/>
      <c r="AU28" s="517"/>
      <c r="AV28" s="517"/>
      <c r="AW28" s="518"/>
    </row>
    <row r="29" spans="1:49" ht="14">
      <c r="A29" s="208">
        <f t="shared" si="15"/>
        <v>20</v>
      </c>
      <c r="B29" s="8"/>
      <c r="C29" s="8"/>
      <c r="D29" s="16"/>
      <c r="E29" s="417"/>
      <c r="F29" s="194"/>
      <c r="G29" s="194"/>
      <c r="H29" s="195"/>
      <c r="I29" s="194"/>
      <c r="J29" s="194"/>
      <c r="K29" s="196"/>
      <c r="L29" s="7"/>
      <c r="M29" s="400">
        <f>IF($L29&gt;0,(VLOOKUP($AJ29,'LOCK_ME_Page 6_Rate Table'!$D$45:$E$62,2,FALSE)),0)</f>
        <v>0</v>
      </c>
      <c r="N29" s="344"/>
      <c r="O29" s="400">
        <f t="shared" si="4"/>
        <v>0</v>
      </c>
      <c r="P29" s="400">
        <f t="shared" si="5"/>
        <v>0</v>
      </c>
      <c r="Q29" s="400">
        <f>'Page 4'!Q31</f>
        <v>0</v>
      </c>
      <c r="R29" s="400">
        <f>'Page 4'!T31</f>
        <v>0</v>
      </c>
      <c r="S29" s="451"/>
      <c r="T29" s="400">
        <f t="shared" si="6"/>
        <v>0</v>
      </c>
      <c r="U29" s="403">
        <f t="shared" si="7"/>
        <v>0</v>
      </c>
      <c r="V29" s="402">
        <f t="shared" si="8"/>
        <v>0</v>
      </c>
      <c r="W29" s="404">
        <f>IF(NOT($V29=0),$V29/$V$9*'Page 2'!$E$12,0)</f>
        <v>0</v>
      </c>
      <c r="X29" s="404">
        <f>IF(NOT($V29=0),$V29/$V$9*('Page 2'!$E$14)+'Page 2'!$E$15/'Page 1'!$C$15,0)</f>
        <v>0</v>
      </c>
      <c r="Y29" s="404">
        <f>IF(NOT($V29=0),$V29/$V$9*('Page 2'!$E$22+'Page 2'!$E$23)+'Page 2'!$E$24/'Page 1'!$C$15,0)</f>
        <v>0</v>
      </c>
      <c r="Z29" s="344"/>
      <c r="AA29" s="344"/>
      <c r="AB29" s="404">
        <f t="shared" si="9"/>
        <v>0</v>
      </c>
      <c r="AC29" s="404">
        <f t="shared" si="10"/>
        <v>0</v>
      </c>
      <c r="AD29" s="399">
        <f t="shared" si="11"/>
        <v>0</v>
      </c>
      <c r="AE29" s="399">
        <f t="shared" si="1"/>
        <v>0</v>
      </c>
      <c r="AF29" s="404">
        <f t="shared" si="12"/>
        <v>0</v>
      </c>
      <c r="AG29" s="404">
        <f t="shared" si="13"/>
        <v>0</v>
      </c>
      <c r="AH29" s="404">
        <f t="shared" si="14"/>
        <v>0</v>
      </c>
      <c r="AI29" s="314"/>
      <c r="AJ29" s="209" t="str">
        <f t="shared" si="16"/>
        <v/>
      </c>
      <c r="AK29" s="413"/>
      <c r="AL29" s="210">
        <f t="shared" si="3"/>
        <v>20</v>
      </c>
      <c r="AM29" s="516"/>
      <c r="AN29" s="517"/>
      <c r="AO29" s="517"/>
      <c r="AP29" s="517"/>
      <c r="AQ29" s="517"/>
      <c r="AR29" s="517"/>
      <c r="AS29" s="517"/>
      <c r="AT29" s="517"/>
      <c r="AU29" s="517"/>
      <c r="AV29" s="517"/>
      <c r="AW29" s="518"/>
    </row>
    <row r="30" spans="1:49" ht="14">
      <c r="A30" s="208">
        <f t="shared" si="15"/>
        <v>21</v>
      </c>
      <c r="B30" s="8"/>
      <c r="C30" s="8"/>
      <c r="D30" s="16"/>
      <c r="E30" s="417"/>
      <c r="F30" s="194"/>
      <c r="G30" s="194"/>
      <c r="H30" s="195"/>
      <c r="I30" s="194"/>
      <c r="J30" s="194"/>
      <c r="K30" s="196"/>
      <c r="L30" s="7"/>
      <c r="M30" s="400">
        <f>IF($L30&gt;0,(VLOOKUP($AJ30,'LOCK_ME_Page 6_Rate Table'!$D$45:$E$62,2,FALSE)),0)</f>
        <v>0</v>
      </c>
      <c r="N30" s="344"/>
      <c r="O30" s="400">
        <f t="shared" si="4"/>
        <v>0</v>
      </c>
      <c r="P30" s="400">
        <f t="shared" si="5"/>
        <v>0</v>
      </c>
      <c r="Q30" s="400">
        <f>'Page 4'!Q32</f>
        <v>0</v>
      </c>
      <c r="R30" s="400">
        <f>'Page 4'!T32</f>
        <v>0</v>
      </c>
      <c r="S30" s="451"/>
      <c r="T30" s="400">
        <f t="shared" si="6"/>
        <v>0</v>
      </c>
      <c r="U30" s="403">
        <f t="shared" si="7"/>
        <v>0</v>
      </c>
      <c r="V30" s="402">
        <f t="shared" si="8"/>
        <v>0</v>
      </c>
      <c r="W30" s="404">
        <f>IF(NOT($V30=0),$V30/$V$9*'Page 2'!$E$12,0)</f>
        <v>0</v>
      </c>
      <c r="X30" s="404">
        <f>IF(NOT($V30=0),$V30/$V$9*('Page 2'!$E$14)+'Page 2'!$E$15/'Page 1'!$C$15,0)</f>
        <v>0</v>
      </c>
      <c r="Y30" s="404">
        <f>IF(NOT($V30=0),$V30/$V$9*('Page 2'!$E$22+'Page 2'!$E$23)+'Page 2'!$E$24/'Page 1'!$C$15,0)</f>
        <v>0</v>
      </c>
      <c r="Z30" s="344"/>
      <c r="AA30" s="344"/>
      <c r="AB30" s="404">
        <f t="shared" si="9"/>
        <v>0</v>
      </c>
      <c r="AC30" s="404">
        <f t="shared" si="10"/>
        <v>0</v>
      </c>
      <c r="AD30" s="399">
        <f t="shared" si="11"/>
        <v>0</v>
      </c>
      <c r="AE30" s="399">
        <f t="shared" si="1"/>
        <v>0</v>
      </c>
      <c r="AF30" s="404">
        <f t="shared" si="12"/>
        <v>0</v>
      </c>
      <c r="AG30" s="404">
        <f t="shared" si="13"/>
        <v>0</v>
      </c>
      <c r="AH30" s="404">
        <f t="shared" si="14"/>
        <v>0</v>
      </c>
      <c r="AI30" s="314"/>
      <c r="AJ30" s="209" t="str">
        <f t="shared" si="16"/>
        <v/>
      </c>
      <c r="AK30" s="413"/>
      <c r="AL30" s="210">
        <f t="shared" si="3"/>
        <v>21</v>
      </c>
      <c r="AM30" s="516"/>
      <c r="AN30" s="517"/>
      <c r="AO30" s="517"/>
      <c r="AP30" s="517"/>
      <c r="AQ30" s="517"/>
      <c r="AR30" s="517"/>
      <c r="AS30" s="517"/>
      <c r="AT30" s="517"/>
      <c r="AU30" s="517"/>
      <c r="AV30" s="517"/>
      <c r="AW30" s="518"/>
    </row>
    <row r="31" spans="1:49" ht="14">
      <c r="A31" s="208">
        <f t="shared" si="15"/>
        <v>22</v>
      </c>
      <c r="B31" s="8"/>
      <c r="C31" s="8"/>
      <c r="D31" s="16"/>
      <c r="E31" s="417"/>
      <c r="F31" s="194"/>
      <c r="G31" s="194"/>
      <c r="H31" s="195"/>
      <c r="I31" s="194"/>
      <c r="J31" s="194"/>
      <c r="K31" s="196"/>
      <c r="L31" s="7"/>
      <c r="M31" s="400">
        <f>IF($L31&gt;0,(VLOOKUP($AJ31,'LOCK_ME_Page 6_Rate Table'!$D$45:$E$62,2,FALSE)),0)</f>
        <v>0</v>
      </c>
      <c r="N31" s="344"/>
      <c r="O31" s="400">
        <f t="shared" si="4"/>
        <v>0</v>
      </c>
      <c r="P31" s="400">
        <f t="shared" si="5"/>
        <v>0</v>
      </c>
      <c r="Q31" s="400">
        <f>'Page 4'!Q33</f>
        <v>0</v>
      </c>
      <c r="R31" s="400">
        <f>'Page 4'!T33</f>
        <v>0</v>
      </c>
      <c r="S31" s="451"/>
      <c r="T31" s="400">
        <f t="shared" si="6"/>
        <v>0</v>
      </c>
      <c r="U31" s="403">
        <f t="shared" si="7"/>
        <v>0</v>
      </c>
      <c r="V31" s="402">
        <f t="shared" si="8"/>
        <v>0</v>
      </c>
      <c r="W31" s="404">
        <f>IF(NOT($V31=0),$V31/$V$9*'Page 2'!$E$12,0)</f>
        <v>0</v>
      </c>
      <c r="X31" s="404">
        <f>IF(NOT($V31=0),$V31/$V$9*('Page 2'!$E$14)+'Page 2'!$E$15/'Page 1'!$C$15,0)</f>
        <v>0</v>
      </c>
      <c r="Y31" s="404">
        <f>IF(NOT($V31=0),$V31/$V$9*('Page 2'!$E$22+'Page 2'!$E$23)+'Page 2'!$E$24/'Page 1'!$C$15,0)</f>
        <v>0</v>
      </c>
      <c r="Z31" s="344"/>
      <c r="AA31" s="344"/>
      <c r="AB31" s="404">
        <f t="shared" si="9"/>
        <v>0</v>
      </c>
      <c r="AC31" s="404">
        <f t="shared" si="10"/>
        <v>0</v>
      </c>
      <c r="AD31" s="399">
        <f t="shared" si="11"/>
        <v>0</v>
      </c>
      <c r="AE31" s="399">
        <f t="shared" si="1"/>
        <v>0</v>
      </c>
      <c r="AF31" s="404">
        <f t="shared" si="12"/>
        <v>0</v>
      </c>
      <c r="AG31" s="404">
        <f t="shared" si="13"/>
        <v>0</v>
      </c>
      <c r="AH31" s="404">
        <f t="shared" si="14"/>
        <v>0</v>
      </c>
      <c r="AI31" s="314"/>
      <c r="AJ31" s="209" t="str">
        <f t="shared" si="16"/>
        <v/>
      </c>
      <c r="AK31" s="413"/>
      <c r="AL31" s="210">
        <f t="shared" si="3"/>
        <v>22</v>
      </c>
      <c r="AM31" s="516"/>
      <c r="AN31" s="517"/>
      <c r="AO31" s="517"/>
      <c r="AP31" s="517"/>
      <c r="AQ31" s="517"/>
      <c r="AR31" s="517"/>
      <c r="AS31" s="517"/>
      <c r="AT31" s="517"/>
      <c r="AU31" s="517"/>
      <c r="AV31" s="517"/>
      <c r="AW31" s="518"/>
    </row>
    <row r="32" spans="1:49" ht="14">
      <c r="A32" s="208">
        <f t="shared" si="15"/>
        <v>23</v>
      </c>
      <c r="B32" s="8"/>
      <c r="C32" s="8"/>
      <c r="D32" s="16"/>
      <c r="E32" s="417"/>
      <c r="F32" s="194"/>
      <c r="G32" s="194"/>
      <c r="H32" s="195"/>
      <c r="I32" s="194"/>
      <c r="J32" s="194"/>
      <c r="K32" s="196"/>
      <c r="L32" s="7"/>
      <c r="M32" s="400">
        <f>IF($L32&gt;0,(VLOOKUP($AJ32,'LOCK_ME_Page 6_Rate Table'!$D$45:$E$62,2,FALSE)),0)</f>
        <v>0</v>
      </c>
      <c r="N32" s="344"/>
      <c r="O32" s="400">
        <f t="shared" si="4"/>
        <v>0</v>
      </c>
      <c r="P32" s="400">
        <f t="shared" si="5"/>
        <v>0</v>
      </c>
      <c r="Q32" s="400">
        <f>'Page 4'!Q34</f>
        <v>0</v>
      </c>
      <c r="R32" s="400">
        <f>'Page 4'!T34</f>
        <v>0</v>
      </c>
      <c r="S32" s="451"/>
      <c r="T32" s="400">
        <f t="shared" si="6"/>
        <v>0</v>
      </c>
      <c r="U32" s="403">
        <f t="shared" si="7"/>
        <v>0</v>
      </c>
      <c r="V32" s="402">
        <f t="shared" si="8"/>
        <v>0</v>
      </c>
      <c r="W32" s="404">
        <f>IF(NOT($V32=0),$V32/$V$9*'Page 2'!$E$12,0)</f>
        <v>0</v>
      </c>
      <c r="X32" s="404">
        <f>IF(NOT($V32=0),$V32/$V$9*('Page 2'!$E$14)+'Page 2'!$E$15/'Page 1'!$C$15,0)</f>
        <v>0</v>
      </c>
      <c r="Y32" s="404">
        <f>IF(NOT($V32=0),$V32/$V$9*('Page 2'!$E$22+'Page 2'!$E$23)+'Page 2'!$E$24/'Page 1'!$C$15,0)</f>
        <v>0</v>
      </c>
      <c r="Z32" s="344"/>
      <c r="AA32" s="344"/>
      <c r="AB32" s="404">
        <f t="shared" si="9"/>
        <v>0</v>
      </c>
      <c r="AC32" s="404">
        <f t="shared" si="10"/>
        <v>0</v>
      </c>
      <c r="AD32" s="399">
        <f t="shared" si="11"/>
        <v>0</v>
      </c>
      <c r="AE32" s="399">
        <f t="shared" si="1"/>
        <v>0</v>
      </c>
      <c r="AF32" s="404">
        <f t="shared" si="12"/>
        <v>0</v>
      </c>
      <c r="AG32" s="404">
        <f t="shared" si="13"/>
        <v>0</v>
      </c>
      <c r="AH32" s="404">
        <f t="shared" si="14"/>
        <v>0</v>
      </c>
      <c r="AI32" s="314"/>
      <c r="AJ32" s="209" t="str">
        <f t="shared" si="16"/>
        <v/>
      </c>
      <c r="AK32" s="413"/>
      <c r="AL32" s="210">
        <f t="shared" si="3"/>
        <v>23</v>
      </c>
      <c r="AM32" s="516"/>
      <c r="AN32" s="517"/>
      <c r="AO32" s="517"/>
      <c r="AP32" s="517"/>
      <c r="AQ32" s="517"/>
      <c r="AR32" s="517"/>
      <c r="AS32" s="517"/>
      <c r="AT32" s="517"/>
      <c r="AU32" s="517"/>
      <c r="AV32" s="517"/>
      <c r="AW32" s="518"/>
    </row>
    <row r="33" spans="1:49" ht="14">
      <c r="A33" s="208">
        <f t="shared" si="15"/>
        <v>24</v>
      </c>
      <c r="B33" s="8"/>
      <c r="C33" s="8"/>
      <c r="D33" s="16"/>
      <c r="E33" s="417"/>
      <c r="F33" s="194"/>
      <c r="G33" s="194"/>
      <c r="H33" s="195"/>
      <c r="I33" s="194"/>
      <c r="J33" s="194"/>
      <c r="K33" s="196"/>
      <c r="L33" s="7"/>
      <c r="M33" s="400">
        <f>IF($L33&gt;0,(VLOOKUP($AJ33,'LOCK_ME_Page 6_Rate Table'!$D$45:$E$62,2,FALSE)),0)</f>
        <v>0</v>
      </c>
      <c r="N33" s="344"/>
      <c r="O33" s="400">
        <f t="shared" si="4"/>
        <v>0</v>
      </c>
      <c r="P33" s="400">
        <f t="shared" si="5"/>
        <v>0</v>
      </c>
      <c r="Q33" s="400">
        <f>'Page 4'!Q35</f>
        <v>0</v>
      </c>
      <c r="R33" s="400">
        <f>'Page 4'!T35</f>
        <v>0</v>
      </c>
      <c r="S33" s="451"/>
      <c r="T33" s="400">
        <f t="shared" si="6"/>
        <v>0</v>
      </c>
      <c r="U33" s="403">
        <f t="shared" si="7"/>
        <v>0</v>
      </c>
      <c r="V33" s="402">
        <f t="shared" si="8"/>
        <v>0</v>
      </c>
      <c r="W33" s="404">
        <f>IF(NOT($V33=0),$V33/$V$9*'Page 2'!$E$12,0)</f>
        <v>0</v>
      </c>
      <c r="X33" s="404">
        <f>IF(NOT($V33=0),$V33/$V$9*('Page 2'!$E$14)+'Page 2'!$E$15/'Page 1'!$C$15,0)</f>
        <v>0</v>
      </c>
      <c r="Y33" s="404">
        <f>IF(NOT($V33=0),$V33/$V$9*('Page 2'!$E$22+'Page 2'!$E$23)+'Page 2'!$E$24/'Page 1'!$C$15,0)</f>
        <v>0</v>
      </c>
      <c r="Z33" s="344"/>
      <c r="AA33" s="344"/>
      <c r="AB33" s="404">
        <f t="shared" si="9"/>
        <v>0</v>
      </c>
      <c r="AC33" s="404">
        <f t="shared" si="10"/>
        <v>0</v>
      </c>
      <c r="AD33" s="399">
        <f t="shared" si="11"/>
        <v>0</v>
      </c>
      <c r="AE33" s="399">
        <f t="shared" si="1"/>
        <v>0</v>
      </c>
      <c r="AF33" s="404">
        <f t="shared" si="12"/>
        <v>0</v>
      </c>
      <c r="AG33" s="404">
        <f t="shared" si="13"/>
        <v>0</v>
      </c>
      <c r="AH33" s="404">
        <f t="shared" si="14"/>
        <v>0</v>
      </c>
      <c r="AI33" s="314"/>
      <c r="AJ33" s="209" t="str">
        <f t="shared" si="16"/>
        <v/>
      </c>
      <c r="AK33" s="413"/>
      <c r="AL33" s="210">
        <f t="shared" si="3"/>
        <v>24</v>
      </c>
      <c r="AM33" s="516"/>
      <c r="AN33" s="517"/>
      <c r="AO33" s="517"/>
      <c r="AP33" s="517"/>
      <c r="AQ33" s="517"/>
      <c r="AR33" s="517"/>
      <c r="AS33" s="517"/>
      <c r="AT33" s="517"/>
      <c r="AU33" s="517"/>
      <c r="AV33" s="517"/>
      <c r="AW33" s="518"/>
    </row>
    <row r="34" spans="1:49" ht="14">
      <c r="A34" s="208">
        <f t="shared" si="15"/>
        <v>25</v>
      </c>
      <c r="B34" s="8"/>
      <c r="C34" s="8"/>
      <c r="D34" s="16"/>
      <c r="E34" s="417"/>
      <c r="F34" s="194"/>
      <c r="G34" s="194"/>
      <c r="H34" s="195"/>
      <c r="I34" s="194"/>
      <c r="J34" s="194"/>
      <c r="K34" s="196"/>
      <c r="L34" s="7"/>
      <c r="M34" s="400">
        <f>IF($L34&gt;0,(VLOOKUP($AJ34,'LOCK_ME_Page 6_Rate Table'!$D$45:$E$62,2,FALSE)),0)</f>
        <v>0</v>
      </c>
      <c r="N34" s="344"/>
      <c r="O34" s="400">
        <f t="shared" si="4"/>
        <v>0</v>
      </c>
      <c r="P34" s="400">
        <f t="shared" si="5"/>
        <v>0</v>
      </c>
      <c r="Q34" s="400">
        <f>'Page 4'!Q36</f>
        <v>0</v>
      </c>
      <c r="R34" s="400">
        <f>'Page 4'!T36</f>
        <v>0</v>
      </c>
      <c r="S34" s="451"/>
      <c r="T34" s="400">
        <f t="shared" si="6"/>
        <v>0</v>
      </c>
      <c r="U34" s="403">
        <f t="shared" si="7"/>
        <v>0</v>
      </c>
      <c r="V34" s="402">
        <f t="shared" si="8"/>
        <v>0</v>
      </c>
      <c r="W34" s="404">
        <f>IF(NOT($V34=0),$V34/$V$9*'Page 2'!$E$12,0)</f>
        <v>0</v>
      </c>
      <c r="X34" s="404">
        <f>IF(NOT($V34=0),$V34/$V$9*('Page 2'!$E$14)+'Page 2'!$E$15/'Page 1'!$C$15,0)</f>
        <v>0</v>
      </c>
      <c r="Y34" s="404">
        <f>IF(NOT($V34=0),$V34/$V$9*('Page 2'!$E$22+'Page 2'!$E$23)+'Page 2'!$E$24/'Page 1'!$C$15,0)</f>
        <v>0</v>
      </c>
      <c r="Z34" s="344"/>
      <c r="AA34" s="344"/>
      <c r="AB34" s="404">
        <f t="shared" si="9"/>
        <v>0</v>
      </c>
      <c r="AC34" s="404">
        <f t="shared" si="10"/>
        <v>0</v>
      </c>
      <c r="AD34" s="399">
        <f t="shared" si="11"/>
        <v>0</v>
      </c>
      <c r="AE34" s="399">
        <f t="shared" si="1"/>
        <v>0</v>
      </c>
      <c r="AF34" s="404">
        <f t="shared" si="12"/>
        <v>0</v>
      </c>
      <c r="AG34" s="404">
        <f t="shared" si="13"/>
        <v>0</v>
      </c>
      <c r="AH34" s="404">
        <f t="shared" si="14"/>
        <v>0</v>
      </c>
      <c r="AI34" s="314"/>
      <c r="AJ34" s="209" t="str">
        <f t="shared" si="16"/>
        <v/>
      </c>
      <c r="AK34" s="413"/>
      <c r="AL34" s="210">
        <f t="shared" si="3"/>
        <v>25</v>
      </c>
      <c r="AM34" s="516"/>
      <c r="AN34" s="517"/>
      <c r="AO34" s="517"/>
      <c r="AP34" s="517"/>
      <c r="AQ34" s="517"/>
      <c r="AR34" s="517"/>
      <c r="AS34" s="517"/>
      <c r="AT34" s="517"/>
      <c r="AU34" s="517"/>
      <c r="AV34" s="517"/>
      <c r="AW34" s="518"/>
    </row>
    <row r="35" spans="1:49" ht="14">
      <c r="A35" s="208">
        <f t="shared" si="15"/>
        <v>26</v>
      </c>
      <c r="B35" s="8"/>
      <c r="C35" s="8"/>
      <c r="D35" s="16"/>
      <c r="E35" s="417"/>
      <c r="F35" s="194"/>
      <c r="G35" s="194"/>
      <c r="H35" s="195"/>
      <c r="I35" s="194"/>
      <c r="J35" s="194"/>
      <c r="K35" s="196"/>
      <c r="L35" s="7"/>
      <c r="M35" s="400">
        <f>IF($L35&gt;0,(VLOOKUP($AJ35,'LOCK_ME_Page 6_Rate Table'!$D$45:$E$62,2,FALSE)),0)</f>
        <v>0</v>
      </c>
      <c r="N35" s="344"/>
      <c r="O35" s="400">
        <f t="shared" si="4"/>
        <v>0</v>
      </c>
      <c r="P35" s="400">
        <f t="shared" si="5"/>
        <v>0</v>
      </c>
      <c r="Q35" s="400">
        <f>'Page 4'!Q37</f>
        <v>0</v>
      </c>
      <c r="R35" s="400">
        <f>'Page 4'!T37</f>
        <v>0</v>
      </c>
      <c r="S35" s="451"/>
      <c r="T35" s="400">
        <f t="shared" si="6"/>
        <v>0</v>
      </c>
      <c r="U35" s="403">
        <f t="shared" si="7"/>
        <v>0</v>
      </c>
      <c r="V35" s="402">
        <f t="shared" si="8"/>
        <v>0</v>
      </c>
      <c r="W35" s="404">
        <f>IF(NOT($V35=0),$V35/$V$9*'Page 2'!$E$12,0)</f>
        <v>0</v>
      </c>
      <c r="X35" s="404">
        <f>IF(NOT($V35=0),$V35/$V$9*('Page 2'!$E$14)+'Page 2'!$E$15/'Page 1'!$C$15,0)</f>
        <v>0</v>
      </c>
      <c r="Y35" s="404">
        <f>IF(NOT($V35=0),$V35/$V$9*('Page 2'!$E$22+'Page 2'!$E$23)+'Page 2'!$E$24/'Page 1'!$C$15,0)</f>
        <v>0</v>
      </c>
      <c r="Z35" s="344"/>
      <c r="AA35" s="344"/>
      <c r="AB35" s="404">
        <f t="shared" si="9"/>
        <v>0</v>
      </c>
      <c r="AC35" s="404">
        <f t="shared" si="10"/>
        <v>0</v>
      </c>
      <c r="AD35" s="399">
        <f t="shared" si="11"/>
        <v>0</v>
      </c>
      <c r="AE35" s="399">
        <f t="shared" si="1"/>
        <v>0</v>
      </c>
      <c r="AF35" s="404">
        <f t="shared" si="12"/>
        <v>0</v>
      </c>
      <c r="AG35" s="404">
        <f t="shared" si="13"/>
        <v>0</v>
      </c>
      <c r="AH35" s="404">
        <f t="shared" si="14"/>
        <v>0</v>
      </c>
      <c r="AI35" s="314"/>
      <c r="AJ35" s="209" t="str">
        <f t="shared" si="16"/>
        <v/>
      </c>
      <c r="AK35" s="413"/>
      <c r="AL35" s="210">
        <f t="shared" si="3"/>
        <v>26</v>
      </c>
      <c r="AM35" s="516"/>
      <c r="AN35" s="517"/>
      <c r="AO35" s="517"/>
      <c r="AP35" s="517"/>
      <c r="AQ35" s="517"/>
      <c r="AR35" s="517"/>
      <c r="AS35" s="517"/>
      <c r="AT35" s="517"/>
      <c r="AU35" s="517"/>
      <c r="AV35" s="517"/>
      <c r="AW35" s="518"/>
    </row>
    <row r="36" spans="1:49" ht="14">
      <c r="A36" s="208">
        <f t="shared" si="15"/>
        <v>27</v>
      </c>
      <c r="B36" s="8"/>
      <c r="C36" s="8"/>
      <c r="D36" s="16"/>
      <c r="E36" s="417"/>
      <c r="F36" s="194"/>
      <c r="G36" s="194"/>
      <c r="H36" s="195"/>
      <c r="I36" s="194"/>
      <c r="J36" s="194"/>
      <c r="K36" s="196"/>
      <c r="L36" s="7"/>
      <c r="M36" s="400">
        <f>IF($L36&gt;0,(VLOOKUP($AJ36,'LOCK_ME_Page 6_Rate Table'!$D$45:$E$62,2,FALSE)),0)</f>
        <v>0</v>
      </c>
      <c r="N36" s="344"/>
      <c r="O36" s="400">
        <f t="shared" si="4"/>
        <v>0</v>
      </c>
      <c r="P36" s="400">
        <f t="shared" si="5"/>
        <v>0</v>
      </c>
      <c r="Q36" s="400">
        <f>'Page 4'!Q38</f>
        <v>0</v>
      </c>
      <c r="R36" s="400">
        <f>'Page 4'!T38</f>
        <v>0</v>
      </c>
      <c r="S36" s="451"/>
      <c r="T36" s="400">
        <f t="shared" si="6"/>
        <v>0</v>
      </c>
      <c r="U36" s="403">
        <f t="shared" si="7"/>
        <v>0</v>
      </c>
      <c r="V36" s="402">
        <f t="shared" si="8"/>
        <v>0</v>
      </c>
      <c r="W36" s="404">
        <f>IF(NOT($V36=0),$V36/$V$9*'Page 2'!$E$12,0)</f>
        <v>0</v>
      </c>
      <c r="X36" s="404">
        <f>IF(NOT($V36=0),$V36/$V$9*('Page 2'!$E$14)+'Page 2'!$E$15/'Page 1'!$C$15,0)</f>
        <v>0</v>
      </c>
      <c r="Y36" s="404">
        <f>IF(NOT($V36=0),$V36/$V$9*('Page 2'!$E$22+'Page 2'!$E$23)+'Page 2'!$E$24/'Page 1'!$C$15,0)</f>
        <v>0</v>
      </c>
      <c r="Z36" s="344"/>
      <c r="AA36" s="344"/>
      <c r="AB36" s="404">
        <f t="shared" si="9"/>
        <v>0</v>
      </c>
      <c r="AC36" s="404">
        <f t="shared" si="10"/>
        <v>0</v>
      </c>
      <c r="AD36" s="399">
        <f t="shared" si="11"/>
        <v>0</v>
      </c>
      <c r="AE36" s="399">
        <f t="shared" si="1"/>
        <v>0</v>
      </c>
      <c r="AF36" s="404">
        <f t="shared" si="12"/>
        <v>0</v>
      </c>
      <c r="AG36" s="404">
        <f t="shared" si="13"/>
        <v>0</v>
      </c>
      <c r="AH36" s="404">
        <f t="shared" si="14"/>
        <v>0</v>
      </c>
      <c r="AI36" s="314"/>
      <c r="AJ36" s="209" t="str">
        <f t="shared" si="16"/>
        <v/>
      </c>
      <c r="AK36" s="413"/>
      <c r="AL36" s="210">
        <f t="shared" si="3"/>
        <v>27</v>
      </c>
      <c r="AM36" s="516"/>
      <c r="AN36" s="517"/>
      <c r="AO36" s="517"/>
      <c r="AP36" s="517"/>
      <c r="AQ36" s="517"/>
      <c r="AR36" s="517"/>
      <c r="AS36" s="517"/>
      <c r="AT36" s="517"/>
      <c r="AU36" s="517"/>
      <c r="AV36" s="517"/>
      <c r="AW36" s="518"/>
    </row>
    <row r="37" spans="1:49" ht="14">
      <c r="A37" s="208">
        <f t="shared" si="15"/>
        <v>28</v>
      </c>
      <c r="B37" s="8"/>
      <c r="C37" s="8"/>
      <c r="D37" s="16"/>
      <c r="E37" s="417"/>
      <c r="F37" s="194"/>
      <c r="G37" s="194"/>
      <c r="H37" s="195"/>
      <c r="I37" s="194"/>
      <c r="J37" s="194"/>
      <c r="K37" s="196"/>
      <c r="L37" s="7"/>
      <c r="M37" s="400">
        <f>IF($L37&gt;0,(VLOOKUP($AJ37,'LOCK_ME_Page 6_Rate Table'!$D$45:$E$62,2,FALSE)),0)</f>
        <v>0</v>
      </c>
      <c r="N37" s="344"/>
      <c r="O37" s="400">
        <f t="shared" si="4"/>
        <v>0</v>
      </c>
      <c r="P37" s="400">
        <f t="shared" si="5"/>
        <v>0</v>
      </c>
      <c r="Q37" s="400">
        <f>'Page 4'!Q39</f>
        <v>0</v>
      </c>
      <c r="R37" s="400">
        <f>'Page 4'!T39</f>
        <v>0</v>
      </c>
      <c r="S37" s="451"/>
      <c r="T37" s="400">
        <f t="shared" si="6"/>
        <v>0</v>
      </c>
      <c r="U37" s="403">
        <f t="shared" si="7"/>
        <v>0</v>
      </c>
      <c r="V37" s="402">
        <f t="shared" si="8"/>
        <v>0</v>
      </c>
      <c r="W37" s="404">
        <f>IF(NOT($V37=0),$V37/$V$9*'Page 2'!$E$12,0)</f>
        <v>0</v>
      </c>
      <c r="X37" s="404">
        <f>IF(NOT($V37=0),$V37/$V$9*('Page 2'!$E$14)+'Page 2'!$E$15/'Page 1'!$C$15,0)</f>
        <v>0</v>
      </c>
      <c r="Y37" s="404">
        <f>IF(NOT($V37=0),$V37/$V$9*('Page 2'!$E$22+'Page 2'!$E$23)+'Page 2'!$E$24/'Page 1'!$C$15,0)</f>
        <v>0</v>
      </c>
      <c r="Z37" s="344"/>
      <c r="AA37" s="344"/>
      <c r="AB37" s="404">
        <f t="shared" si="9"/>
        <v>0</v>
      </c>
      <c r="AC37" s="404">
        <f t="shared" si="10"/>
        <v>0</v>
      </c>
      <c r="AD37" s="399">
        <f t="shared" si="11"/>
        <v>0</v>
      </c>
      <c r="AE37" s="399">
        <f t="shared" si="1"/>
        <v>0</v>
      </c>
      <c r="AF37" s="404">
        <f t="shared" si="12"/>
        <v>0</v>
      </c>
      <c r="AG37" s="404">
        <f t="shared" si="13"/>
        <v>0</v>
      </c>
      <c r="AH37" s="404">
        <f t="shared" si="14"/>
        <v>0</v>
      </c>
      <c r="AI37" s="314"/>
      <c r="AJ37" s="209" t="str">
        <f t="shared" si="16"/>
        <v/>
      </c>
      <c r="AK37" s="413"/>
      <c r="AL37" s="210">
        <f t="shared" si="3"/>
        <v>28</v>
      </c>
      <c r="AM37" s="516"/>
      <c r="AN37" s="517"/>
      <c r="AO37" s="517"/>
      <c r="AP37" s="517"/>
      <c r="AQ37" s="517"/>
      <c r="AR37" s="517"/>
      <c r="AS37" s="517"/>
      <c r="AT37" s="517"/>
      <c r="AU37" s="517"/>
      <c r="AV37" s="517"/>
      <c r="AW37" s="518"/>
    </row>
    <row r="38" spans="1:49" ht="14">
      <c r="A38" s="208">
        <f t="shared" si="15"/>
        <v>29</v>
      </c>
      <c r="B38" s="8"/>
      <c r="C38" s="8"/>
      <c r="D38" s="16"/>
      <c r="E38" s="417"/>
      <c r="F38" s="194"/>
      <c r="G38" s="194"/>
      <c r="H38" s="195"/>
      <c r="I38" s="194"/>
      <c r="J38" s="194"/>
      <c r="K38" s="196"/>
      <c r="L38" s="7"/>
      <c r="M38" s="400">
        <f>IF($L38&gt;0,(VLOOKUP($AJ38,'LOCK_ME_Page 6_Rate Table'!$D$45:$E$62,2,FALSE)),0)</f>
        <v>0</v>
      </c>
      <c r="N38" s="344"/>
      <c r="O38" s="400">
        <f t="shared" si="4"/>
        <v>0</v>
      </c>
      <c r="P38" s="400">
        <f t="shared" si="5"/>
        <v>0</v>
      </c>
      <c r="Q38" s="400">
        <f>'Page 4'!Q40</f>
        <v>0</v>
      </c>
      <c r="R38" s="400">
        <f>'Page 4'!T40</f>
        <v>0</v>
      </c>
      <c r="S38" s="451"/>
      <c r="T38" s="400">
        <f t="shared" si="6"/>
        <v>0</v>
      </c>
      <c r="U38" s="403">
        <f t="shared" si="7"/>
        <v>0</v>
      </c>
      <c r="V38" s="402">
        <f t="shared" si="8"/>
        <v>0</v>
      </c>
      <c r="W38" s="404">
        <f>IF(NOT($V38=0),$V38/$V$9*'Page 2'!$E$12,0)</f>
        <v>0</v>
      </c>
      <c r="X38" s="404">
        <f>IF(NOT($V38=0),$V38/$V$9*('Page 2'!$E$14)+'Page 2'!$E$15/'Page 1'!$C$15,0)</f>
        <v>0</v>
      </c>
      <c r="Y38" s="404">
        <f>IF(NOT($V38=0),$V38/$V$9*('Page 2'!$E$22+'Page 2'!$E$23)+'Page 2'!$E$24/'Page 1'!$C$15,0)</f>
        <v>0</v>
      </c>
      <c r="Z38" s="344"/>
      <c r="AA38" s="344"/>
      <c r="AB38" s="404">
        <f t="shared" si="9"/>
        <v>0</v>
      </c>
      <c r="AC38" s="404">
        <f t="shared" si="10"/>
        <v>0</v>
      </c>
      <c r="AD38" s="399">
        <f t="shared" si="11"/>
        <v>0</v>
      </c>
      <c r="AE38" s="399">
        <f t="shared" si="1"/>
        <v>0</v>
      </c>
      <c r="AF38" s="404">
        <f t="shared" si="12"/>
        <v>0</v>
      </c>
      <c r="AG38" s="404">
        <f t="shared" si="13"/>
        <v>0</v>
      </c>
      <c r="AH38" s="404">
        <f t="shared" si="14"/>
        <v>0</v>
      </c>
      <c r="AI38" s="314"/>
      <c r="AJ38" s="209" t="str">
        <f t="shared" si="16"/>
        <v/>
      </c>
      <c r="AK38" s="413"/>
      <c r="AL38" s="210">
        <f t="shared" si="3"/>
        <v>29</v>
      </c>
      <c r="AM38" s="516"/>
      <c r="AN38" s="517"/>
      <c r="AO38" s="517"/>
      <c r="AP38" s="517"/>
      <c r="AQ38" s="517"/>
      <c r="AR38" s="517"/>
      <c r="AS38" s="517"/>
      <c r="AT38" s="517"/>
      <c r="AU38" s="517"/>
      <c r="AV38" s="517"/>
      <c r="AW38" s="518"/>
    </row>
    <row r="39" spans="1:49" ht="14">
      <c r="A39" s="208">
        <f t="shared" si="15"/>
        <v>30</v>
      </c>
      <c r="B39" s="8"/>
      <c r="C39" s="8"/>
      <c r="D39" s="16"/>
      <c r="E39" s="417"/>
      <c r="F39" s="194"/>
      <c r="G39" s="194"/>
      <c r="H39" s="195"/>
      <c r="I39" s="194"/>
      <c r="J39" s="194"/>
      <c r="K39" s="196"/>
      <c r="L39" s="7"/>
      <c r="M39" s="400">
        <f>IF($L39&gt;0,(VLOOKUP($AJ39,'LOCK_ME_Page 6_Rate Table'!$D$45:$E$62,2,FALSE)),0)</f>
        <v>0</v>
      </c>
      <c r="N39" s="344"/>
      <c r="O39" s="400">
        <f t="shared" si="4"/>
        <v>0</v>
      </c>
      <c r="P39" s="400">
        <f t="shared" si="5"/>
        <v>0</v>
      </c>
      <c r="Q39" s="400">
        <f>'Page 4'!Q41</f>
        <v>0</v>
      </c>
      <c r="R39" s="400">
        <f>'Page 4'!T41</f>
        <v>0</v>
      </c>
      <c r="S39" s="451"/>
      <c r="T39" s="400">
        <f t="shared" si="6"/>
        <v>0</v>
      </c>
      <c r="U39" s="403">
        <f t="shared" si="7"/>
        <v>0</v>
      </c>
      <c r="V39" s="402">
        <f t="shared" si="8"/>
        <v>0</v>
      </c>
      <c r="W39" s="404">
        <f>IF(NOT($V39=0),$V39/$V$9*'Page 2'!$E$12,0)</f>
        <v>0</v>
      </c>
      <c r="X39" s="404">
        <f>IF(NOT($V39=0),$V39/$V$9*('Page 2'!$E$14)+'Page 2'!$E$15/'Page 1'!$C$15,0)</f>
        <v>0</v>
      </c>
      <c r="Y39" s="404">
        <f>IF(NOT($V39=0),$V39/$V$9*('Page 2'!$E$22+'Page 2'!$E$23)+'Page 2'!$E$24/'Page 1'!$C$15,0)</f>
        <v>0</v>
      </c>
      <c r="Z39" s="344"/>
      <c r="AA39" s="344"/>
      <c r="AB39" s="404">
        <f t="shared" si="9"/>
        <v>0</v>
      </c>
      <c r="AC39" s="404">
        <f t="shared" si="10"/>
        <v>0</v>
      </c>
      <c r="AD39" s="399">
        <f t="shared" si="11"/>
        <v>0</v>
      </c>
      <c r="AE39" s="399">
        <f t="shared" si="1"/>
        <v>0</v>
      </c>
      <c r="AF39" s="404">
        <f t="shared" si="12"/>
        <v>0</v>
      </c>
      <c r="AG39" s="404">
        <f t="shared" si="13"/>
        <v>0</v>
      </c>
      <c r="AH39" s="404">
        <f t="shared" si="14"/>
        <v>0</v>
      </c>
      <c r="AI39" s="314"/>
      <c r="AJ39" s="209" t="str">
        <f t="shared" si="16"/>
        <v/>
      </c>
      <c r="AK39" s="413"/>
      <c r="AL39" s="210">
        <f t="shared" si="3"/>
        <v>30</v>
      </c>
      <c r="AM39" s="516"/>
      <c r="AN39" s="517"/>
      <c r="AO39" s="517"/>
      <c r="AP39" s="517"/>
      <c r="AQ39" s="517"/>
      <c r="AR39" s="517"/>
      <c r="AS39" s="517"/>
      <c r="AT39" s="517"/>
      <c r="AU39" s="517"/>
      <c r="AV39" s="517"/>
      <c r="AW39" s="518"/>
    </row>
    <row r="40" spans="1:49" ht="14">
      <c r="A40" s="208">
        <f t="shared" si="15"/>
        <v>31</v>
      </c>
      <c r="B40" s="8"/>
      <c r="C40" s="8"/>
      <c r="D40" s="16"/>
      <c r="E40" s="417"/>
      <c r="F40" s="194"/>
      <c r="G40" s="194"/>
      <c r="H40" s="195"/>
      <c r="I40" s="194"/>
      <c r="J40" s="194"/>
      <c r="K40" s="196"/>
      <c r="L40" s="7"/>
      <c r="M40" s="400">
        <f>IF($L40&gt;0,(VLOOKUP($AJ40,'LOCK_ME_Page 6_Rate Table'!$D$45:$E$62,2,FALSE)),0)</f>
        <v>0</v>
      </c>
      <c r="N40" s="344"/>
      <c r="O40" s="400">
        <f t="shared" si="4"/>
        <v>0</v>
      </c>
      <c r="P40" s="400">
        <f t="shared" si="5"/>
        <v>0</v>
      </c>
      <c r="Q40" s="400">
        <f>'Page 4'!Q42</f>
        <v>0</v>
      </c>
      <c r="R40" s="400">
        <f>'Page 4'!T42</f>
        <v>0</v>
      </c>
      <c r="S40" s="451"/>
      <c r="T40" s="400">
        <f t="shared" si="6"/>
        <v>0</v>
      </c>
      <c r="U40" s="403">
        <f t="shared" si="7"/>
        <v>0</v>
      </c>
      <c r="V40" s="402">
        <f t="shared" si="8"/>
        <v>0</v>
      </c>
      <c r="W40" s="404">
        <f>IF(NOT($V40=0),$V40/$V$9*'Page 2'!$E$12,0)</f>
        <v>0</v>
      </c>
      <c r="X40" s="404">
        <f>IF(NOT($V40=0),$V40/$V$9*('Page 2'!$E$14)+'Page 2'!$E$15/'Page 1'!$C$15,0)</f>
        <v>0</v>
      </c>
      <c r="Y40" s="404">
        <f>IF(NOT($V40=0),$V40/$V$9*('Page 2'!$E$22+'Page 2'!$E$23)+'Page 2'!$E$24/'Page 1'!$C$15,0)</f>
        <v>0</v>
      </c>
      <c r="Z40" s="344"/>
      <c r="AA40" s="344"/>
      <c r="AB40" s="404">
        <f t="shared" si="9"/>
        <v>0</v>
      </c>
      <c r="AC40" s="404">
        <f t="shared" si="10"/>
        <v>0</v>
      </c>
      <c r="AD40" s="399">
        <f t="shared" si="11"/>
        <v>0</v>
      </c>
      <c r="AE40" s="399">
        <f t="shared" si="1"/>
        <v>0</v>
      </c>
      <c r="AF40" s="404">
        <f t="shared" si="12"/>
        <v>0</v>
      </c>
      <c r="AG40" s="404">
        <f t="shared" si="13"/>
        <v>0</v>
      </c>
      <c r="AH40" s="404">
        <f t="shared" si="14"/>
        <v>0</v>
      </c>
      <c r="AI40" s="314"/>
      <c r="AJ40" s="209" t="str">
        <f t="shared" si="16"/>
        <v/>
      </c>
      <c r="AK40" s="413"/>
      <c r="AL40" s="210">
        <f t="shared" si="3"/>
        <v>31</v>
      </c>
      <c r="AM40" s="516"/>
      <c r="AN40" s="517"/>
      <c r="AO40" s="517"/>
      <c r="AP40" s="517"/>
      <c r="AQ40" s="517"/>
      <c r="AR40" s="517"/>
      <c r="AS40" s="517"/>
      <c r="AT40" s="517"/>
      <c r="AU40" s="517"/>
      <c r="AV40" s="517"/>
      <c r="AW40" s="518"/>
    </row>
    <row r="41" spans="1:49" ht="14">
      <c r="A41" s="208">
        <f t="shared" si="15"/>
        <v>32</v>
      </c>
      <c r="B41" s="8"/>
      <c r="C41" s="8"/>
      <c r="D41" s="16"/>
      <c r="E41" s="417"/>
      <c r="F41" s="194"/>
      <c r="G41" s="194"/>
      <c r="H41" s="195"/>
      <c r="I41" s="194"/>
      <c r="J41" s="194"/>
      <c r="K41" s="196"/>
      <c r="L41" s="7"/>
      <c r="M41" s="400">
        <f>IF($L41&gt;0,(VLOOKUP($AJ41,'LOCK_ME_Page 6_Rate Table'!$D$45:$E$62,2,FALSE)),0)</f>
        <v>0</v>
      </c>
      <c r="N41" s="344"/>
      <c r="O41" s="400">
        <f t="shared" si="4"/>
        <v>0</v>
      </c>
      <c r="P41" s="400">
        <f t="shared" si="5"/>
        <v>0</v>
      </c>
      <c r="Q41" s="400">
        <f>'Page 4'!Q43</f>
        <v>0</v>
      </c>
      <c r="R41" s="400">
        <f>'Page 4'!T43</f>
        <v>0</v>
      </c>
      <c r="S41" s="451"/>
      <c r="T41" s="400">
        <f t="shared" si="6"/>
        <v>0</v>
      </c>
      <c r="U41" s="403">
        <f t="shared" si="7"/>
        <v>0</v>
      </c>
      <c r="V41" s="402">
        <f t="shared" si="8"/>
        <v>0</v>
      </c>
      <c r="W41" s="404">
        <f>IF(NOT($V41=0),$V41/$V$9*'Page 2'!$E$12,0)</f>
        <v>0</v>
      </c>
      <c r="X41" s="404">
        <f>IF(NOT($V41=0),$V41/$V$9*('Page 2'!$E$14)+'Page 2'!$E$15/'Page 1'!$C$15,0)</f>
        <v>0</v>
      </c>
      <c r="Y41" s="404">
        <f>IF(NOT($V41=0),$V41/$V$9*('Page 2'!$E$22+'Page 2'!$E$23)+'Page 2'!$E$24/'Page 1'!$C$15,0)</f>
        <v>0</v>
      </c>
      <c r="Z41" s="344"/>
      <c r="AA41" s="344"/>
      <c r="AB41" s="404">
        <f t="shared" si="9"/>
        <v>0</v>
      </c>
      <c r="AC41" s="404">
        <f t="shared" si="10"/>
        <v>0</v>
      </c>
      <c r="AD41" s="399">
        <f t="shared" si="11"/>
        <v>0</v>
      </c>
      <c r="AE41" s="399">
        <f t="shared" si="1"/>
        <v>0</v>
      </c>
      <c r="AF41" s="404">
        <f t="shared" si="12"/>
        <v>0</v>
      </c>
      <c r="AG41" s="404">
        <f t="shared" si="13"/>
        <v>0</v>
      </c>
      <c r="AH41" s="404">
        <f t="shared" si="14"/>
        <v>0</v>
      </c>
      <c r="AI41" s="314"/>
      <c r="AJ41" s="209" t="str">
        <f t="shared" si="16"/>
        <v/>
      </c>
      <c r="AK41" s="413"/>
      <c r="AL41" s="210">
        <f t="shared" si="3"/>
        <v>32</v>
      </c>
      <c r="AM41" s="516"/>
      <c r="AN41" s="517"/>
      <c r="AO41" s="517"/>
      <c r="AP41" s="517"/>
      <c r="AQ41" s="517"/>
      <c r="AR41" s="517"/>
      <c r="AS41" s="517"/>
      <c r="AT41" s="517"/>
      <c r="AU41" s="517"/>
      <c r="AV41" s="517"/>
      <c r="AW41" s="518"/>
    </row>
    <row r="42" spans="1:49" ht="14">
      <c r="A42" s="208">
        <f t="shared" si="15"/>
        <v>33</v>
      </c>
      <c r="B42" s="8"/>
      <c r="C42" s="8"/>
      <c r="D42" s="16"/>
      <c r="E42" s="417"/>
      <c r="F42" s="194"/>
      <c r="G42" s="194"/>
      <c r="H42" s="195"/>
      <c r="I42" s="194"/>
      <c r="J42" s="194"/>
      <c r="K42" s="196"/>
      <c r="L42" s="7"/>
      <c r="M42" s="400">
        <f>IF($L42&gt;0,(VLOOKUP($AJ42,'LOCK_ME_Page 6_Rate Table'!$D$45:$E$62,2,FALSE)),0)</f>
        <v>0</v>
      </c>
      <c r="N42" s="344"/>
      <c r="O42" s="400">
        <f t="shared" si="4"/>
        <v>0</v>
      </c>
      <c r="P42" s="400">
        <f t="shared" si="5"/>
        <v>0</v>
      </c>
      <c r="Q42" s="400">
        <f>'Page 4'!Q44</f>
        <v>0</v>
      </c>
      <c r="R42" s="400">
        <f>'Page 4'!T44</f>
        <v>0</v>
      </c>
      <c r="S42" s="451"/>
      <c r="T42" s="400">
        <f t="shared" si="6"/>
        <v>0</v>
      </c>
      <c r="U42" s="403">
        <f t="shared" si="7"/>
        <v>0</v>
      </c>
      <c r="V42" s="402">
        <f t="shared" si="8"/>
        <v>0</v>
      </c>
      <c r="W42" s="404">
        <f>IF(NOT($V42=0),$V42/$V$9*'Page 2'!$E$12,0)</f>
        <v>0</v>
      </c>
      <c r="X42" s="404">
        <f>IF(NOT($V42=0),$V42/$V$9*('Page 2'!$E$14)+'Page 2'!$E$15/'Page 1'!$C$15,0)</f>
        <v>0</v>
      </c>
      <c r="Y42" s="404">
        <f>IF(NOT($V42=0),$V42/$V$9*('Page 2'!$E$22+'Page 2'!$E$23)+'Page 2'!$E$24/'Page 1'!$C$15,0)</f>
        <v>0</v>
      </c>
      <c r="Z42" s="344"/>
      <c r="AA42" s="344"/>
      <c r="AB42" s="404">
        <f t="shared" si="9"/>
        <v>0</v>
      </c>
      <c r="AC42" s="404">
        <f t="shared" si="10"/>
        <v>0</v>
      </c>
      <c r="AD42" s="399">
        <f t="shared" ref="AD42:AD59" si="17">U42+AB42</f>
        <v>0</v>
      </c>
      <c r="AE42" s="399">
        <f t="shared" ref="AE42:AE59" si="18">V42+AC42</f>
        <v>0</v>
      </c>
      <c r="AF42" s="404">
        <f t="shared" si="12"/>
        <v>0</v>
      </c>
      <c r="AG42" s="404">
        <f t="shared" si="13"/>
        <v>0</v>
      </c>
      <c r="AH42" s="404">
        <f t="shared" si="14"/>
        <v>0</v>
      </c>
      <c r="AI42" s="314"/>
      <c r="AJ42" s="209" t="str">
        <f t="shared" si="16"/>
        <v/>
      </c>
      <c r="AK42" s="413"/>
      <c r="AL42" s="210">
        <f t="shared" si="3"/>
        <v>33</v>
      </c>
      <c r="AM42" s="516"/>
      <c r="AN42" s="517"/>
      <c r="AO42" s="517"/>
      <c r="AP42" s="517"/>
      <c r="AQ42" s="517"/>
      <c r="AR42" s="517"/>
      <c r="AS42" s="517"/>
      <c r="AT42" s="517"/>
      <c r="AU42" s="517"/>
      <c r="AV42" s="517"/>
      <c r="AW42" s="518"/>
    </row>
    <row r="43" spans="1:49" ht="14">
      <c r="A43" s="208">
        <f t="shared" si="15"/>
        <v>34</v>
      </c>
      <c r="B43" s="8"/>
      <c r="C43" s="8"/>
      <c r="D43" s="16"/>
      <c r="E43" s="417"/>
      <c r="F43" s="194"/>
      <c r="G43" s="194"/>
      <c r="H43" s="195"/>
      <c r="I43" s="194"/>
      <c r="J43" s="194"/>
      <c r="K43" s="196"/>
      <c r="L43" s="7"/>
      <c r="M43" s="400">
        <f>IF($L43&gt;0,(VLOOKUP($AJ43,'LOCK_ME_Page 6_Rate Table'!$D$45:$E$62,2,FALSE)),0)</f>
        <v>0</v>
      </c>
      <c r="N43" s="344"/>
      <c r="O43" s="400">
        <f t="shared" si="4"/>
        <v>0</v>
      </c>
      <c r="P43" s="400">
        <f t="shared" si="5"/>
        <v>0</v>
      </c>
      <c r="Q43" s="400">
        <f>'Page 4'!Q45</f>
        <v>0</v>
      </c>
      <c r="R43" s="400">
        <f>'Page 4'!T45</f>
        <v>0</v>
      </c>
      <c r="S43" s="451"/>
      <c r="T43" s="400">
        <f t="shared" si="6"/>
        <v>0</v>
      </c>
      <c r="U43" s="403">
        <f t="shared" si="7"/>
        <v>0</v>
      </c>
      <c r="V43" s="402">
        <f t="shared" si="8"/>
        <v>0</v>
      </c>
      <c r="W43" s="404">
        <f>IF(NOT($V43=0),$V43/$V$9*'Page 2'!$E$12,0)</f>
        <v>0</v>
      </c>
      <c r="X43" s="404">
        <f>IF(NOT($V43=0),$V43/$V$9*('Page 2'!$E$14)+'Page 2'!$E$15/'Page 1'!$C$15,0)</f>
        <v>0</v>
      </c>
      <c r="Y43" s="404">
        <f>IF(NOT($V43=0),$V43/$V$9*('Page 2'!$E$22+'Page 2'!$E$23)+'Page 2'!$E$24/'Page 1'!$C$15,0)</f>
        <v>0</v>
      </c>
      <c r="Z43" s="344"/>
      <c r="AA43" s="344"/>
      <c r="AB43" s="404">
        <f t="shared" si="9"/>
        <v>0</v>
      </c>
      <c r="AC43" s="404">
        <f t="shared" si="10"/>
        <v>0</v>
      </c>
      <c r="AD43" s="399">
        <f t="shared" si="17"/>
        <v>0</v>
      </c>
      <c r="AE43" s="399">
        <f t="shared" si="18"/>
        <v>0</v>
      </c>
      <c r="AF43" s="404">
        <f t="shared" si="12"/>
        <v>0</v>
      </c>
      <c r="AG43" s="404">
        <f t="shared" si="13"/>
        <v>0</v>
      </c>
      <c r="AH43" s="404">
        <f t="shared" si="14"/>
        <v>0</v>
      </c>
      <c r="AI43" s="314"/>
      <c r="AJ43" s="209" t="str">
        <f t="shared" si="16"/>
        <v/>
      </c>
      <c r="AK43" s="413"/>
      <c r="AL43" s="210">
        <f t="shared" si="3"/>
        <v>34</v>
      </c>
      <c r="AM43" s="516"/>
      <c r="AN43" s="517"/>
      <c r="AO43" s="517"/>
      <c r="AP43" s="517"/>
      <c r="AQ43" s="517"/>
      <c r="AR43" s="517"/>
      <c r="AS43" s="517"/>
      <c r="AT43" s="517"/>
      <c r="AU43" s="517"/>
      <c r="AV43" s="517"/>
      <c r="AW43" s="518"/>
    </row>
    <row r="44" spans="1:49" ht="14">
      <c r="A44" s="208">
        <f t="shared" si="15"/>
        <v>35</v>
      </c>
      <c r="B44" s="8"/>
      <c r="C44" s="8"/>
      <c r="D44" s="16"/>
      <c r="E44" s="417"/>
      <c r="F44" s="194"/>
      <c r="G44" s="194"/>
      <c r="H44" s="195"/>
      <c r="I44" s="194"/>
      <c r="J44" s="194"/>
      <c r="K44" s="196"/>
      <c r="L44" s="7"/>
      <c r="M44" s="400">
        <f>IF($L44&gt;0,(VLOOKUP($AJ44,'LOCK_ME_Page 6_Rate Table'!$D$45:$E$62,2,FALSE)),0)</f>
        <v>0</v>
      </c>
      <c r="N44" s="344"/>
      <c r="O44" s="400">
        <f t="shared" si="4"/>
        <v>0</v>
      </c>
      <c r="P44" s="400">
        <f t="shared" si="5"/>
        <v>0</v>
      </c>
      <c r="Q44" s="400">
        <f>'Page 4'!Q46</f>
        <v>0</v>
      </c>
      <c r="R44" s="400">
        <f>'Page 4'!T46</f>
        <v>0</v>
      </c>
      <c r="S44" s="451"/>
      <c r="T44" s="400">
        <f t="shared" si="6"/>
        <v>0</v>
      </c>
      <c r="U44" s="403">
        <f t="shared" si="7"/>
        <v>0</v>
      </c>
      <c r="V44" s="402">
        <f t="shared" si="8"/>
        <v>0</v>
      </c>
      <c r="W44" s="404">
        <f>IF(NOT($V44=0),$V44/$V$9*'Page 2'!$E$12,0)</f>
        <v>0</v>
      </c>
      <c r="X44" s="404">
        <f>IF(NOT($V44=0),$V44/$V$9*('Page 2'!$E$14)+'Page 2'!$E$15/'Page 1'!$C$15,0)</f>
        <v>0</v>
      </c>
      <c r="Y44" s="404">
        <f>IF(NOT($V44=0),$V44/$V$9*('Page 2'!$E$22+'Page 2'!$E$23)+'Page 2'!$E$24/'Page 1'!$C$15,0)</f>
        <v>0</v>
      </c>
      <c r="Z44" s="344"/>
      <c r="AA44" s="344"/>
      <c r="AB44" s="404">
        <f t="shared" si="9"/>
        <v>0</v>
      </c>
      <c r="AC44" s="404">
        <f t="shared" si="10"/>
        <v>0</v>
      </c>
      <c r="AD44" s="399">
        <f t="shared" si="17"/>
        <v>0</v>
      </c>
      <c r="AE44" s="399">
        <f t="shared" si="18"/>
        <v>0</v>
      </c>
      <c r="AF44" s="404">
        <f t="shared" si="12"/>
        <v>0</v>
      </c>
      <c r="AG44" s="404">
        <f t="shared" si="13"/>
        <v>0</v>
      </c>
      <c r="AH44" s="404">
        <f t="shared" si="14"/>
        <v>0</v>
      </c>
      <c r="AI44" s="314"/>
      <c r="AJ44" s="209" t="str">
        <f t="shared" si="16"/>
        <v/>
      </c>
      <c r="AK44" s="413"/>
      <c r="AL44" s="210">
        <f t="shared" si="3"/>
        <v>35</v>
      </c>
      <c r="AM44" s="516"/>
      <c r="AN44" s="517"/>
      <c r="AO44" s="517"/>
      <c r="AP44" s="517"/>
      <c r="AQ44" s="517"/>
      <c r="AR44" s="517"/>
      <c r="AS44" s="517"/>
      <c r="AT44" s="517"/>
      <c r="AU44" s="517"/>
      <c r="AV44" s="517"/>
      <c r="AW44" s="518"/>
    </row>
    <row r="45" spans="1:49" ht="14">
      <c r="A45" s="208">
        <f t="shared" si="15"/>
        <v>36</v>
      </c>
      <c r="B45" s="8"/>
      <c r="C45" s="8"/>
      <c r="D45" s="16"/>
      <c r="E45" s="417"/>
      <c r="F45" s="194"/>
      <c r="G45" s="194"/>
      <c r="H45" s="195"/>
      <c r="I45" s="194"/>
      <c r="J45" s="194"/>
      <c r="K45" s="196"/>
      <c r="L45" s="7"/>
      <c r="M45" s="400">
        <f>IF($L45&gt;0,(VLOOKUP($AJ45,'LOCK_ME_Page 6_Rate Table'!$D$45:$E$62,2,FALSE)),0)</f>
        <v>0</v>
      </c>
      <c r="N45" s="344"/>
      <c r="O45" s="400">
        <f t="shared" si="4"/>
        <v>0</v>
      </c>
      <c r="P45" s="400">
        <f t="shared" si="5"/>
        <v>0</v>
      </c>
      <c r="Q45" s="400">
        <f>'Page 4'!Q47</f>
        <v>0</v>
      </c>
      <c r="R45" s="400">
        <f>'Page 4'!T47</f>
        <v>0</v>
      </c>
      <c r="S45" s="451"/>
      <c r="T45" s="400">
        <f t="shared" si="6"/>
        <v>0</v>
      </c>
      <c r="U45" s="403">
        <f t="shared" si="7"/>
        <v>0</v>
      </c>
      <c r="V45" s="402">
        <f t="shared" si="8"/>
        <v>0</v>
      </c>
      <c r="W45" s="404">
        <f>IF(NOT($V45=0),$V45/$V$9*'Page 2'!$E$12,0)</f>
        <v>0</v>
      </c>
      <c r="X45" s="404">
        <f>IF(NOT($V45=0),$V45/$V$9*('Page 2'!$E$14)+'Page 2'!$E$15/'Page 1'!$C$15,0)</f>
        <v>0</v>
      </c>
      <c r="Y45" s="404">
        <f>IF(NOT($V45=0),$V45/$V$9*('Page 2'!$E$22+'Page 2'!$E$23)+'Page 2'!$E$24/'Page 1'!$C$15,0)</f>
        <v>0</v>
      </c>
      <c r="Z45" s="344"/>
      <c r="AA45" s="344"/>
      <c r="AB45" s="404">
        <f t="shared" si="9"/>
        <v>0</v>
      </c>
      <c r="AC45" s="404">
        <f t="shared" si="10"/>
        <v>0</v>
      </c>
      <c r="AD45" s="399">
        <f t="shared" si="17"/>
        <v>0</v>
      </c>
      <c r="AE45" s="399">
        <f t="shared" si="18"/>
        <v>0</v>
      </c>
      <c r="AF45" s="404">
        <f t="shared" si="12"/>
        <v>0</v>
      </c>
      <c r="AG45" s="404">
        <f t="shared" si="13"/>
        <v>0</v>
      </c>
      <c r="AH45" s="404">
        <f t="shared" si="14"/>
        <v>0</v>
      </c>
      <c r="AI45" s="314"/>
      <c r="AJ45" s="209" t="str">
        <f t="shared" si="16"/>
        <v/>
      </c>
      <c r="AK45" s="413"/>
      <c r="AL45" s="210">
        <f t="shared" si="3"/>
        <v>36</v>
      </c>
      <c r="AM45" s="516"/>
      <c r="AN45" s="517"/>
      <c r="AO45" s="517"/>
      <c r="AP45" s="517"/>
      <c r="AQ45" s="517"/>
      <c r="AR45" s="517"/>
      <c r="AS45" s="517"/>
      <c r="AT45" s="517"/>
      <c r="AU45" s="517"/>
      <c r="AV45" s="517"/>
      <c r="AW45" s="518"/>
    </row>
    <row r="46" spans="1:49" ht="14">
      <c r="A46" s="208">
        <f t="shared" si="15"/>
        <v>37</v>
      </c>
      <c r="B46" s="8"/>
      <c r="C46" s="8"/>
      <c r="D46" s="16"/>
      <c r="E46" s="417"/>
      <c r="F46" s="194"/>
      <c r="G46" s="194"/>
      <c r="H46" s="195"/>
      <c r="I46" s="194"/>
      <c r="J46" s="194"/>
      <c r="K46" s="196"/>
      <c r="L46" s="7"/>
      <c r="M46" s="400">
        <f>IF($L46&gt;0,(VLOOKUP($AJ46,'LOCK_ME_Page 6_Rate Table'!$D$45:$E$62,2,FALSE)),0)</f>
        <v>0</v>
      </c>
      <c r="N46" s="344"/>
      <c r="O46" s="400">
        <f t="shared" si="4"/>
        <v>0</v>
      </c>
      <c r="P46" s="400">
        <f t="shared" si="5"/>
        <v>0</v>
      </c>
      <c r="Q46" s="400">
        <f>'Page 4'!Q48</f>
        <v>0</v>
      </c>
      <c r="R46" s="400">
        <f>'Page 4'!T48</f>
        <v>0</v>
      </c>
      <c r="S46" s="451"/>
      <c r="T46" s="400">
        <f t="shared" si="6"/>
        <v>0</v>
      </c>
      <c r="U46" s="403">
        <f t="shared" si="7"/>
        <v>0</v>
      </c>
      <c r="V46" s="402">
        <f t="shared" si="8"/>
        <v>0</v>
      </c>
      <c r="W46" s="404">
        <f>IF(NOT($V46=0),$V46/$V$9*'Page 2'!$E$12,0)</f>
        <v>0</v>
      </c>
      <c r="X46" s="404">
        <f>IF(NOT($V46=0),$V46/$V$9*('Page 2'!$E$14)+'Page 2'!$E$15/'Page 1'!$C$15,0)</f>
        <v>0</v>
      </c>
      <c r="Y46" s="404">
        <f>IF(NOT($V46=0),$V46/$V$9*('Page 2'!$E$22+'Page 2'!$E$23)+'Page 2'!$E$24/'Page 1'!$C$15,0)</f>
        <v>0</v>
      </c>
      <c r="Z46" s="344"/>
      <c r="AA46" s="344"/>
      <c r="AB46" s="404">
        <f t="shared" si="9"/>
        <v>0</v>
      </c>
      <c r="AC46" s="404">
        <f t="shared" si="10"/>
        <v>0</v>
      </c>
      <c r="AD46" s="399">
        <f t="shared" si="17"/>
        <v>0</v>
      </c>
      <c r="AE46" s="399">
        <f t="shared" si="18"/>
        <v>0</v>
      </c>
      <c r="AF46" s="404">
        <f t="shared" si="12"/>
        <v>0</v>
      </c>
      <c r="AG46" s="404">
        <f t="shared" si="13"/>
        <v>0</v>
      </c>
      <c r="AH46" s="404">
        <f t="shared" si="14"/>
        <v>0</v>
      </c>
      <c r="AI46" s="314"/>
      <c r="AJ46" s="209" t="str">
        <f t="shared" si="16"/>
        <v/>
      </c>
      <c r="AK46" s="413"/>
      <c r="AL46" s="210">
        <f t="shared" si="3"/>
        <v>37</v>
      </c>
      <c r="AM46" s="516"/>
      <c r="AN46" s="517"/>
      <c r="AO46" s="517"/>
      <c r="AP46" s="517"/>
      <c r="AQ46" s="517"/>
      <c r="AR46" s="517"/>
      <c r="AS46" s="517"/>
      <c r="AT46" s="517"/>
      <c r="AU46" s="517"/>
      <c r="AV46" s="517"/>
      <c r="AW46" s="518"/>
    </row>
    <row r="47" spans="1:49" ht="14">
      <c r="A47" s="208">
        <f t="shared" si="15"/>
        <v>38</v>
      </c>
      <c r="B47" s="8"/>
      <c r="C47" s="8"/>
      <c r="D47" s="16"/>
      <c r="E47" s="417"/>
      <c r="F47" s="194"/>
      <c r="G47" s="194"/>
      <c r="H47" s="195"/>
      <c r="I47" s="194"/>
      <c r="J47" s="194"/>
      <c r="K47" s="196"/>
      <c r="L47" s="7"/>
      <c r="M47" s="400">
        <f>IF($L47&gt;0,(VLOOKUP($AJ47,'LOCK_ME_Page 6_Rate Table'!$D$45:$E$62,2,FALSE)),0)</f>
        <v>0</v>
      </c>
      <c r="N47" s="344"/>
      <c r="O47" s="400">
        <f t="shared" si="4"/>
        <v>0</v>
      </c>
      <c r="P47" s="400">
        <f t="shared" si="5"/>
        <v>0</v>
      </c>
      <c r="Q47" s="400">
        <f>'Page 4'!Q49</f>
        <v>0</v>
      </c>
      <c r="R47" s="400">
        <f>'Page 4'!T49</f>
        <v>0</v>
      </c>
      <c r="S47" s="451"/>
      <c r="T47" s="400">
        <f t="shared" si="6"/>
        <v>0</v>
      </c>
      <c r="U47" s="403">
        <f t="shared" si="7"/>
        <v>0</v>
      </c>
      <c r="V47" s="402">
        <f t="shared" si="8"/>
        <v>0</v>
      </c>
      <c r="W47" s="404">
        <f>IF(NOT($V47=0),$V47/$V$9*'Page 2'!$E$12,0)</f>
        <v>0</v>
      </c>
      <c r="X47" s="404">
        <f>IF(NOT($V47=0),$V47/$V$9*('Page 2'!$E$14)+'Page 2'!$E$15/'Page 1'!$C$15,0)</f>
        <v>0</v>
      </c>
      <c r="Y47" s="404">
        <f>IF(NOT($V47=0),$V47/$V$9*('Page 2'!$E$22+'Page 2'!$E$23)+'Page 2'!$E$24/'Page 1'!$C$15,0)</f>
        <v>0</v>
      </c>
      <c r="Z47" s="344"/>
      <c r="AA47" s="344"/>
      <c r="AB47" s="404">
        <f t="shared" si="9"/>
        <v>0</v>
      </c>
      <c r="AC47" s="404">
        <f t="shared" si="10"/>
        <v>0</v>
      </c>
      <c r="AD47" s="399">
        <f t="shared" si="17"/>
        <v>0</v>
      </c>
      <c r="AE47" s="399">
        <f t="shared" si="18"/>
        <v>0</v>
      </c>
      <c r="AF47" s="404">
        <f t="shared" si="12"/>
        <v>0</v>
      </c>
      <c r="AG47" s="404">
        <f t="shared" si="13"/>
        <v>0</v>
      </c>
      <c r="AH47" s="404">
        <f t="shared" si="14"/>
        <v>0</v>
      </c>
      <c r="AI47" s="314"/>
      <c r="AJ47" s="209" t="str">
        <f t="shared" si="16"/>
        <v/>
      </c>
      <c r="AK47" s="413"/>
      <c r="AL47" s="210">
        <f t="shared" si="3"/>
        <v>38</v>
      </c>
      <c r="AM47" s="516"/>
      <c r="AN47" s="517"/>
      <c r="AO47" s="517"/>
      <c r="AP47" s="517"/>
      <c r="AQ47" s="517"/>
      <c r="AR47" s="517"/>
      <c r="AS47" s="517"/>
      <c r="AT47" s="517"/>
      <c r="AU47" s="517"/>
      <c r="AV47" s="517"/>
      <c r="AW47" s="518"/>
    </row>
    <row r="48" spans="1:49" ht="14">
      <c r="A48" s="208">
        <f t="shared" si="15"/>
        <v>39</v>
      </c>
      <c r="B48" s="8"/>
      <c r="C48" s="8"/>
      <c r="D48" s="16"/>
      <c r="E48" s="417"/>
      <c r="F48" s="194"/>
      <c r="G48" s="194"/>
      <c r="H48" s="195"/>
      <c r="I48" s="194"/>
      <c r="J48" s="194"/>
      <c r="K48" s="196"/>
      <c r="L48" s="7"/>
      <c r="M48" s="400">
        <f>IF($L48&gt;0,(VLOOKUP($AJ48,'LOCK_ME_Page 6_Rate Table'!$D$45:$E$62,2,FALSE)),0)</f>
        <v>0</v>
      </c>
      <c r="N48" s="344"/>
      <c r="O48" s="400">
        <f t="shared" si="4"/>
        <v>0</v>
      </c>
      <c r="P48" s="400">
        <f t="shared" si="5"/>
        <v>0</v>
      </c>
      <c r="Q48" s="400">
        <f>'Page 4'!Q50</f>
        <v>0</v>
      </c>
      <c r="R48" s="400">
        <f>'Page 4'!T50</f>
        <v>0</v>
      </c>
      <c r="S48" s="451"/>
      <c r="T48" s="400">
        <f t="shared" si="6"/>
        <v>0</v>
      </c>
      <c r="U48" s="403">
        <f t="shared" si="7"/>
        <v>0</v>
      </c>
      <c r="V48" s="402">
        <f t="shared" si="8"/>
        <v>0</v>
      </c>
      <c r="W48" s="404">
        <f>IF(NOT($V48=0),$V48/$V$9*'Page 2'!$E$12,0)</f>
        <v>0</v>
      </c>
      <c r="X48" s="404">
        <f>IF(NOT($V48=0),$V48/$V$9*('Page 2'!$E$14)+'Page 2'!$E$15/'Page 1'!$C$15,0)</f>
        <v>0</v>
      </c>
      <c r="Y48" s="404">
        <f>IF(NOT($V48=0),$V48/$V$9*('Page 2'!$E$22+'Page 2'!$E$23)+'Page 2'!$E$24/'Page 1'!$C$15,0)</f>
        <v>0</v>
      </c>
      <c r="Z48" s="344"/>
      <c r="AA48" s="344"/>
      <c r="AB48" s="404">
        <f t="shared" si="9"/>
        <v>0</v>
      </c>
      <c r="AC48" s="404">
        <f t="shared" si="10"/>
        <v>0</v>
      </c>
      <c r="AD48" s="399">
        <f t="shared" si="17"/>
        <v>0</v>
      </c>
      <c r="AE48" s="399">
        <f t="shared" si="18"/>
        <v>0</v>
      </c>
      <c r="AF48" s="404">
        <f t="shared" si="12"/>
        <v>0</v>
      </c>
      <c r="AG48" s="404">
        <f t="shared" si="13"/>
        <v>0</v>
      </c>
      <c r="AH48" s="404">
        <f t="shared" si="14"/>
        <v>0</v>
      </c>
      <c r="AI48" s="314"/>
      <c r="AJ48" s="209" t="str">
        <f t="shared" si="16"/>
        <v/>
      </c>
      <c r="AK48" s="413"/>
      <c r="AL48" s="210">
        <f t="shared" si="3"/>
        <v>39</v>
      </c>
      <c r="AM48" s="516"/>
      <c r="AN48" s="517"/>
      <c r="AO48" s="517"/>
      <c r="AP48" s="517"/>
      <c r="AQ48" s="517"/>
      <c r="AR48" s="517"/>
      <c r="AS48" s="517"/>
      <c r="AT48" s="517"/>
      <c r="AU48" s="517"/>
      <c r="AV48" s="517"/>
      <c r="AW48" s="518"/>
    </row>
    <row r="49" spans="1:49" ht="14">
      <c r="A49" s="208">
        <f t="shared" si="15"/>
        <v>40</v>
      </c>
      <c r="B49" s="8"/>
      <c r="C49" s="8"/>
      <c r="D49" s="16"/>
      <c r="E49" s="417"/>
      <c r="F49" s="194"/>
      <c r="G49" s="194"/>
      <c r="H49" s="195"/>
      <c r="I49" s="194"/>
      <c r="J49" s="194"/>
      <c r="K49" s="196"/>
      <c r="L49" s="7"/>
      <c r="M49" s="400">
        <f>IF($L49&gt;0,(VLOOKUP($AJ49,'LOCK_ME_Page 6_Rate Table'!$D$45:$E$62,2,FALSE)),0)</f>
        <v>0</v>
      </c>
      <c r="N49" s="344"/>
      <c r="O49" s="400">
        <f t="shared" si="4"/>
        <v>0</v>
      </c>
      <c r="P49" s="400">
        <f t="shared" si="5"/>
        <v>0</v>
      </c>
      <c r="Q49" s="400">
        <f>'Page 4'!Q51</f>
        <v>0</v>
      </c>
      <c r="R49" s="400">
        <f>'Page 4'!T51</f>
        <v>0</v>
      </c>
      <c r="S49" s="451"/>
      <c r="T49" s="400">
        <f t="shared" si="6"/>
        <v>0</v>
      </c>
      <c r="U49" s="403">
        <f t="shared" si="7"/>
        <v>0</v>
      </c>
      <c r="V49" s="402">
        <f t="shared" si="8"/>
        <v>0</v>
      </c>
      <c r="W49" s="404">
        <f>IF(NOT($V49=0),$V49/$V$9*'Page 2'!$E$12,0)</f>
        <v>0</v>
      </c>
      <c r="X49" s="404">
        <f>IF(NOT($V49=0),$V49/$V$9*('Page 2'!$E$14)+'Page 2'!$E$15/'Page 1'!$C$15,0)</f>
        <v>0</v>
      </c>
      <c r="Y49" s="404">
        <f>IF(NOT($V49=0),$V49/$V$9*('Page 2'!$E$22+'Page 2'!$E$23)+'Page 2'!$E$24/'Page 1'!$C$15,0)</f>
        <v>0</v>
      </c>
      <c r="Z49" s="344"/>
      <c r="AA49" s="344"/>
      <c r="AB49" s="404">
        <f t="shared" si="9"/>
        <v>0</v>
      </c>
      <c r="AC49" s="404">
        <f t="shared" si="10"/>
        <v>0</v>
      </c>
      <c r="AD49" s="399">
        <f t="shared" si="17"/>
        <v>0</v>
      </c>
      <c r="AE49" s="399">
        <f t="shared" si="18"/>
        <v>0</v>
      </c>
      <c r="AF49" s="404">
        <f t="shared" si="12"/>
        <v>0</v>
      </c>
      <c r="AG49" s="404">
        <f t="shared" si="13"/>
        <v>0</v>
      </c>
      <c r="AH49" s="404">
        <f t="shared" si="14"/>
        <v>0</v>
      </c>
      <c r="AI49" s="314"/>
      <c r="AJ49" s="209" t="str">
        <f t="shared" si="16"/>
        <v/>
      </c>
      <c r="AK49" s="413"/>
      <c r="AL49" s="210">
        <f t="shared" si="3"/>
        <v>40</v>
      </c>
      <c r="AM49" s="516"/>
      <c r="AN49" s="517"/>
      <c r="AO49" s="517"/>
      <c r="AP49" s="517"/>
      <c r="AQ49" s="517"/>
      <c r="AR49" s="517"/>
      <c r="AS49" s="517"/>
      <c r="AT49" s="517"/>
      <c r="AU49" s="517"/>
      <c r="AV49" s="517"/>
      <c r="AW49" s="518"/>
    </row>
    <row r="50" spans="1:49" ht="14">
      <c r="A50" s="208">
        <f t="shared" si="15"/>
        <v>41</v>
      </c>
      <c r="B50" s="8"/>
      <c r="C50" s="8"/>
      <c r="D50" s="16"/>
      <c r="E50" s="417"/>
      <c r="F50" s="194"/>
      <c r="G50" s="194"/>
      <c r="H50" s="195"/>
      <c r="I50" s="194"/>
      <c r="J50" s="194"/>
      <c r="K50" s="196"/>
      <c r="L50" s="7"/>
      <c r="M50" s="400">
        <f>IF($L50&gt;0,(VLOOKUP($AJ50,'LOCK_ME_Page 6_Rate Table'!$D$45:$E$62,2,FALSE)),0)</f>
        <v>0</v>
      </c>
      <c r="N50" s="344"/>
      <c r="O50" s="400">
        <f t="shared" si="4"/>
        <v>0</v>
      </c>
      <c r="P50" s="400">
        <f t="shared" si="5"/>
        <v>0</v>
      </c>
      <c r="Q50" s="400">
        <f>'Page 4'!Q52</f>
        <v>0</v>
      </c>
      <c r="R50" s="400">
        <f>'Page 4'!T52</f>
        <v>0</v>
      </c>
      <c r="S50" s="451"/>
      <c r="T50" s="400">
        <f t="shared" si="6"/>
        <v>0</v>
      </c>
      <c r="U50" s="403">
        <f t="shared" si="7"/>
        <v>0</v>
      </c>
      <c r="V50" s="402">
        <f t="shared" si="8"/>
        <v>0</v>
      </c>
      <c r="W50" s="404">
        <f>IF(NOT($V50=0),$V50/$V$9*'Page 2'!$E$12,0)</f>
        <v>0</v>
      </c>
      <c r="X50" s="404">
        <f>IF(NOT($V50=0),$V50/$V$9*('Page 2'!$E$14)+'Page 2'!$E$15/'Page 1'!$C$15,0)</f>
        <v>0</v>
      </c>
      <c r="Y50" s="404">
        <f>IF(NOT($V50=0),$V50/$V$9*('Page 2'!$E$22+'Page 2'!$E$23)+'Page 2'!$E$24/'Page 1'!$C$15,0)</f>
        <v>0</v>
      </c>
      <c r="Z50" s="344"/>
      <c r="AA50" s="344"/>
      <c r="AB50" s="404">
        <f t="shared" si="9"/>
        <v>0</v>
      </c>
      <c r="AC50" s="404">
        <f t="shared" si="10"/>
        <v>0</v>
      </c>
      <c r="AD50" s="399">
        <f t="shared" si="17"/>
        <v>0</v>
      </c>
      <c r="AE50" s="399">
        <f t="shared" si="18"/>
        <v>0</v>
      </c>
      <c r="AF50" s="404">
        <f t="shared" si="12"/>
        <v>0</v>
      </c>
      <c r="AG50" s="404">
        <f t="shared" si="13"/>
        <v>0</v>
      </c>
      <c r="AH50" s="404">
        <f t="shared" si="14"/>
        <v>0</v>
      </c>
      <c r="AI50" s="314"/>
      <c r="AJ50" s="209" t="str">
        <f t="shared" si="16"/>
        <v/>
      </c>
      <c r="AK50" s="413"/>
      <c r="AL50" s="210">
        <f t="shared" si="3"/>
        <v>41</v>
      </c>
      <c r="AM50" s="516"/>
      <c r="AN50" s="517"/>
      <c r="AO50" s="517"/>
      <c r="AP50" s="517"/>
      <c r="AQ50" s="517"/>
      <c r="AR50" s="517"/>
      <c r="AS50" s="517"/>
      <c r="AT50" s="517"/>
      <c r="AU50" s="517"/>
      <c r="AV50" s="517"/>
      <c r="AW50" s="518"/>
    </row>
    <row r="51" spans="1:49" ht="14">
      <c r="A51" s="208">
        <f t="shared" si="15"/>
        <v>42</v>
      </c>
      <c r="B51" s="8"/>
      <c r="C51" s="8"/>
      <c r="D51" s="16"/>
      <c r="E51" s="417"/>
      <c r="F51" s="194"/>
      <c r="G51" s="194"/>
      <c r="H51" s="195"/>
      <c r="I51" s="194"/>
      <c r="J51" s="194"/>
      <c r="K51" s="196"/>
      <c r="L51" s="7"/>
      <c r="M51" s="400">
        <f>IF($L51&gt;0,(VLOOKUP($AJ51,'LOCK_ME_Page 6_Rate Table'!$D$45:$E$62,2,FALSE)),0)</f>
        <v>0</v>
      </c>
      <c r="N51" s="344"/>
      <c r="O51" s="400">
        <f t="shared" si="4"/>
        <v>0</v>
      </c>
      <c r="P51" s="400">
        <f t="shared" si="5"/>
        <v>0</v>
      </c>
      <c r="Q51" s="400">
        <f>'Page 4'!Q53</f>
        <v>0</v>
      </c>
      <c r="R51" s="400">
        <f>'Page 4'!T53</f>
        <v>0</v>
      </c>
      <c r="S51" s="451"/>
      <c r="T51" s="400">
        <f t="shared" si="6"/>
        <v>0</v>
      </c>
      <c r="U51" s="403">
        <f t="shared" si="7"/>
        <v>0</v>
      </c>
      <c r="V51" s="402">
        <f t="shared" si="8"/>
        <v>0</v>
      </c>
      <c r="W51" s="404">
        <f>IF(NOT($V51=0),$V51/$V$9*'Page 2'!$E$12,0)</f>
        <v>0</v>
      </c>
      <c r="X51" s="404">
        <f>IF(NOT($V51=0),$V51/$V$9*('Page 2'!$E$14)+'Page 2'!$E$15/'Page 1'!$C$15,0)</f>
        <v>0</v>
      </c>
      <c r="Y51" s="404">
        <f>IF(NOT($V51=0),$V51/$V$9*('Page 2'!$E$22+'Page 2'!$E$23)+'Page 2'!$E$24/'Page 1'!$C$15,0)</f>
        <v>0</v>
      </c>
      <c r="Z51" s="344"/>
      <c r="AA51" s="344"/>
      <c r="AB51" s="404">
        <f t="shared" si="9"/>
        <v>0</v>
      </c>
      <c r="AC51" s="404">
        <f t="shared" si="10"/>
        <v>0</v>
      </c>
      <c r="AD51" s="399">
        <f t="shared" si="17"/>
        <v>0</v>
      </c>
      <c r="AE51" s="399">
        <f t="shared" si="18"/>
        <v>0</v>
      </c>
      <c r="AF51" s="404">
        <f t="shared" si="12"/>
        <v>0</v>
      </c>
      <c r="AG51" s="404">
        <f t="shared" si="13"/>
        <v>0</v>
      </c>
      <c r="AH51" s="404">
        <f t="shared" si="14"/>
        <v>0</v>
      </c>
      <c r="AI51" s="314"/>
      <c r="AJ51" s="209" t="str">
        <f t="shared" si="16"/>
        <v/>
      </c>
      <c r="AK51" s="413"/>
      <c r="AL51" s="210">
        <f t="shared" si="3"/>
        <v>42</v>
      </c>
      <c r="AM51" s="516"/>
      <c r="AN51" s="517"/>
      <c r="AO51" s="517"/>
      <c r="AP51" s="517"/>
      <c r="AQ51" s="517"/>
      <c r="AR51" s="517"/>
      <c r="AS51" s="517"/>
      <c r="AT51" s="517"/>
      <c r="AU51" s="517"/>
      <c r="AV51" s="517"/>
      <c r="AW51" s="518"/>
    </row>
    <row r="52" spans="1:49" ht="14">
      <c r="A52" s="208">
        <f t="shared" si="15"/>
        <v>43</v>
      </c>
      <c r="B52" s="8"/>
      <c r="C52" s="8"/>
      <c r="D52" s="16"/>
      <c r="E52" s="417"/>
      <c r="F52" s="194"/>
      <c r="G52" s="194"/>
      <c r="H52" s="195"/>
      <c r="I52" s="194"/>
      <c r="J52" s="194"/>
      <c r="K52" s="196"/>
      <c r="L52" s="7"/>
      <c r="M52" s="400">
        <f>IF($L52&gt;0,(VLOOKUP($AJ52,'LOCK_ME_Page 6_Rate Table'!$D$45:$E$62,2,FALSE)),0)</f>
        <v>0</v>
      </c>
      <c r="N52" s="344"/>
      <c r="O52" s="400">
        <f t="shared" si="4"/>
        <v>0</v>
      </c>
      <c r="P52" s="400">
        <f t="shared" si="5"/>
        <v>0</v>
      </c>
      <c r="Q52" s="400">
        <f>'Page 4'!Q54</f>
        <v>0</v>
      </c>
      <c r="R52" s="400">
        <f>'Page 4'!T54</f>
        <v>0</v>
      </c>
      <c r="S52" s="451"/>
      <c r="T52" s="400">
        <f t="shared" si="6"/>
        <v>0</v>
      </c>
      <c r="U52" s="403">
        <f t="shared" si="7"/>
        <v>0</v>
      </c>
      <c r="V52" s="402">
        <f t="shared" si="8"/>
        <v>0</v>
      </c>
      <c r="W52" s="404">
        <f>IF(NOT($V52=0),$V52/$V$9*'Page 2'!$E$12,0)</f>
        <v>0</v>
      </c>
      <c r="X52" s="404">
        <f>IF(NOT($V52=0),$V52/$V$9*('Page 2'!$E$14)+'Page 2'!$E$15/'Page 1'!$C$15,0)</f>
        <v>0</v>
      </c>
      <c r="Y52" s="404">
        <f>IF(NOT($V52=0),$V52/$V$9*('Page 2'!$E$22+'Page 2'!$E$23)+'Page 2'!$E$24/'Page 1'!$C$15,0)</f>
        <v>0</v>
      </c>
      <c r="Z52" s="344"/>
      <c r="AA52" s="344"/>
      <c r="AB52" s="404">
        <f t="shared" si="9"/>
        <v>0</v>
      </c>
      <c r="AC52" s="404">
        <f t="shared" si="10"/>
        <v>0</v>
      </c>
      <c r="AD52" s="399">
        <f t="shared" si="17"/>
        <v>0</v>
      </c>
      <c r="AE52" s="399">
        <f t="shared" si="18"/>
        <v>0</v>
      </c>
      <c r="AF52" s="404">
        <f t="shared" si="12"/>
        <v>0</v>
      </c>
      <c r="AG52" s="404">
        <f t="shared" si="13"/>
        <v>0</v>
      </c>
      <c r="AH52" s="404">
        <f t="shared" si="14"/>
        <v>0</v>
      </c>
      <c r="AI52" s="314"/>
      <c r="AJ52" s="209" t="str">
        <f t="shared" si="16"/>
        <v/>
      </c>
      <c r="AK52" s="413"/>
      <c r="AL52" s="210">
        <f t="shared" si="3"/>
        <v>43</v>
      </c>
      <c r="AM52" s="516"/>
      <c r="AN52" s="517"/>
      <c r="AO52" s="517"/>
      <c r="AP52" s="517"/>
      <c r="AQ52" s="517"/>
      <c r="AR52" s="517"/>
      <c r="AS52" s="517"/>
      <c r="AT52" s="517"/>
      <c r="AU52" s="517"/>
      <c r="AV52" s="517"/>
      <c r="AW52" s="518"/>
    </row>
    <row r="53" spans="1:49" ht="14">
      <c r="A53" s="208">
        <f t="shared" si="15"/>
        <v>44</v>
      </c>
      <c r="B53" s="8"/>
      <c r="C53" s="8"/>
      <c r="D53" s="16"/>
      <c r="E53" s="417"/>
      <c r="F53" s="194"/>
      <c r="G53" s="194"/>
      <c r="H53" s="195"/>
      <c r="I53" s="194"/>
      <c r="J53" s="194"/>
      <c r="K53" s="196"/>
      <c r="L53" s="7"/>
      <c r="M53" s="400">
        <f>IF($L53&gt;0,(VLOOKUP($AJ53,'LOCK_ME_Page 6_Rate Table'!$D$45:$E$62,2,FALSE)),0)</f>
        <v>0</v>
      </c>
      <c r="N53" s="344"/>
      <c r="O53" s="400">
        <f t="shared" si="4"/>
        <v>0</v>
      </c>
      <c r="P53" s="400">
        <f t="shared" si="5"/>
        <v>0</v>
      </c>
      <c r="Q53" s="400">
        <f>'Page 4'!Q55</f>
        <v>0</v>
      </c>
      <c r="R53" s="400">
        <f>'Page 4'!T55</f>
        <v>0</v>
      </c>
      <c r="S53" s="451"/>
      <c r="T53" s="400">
        <f t="shared" si="6"/>
        <v>0</v>
      </c>
      <c r="U53" s="403">
        <f t="shared" si="7"/>
        <v>0</v>
      </c>
      <c r="V53" s="402">
        <f t="shared" si="8"/>
        <v>0</v>
      </c>
      <c r="W53" s="404">
        <f>IF(NOT($V53=0),$V53/$V$9*'Page 2'!$E$12,0)</f>
        <v>0</v>
      </c>
      <c r="X53" s="404">
        <f>IF(NOT($V53=0),$V53/$V$9*('Page 2'!$E$14)+'Page 2'!$E$15/'Page 1'!$C$15,0)</f>
        <v>0</v>
      </c>
      <c r="Y53" s="404">
        <f>IF(NOT($V53=0),$V53/$V$9*('Page 2'!$E$22+'Page 2'!$E$23)+'Page 2'!$E$24/'Page 1'!$C$15,0)</f>
        <v>0</v>
      </c>
      <c r="Z53" s="344"/>
      <c r="AA53" s="344"/>
      <c r="AB53" s="404">
        <f t="shared" si="9"/>
        <v>0</v>
      </c>
      <c r="AC53" s="404">
        <f t="shared" si="10"/>
        <v>0</v>
      </c>
      <c r="AD53" s="399">
        <f t="shared" si="17"/>
        <v>0</v>
      </c>
      <c r="AE53" s="399">
        <f t="shared" si="18"/>
        <v>0</v>
      </c>
      <c r="AF53" s="404">
        <f t="shared" si="12"/>
        <v>0</v>
      </c>
      <c r="AG53" s="404">
        <f t="shared" si="13"/>
        <v>0</v>
      </c>
      <c r="AH53" s="404">
        <f t="shared" si="14"/>
        <v>0</v>
      </c>
      <c r="AI53" s="314"/>
      <c r="AJ53" s="209" t="str">
        <f t="shared" si="16"/>
        <v/>
      </c>
      <c r="AK53" s="413"/>
      <c r="AL53" s="210">
        <f t="shared" si="3"/>
        <v>44</v>
      </c>
      <c r="AM53" s="516"/>
      <c r="AN53" s="517"/>
      <c r="AO53" s="517"/>
      <c r="AP53" s="517"/>
      <c r="AQ53" s="517"/>
      <c r="AR53" s="517"/>
      <c r="AS53" s="517"/>
      <c r="AT53" s="517"/>
      <c r="AU53" s="517"/>
      <c r="AV53" s="517"/>
      <c r="AW53" s="518"/>
    </row>
    <row r="54" spans="1:49" ht="14">
      <c r="A54" s="208">
        <f t="shared" si="15"/>
        <v>45</v>
      </c>
      <c r="B54" s="8"/>
      <c r="C54" s="8"/>
      <c r="D54" s="16"/>
      <c r="E54" s="417"/>
      <c r="F54" s="194"/>
      <c r="G54" s="194"/>
      <c r="H54" s="195"/>
      <c r="I54" s="194"/>
      <c r="J54" s="194"/>
      <c r="K54" s="196"/>
      <c r="L54" s="7"/>
      <c r="M54" s="400">
        <f>IF($L54&gt;0,(VLOOKUP($AJ54,'LOCK_ME_Page 6_Rate Table'!$D$45:$E$62,2,FALSE)),0)</f>
        <v>0</v>
      </c>
      <c r="N54" s="344"/>
      <c r="O54" s="400">
        <f t="shared" si="4"/>
        <v>0</v>
      </c>
      <c r="P54" s="400">
        <f t="shared" si="5"/>
        <v>0</v>
      </c>
      <c r="Q54" s="400">
        <f>'Page 4'!Q56</f>
        <v>0</v>
      </c>
      <c r="R54" s="400">
        <f>'Page 4'!T56</f>
        <v>0</v>
      </c>
      <c r="S54" s="451"/>
      <c r="T54" s="400">
        <f t="shared" si="6"/>
        <v>0</v>
      </c>
      <c r="U54" s="403">
        <f t="shared" si="7"/>
        <v>0</v>
      </c>
      <c r="V54" s="402">
        <f t="shared" si="8"/>
        <v>0</v>
      </c>
      <c r="W54" s="404">
        <f>IF(NOT($V54=0),$V54/$V$9*'Page 2'!$E$12,0)</f>
        <v>0</v>
      </c>
      <c r="X54" s="404">
        <f>IF(NOT($V54=0),$V54/$V$9*('Page 2'!$E$14)+'Page 2'!$E$15/'Page 1'!$C$15,0)</f>
        <v>0</v>
      </c>
      <c r="Y54" s="404">
        <f>IF(NOT($V54=0),$V54/$V$9*('Page 2'!$E$22+'Page 2'!$E$23)+'Page 2'!$E$24/'Page 1'!$C$15,0)</f>
        <v>0</v>
      </c>
      <c r="Z54" s="344"/>
      <c r="AA54" s="344"/>
      <c r="AB54" s="404">
        <f t="shared" si="9"/>
        <v>0</v>
      </c>
      <c r="AC54" s="404">
        <f t="shared" si="10"/>
        <v>0</v>
      </c>
      <c r="AD54" s="399">
        <f t="shared" si="17"/>
        <v>0</v>
      </c>
      <c r="AE54" s="399">
        <f t="shared" si="18"/>
        <v>0</v>
      </c>
      <c r="AF54" s="404">
        <f t="shared" si="12"/>
        <v>0</v>
      </c>
      <c r="AG54" s="404">
        <f t="shared" si="13"/>
        <v>0</v>
      </c>
      <c r="AH54" s="404">
        <f t="shared" si="14"/>
        <v>0</v>
      </c>
      <c r="AI54" s="314"/>
      <c r="AJ54" s="209" t="str">
        <f t="shared" si="16"/>
        <v/>
      </c>
      <c r="AK54" s="413"/>
      <c r="AL54" s="210">
        <f t="shared" si="3"/>
        <v>45</v>
      </c>
      <c r="AM54" s="516"/>
      <c r="AN54" s="517"/>
      <c r="AO54" s="517"/>
      <c r="AP54" s="517"/>
      <c r="AQ54" s="517"/>
      <c r="AR54" s="517"/>
      <c r="AS54" s="517"/>
      <c r="AT54" s="517"/>
      <c r="AU54" s="517"/>
      <c r="AV54" s="517"/>
      <c r="AW54" s="518"/>
    </row>
    <row r="55" spans="1:49" ht="14">
      <c r="A55" s="208">
        <f t="shared" si="15"/>
        <v>46</v>
      </c>
      <c r="B55" s="8"/>
      <c r="C55" s="8"/>
      <c r="D55" s="16"/>
      <c r="E55" s="417"/>
      <c r="F55" s="194"/>
      <c r="G55" s="194"/>
      <c r="H55" s="195"/>
      <c r="I55" s="194"/>
      <c r="J55" s="194"/>
      <c r="K55" s="196"/>
      <c r="L55" s="7"/>
      <c r="M55" s="400">
        <f>IF($L55&gt;0,(VLOOKUP($AJ55,'LOCK_ME_Page 6_Rate Table'!$D$45:$E$62,2,FALSE)),0)</f>
        <v>0</v>
      </c>
      <c r="N55" s="344"/>
      <c r="O55" s="400">
        <f t="shared" si="4"/>
        <v>0</v>
      </c>
      <c r="P55" s="400">
        <f t="shared" si="5"/>
        <v>0</v>
      </c>
      <c r="Q55" s="400">
        <f>'Page 4'!Q57</f>
        <v>0</v>
      </c>
      <c r="R55" s="400">
        <f>'Page 4'!T57</f>
        <v>0</v>
      </c>
      <c r="S55" s="451"/>
      <c r="T55" s="400">
        <f t="shared" si="6"/>
        <v>0</v>
      </c>
      <c r="U55" s="403">
        <f t="shared" si="7"/>
        <v>0</v>
      </c>
      <c r="V55" s="402">
        <f t="shared" si="8"/>
        <v>0</v>
      </c>
      <c r="W55" s="404">
        <f>IF(NOT($V55=0),$V55/$V$9*'Page 2'!$E$12,0)</f>
        <v>0</v>
      </c>
      <c r="X55" s="404">
        <f>IF(NOT($V55=0),$V55/$V$9*('Page 2'!$E$14)+'Page 2'!$E$15/'Page 1'!$C$15,0)</f>
        <v>0</v>
      </c>
      <c r="Y55" s="404">
        <f>IF(NOT($V55=0),$V55/$V$9*('Page 2'!$E$22+'Page 2'!$E$23)+'Page 2'!$E$24/'Page 1'!$C$15,0)</f>
        <v>0</v>
      </c>
      <c r="Z55" s="344"/>
      <c r="AA55" s="344"/>
      <c r="AB55" s="404">
        <f t="shared" si="9"/>
        <v>0</v>
      </c>
      <c r="AC55" s="404">
        <f t="shared" si="10"/>
        <v>0</v>
      </c>
      <c r="AD55" s="399">
        <f t="shared" si="17"/>
        <v>0</v>
      </c>
      <c r="AE55" s="399">
        <f t="shared" si="18"/>
        <v>0</v>
      </c>
      <c r="AF55" s="404">
        <f t="shared" si="12"/>
        <v>0</v>
      </c>
      <c r="AG55" s="404">
        <f t="shared" si="13"/>
        <v>0</v>
      </c>
      <c r="AH55" s="404">
        <f t="shared" si="14"/>
        <v>0</v>
      </c>
      <c r="AI55" s="314"/>
      <c r="AJ55" s="209" t="str">
        <f t="shared" si="16"/>
        <v/>
      </c>
      <c r="AK55" s="413"/>
      <c r="AL55" s="210">
        <f t="shared" si="3"/>
        <v>46</v>
      </c>
      <c r="AM55" s="516"/>
      <c r="AN55" s="517"/>
      <c r="AO55" s="517"/>
      <c r="AP55" s="517"/>
      <c r="AQ55" s="517"/>
      <c r="AR55" s="517"/>
      <c r="AS55" s="517"/>
      <c r="AT55" s="517"/>
      <c r="AU55" s="517"/>
      <c r="AV55" s="517"/>
      <c r="AW55" s="518"/>
    </row>
    <row r="56" spans="1:49" ht="14">
      <c r="A56" s="208">
        <f t="shared" si="15"/>
        <v>47</v>
      </c>
      <c r="B56" s="8"/>
      <c r="C56" s="8"/>
      <c r="D56" s="16"/>
      <c r="E56" s="417"/>
      <c r="F56" s="194"/>
      <c r="G56" s="194"/>
      <c r="H56" s="195"/>
      <c r="I56" s="194"/>
      <c r="J56" s="194"/>
      <c r="K56" s="196"/>
      <c r="L56" s="7"/>
      <c r="M56" s="400">
        <f>IF($L56&gt;0,(VLOOKUP($AJ56,'LOCK_ME_Page 6_Rate Table'!$D$45:$E$62,2,FALSE)),0)</f>
        <v>0</v>
      </c>
      <c r="N56" s="344"/>
      <c r="O56" s="400">
        <f t="shared" si="4"/>
        <v>0</v>
      </c>
      <c r="P56" s="400">
        <f t="shared" si="5"/>
        <v>0</v>
      </c>
      <c r="Q56" s="400">
        <f>'Page 4'!Q58</f>
        <v>0</v>
      </c>
      <c r="R56" s="400">
        <f>'Page 4'!T58</f>
        <v>0</v>
      </c>
      <c r="S56" s="451"/>
      <c r="T56" s="400">
        <f t="shared" si="6"/>
        <v>0</v>
      </c>
      <c r="U56" s="403">
        <f t="shared" si="7"/>
        <v>0</v>
      </c>
      <c r="V56" s="402">
        <f t="shared" si="8"/>
        <v>0</v>
      </c>
      <c r="W56" s="404">
        <f>IF(NOT($V56=0),$V56/$V$9*'Page 2'!$E$12,0)</f>
        <v>0</v>
      </c>
      <c r="X56" s="404">
        <f>IF(NOT($V56=0),$V56/$V$9*('Page 2'!$E$14)+'Page 2'!$E$15/'Page 1'!$C$15,0)</f>
        <v>0</v>
      </c>
      <c r="Y56" s="404">
        <f>IF(NOT($V56=0),$V56/$V$9*('Page 2'!$E$22+'Page 2'!$E$23)+'Page 2'!$E$24/'Page 1'!$C$15,0)</f>
        <v>0</v>
      </c>
      <c r="Z56" s="344"/>
      <c r="AA56" s="344"/>
      <c r="AB56" s="404">
        <f t="shared" si="9"/>
        <v>0</v>
      </c>
      <c r="AC56" s="404">
        <f t="shared" si="10"/>
        <v>0</v>
      </c>
      <c r="AD56" s="399">
        <f t="shared" si="17"/>
        <v>0</v>
      </c>
      <c r="AE56" s="399">
        <f t="shared" si="18"/>
        <v>0</v>
      </c>
      <c r="AF56" s="404">
        <f t="shared" si="12"/>
        <v>0</v>
      </c>
      <c r="AG56" s="404">
        <f t="shared" si="13"/>
        <v>0</v>
      </c>
      <c r="AH56" s="404">
        <f t="shared" si="14"/>
        <v>0</v>
      </c>
      <c r="AI56" s="314"/>
      <c r="AJ56" s="209" t="str">
        <f t="shared" si="16"/>
        <v/>
      </c>
      <c r="AK56" s="413"/>
      <c r="AL56" s="210">
        <f t="shared" si="3"/>
        <v>47</v>
      </c>
      <c r="AM56" s="516"/>
      <c r="AN56" s="517"/>
      <c r="AO56" s="517"/>
      <c r="AP56" s="517"/>
      <c r="AQ56" s="517"/>
      <c r="AR56" s="517"/>
      <c r="AS56" s="517"/>
      <c r="AT56" s="517"/>
      <c r="AU56" s="517"/>
      <c r="AV56" s="517"/>
      <c r="AW56" s="518"/>
    </row>
    <row r="57" spans="1:49" ht="14">
      <c r="A57" s="208">
        <f t="shared" si="15"/>
        <v>48</v>
      </c>
      <c r="B57" s="8"/>
      <c r="C57" s="8"/>
      <c r="D57" s="16"/>
      <c r="E57" s="417"/>
      <c r="F57" s="194"/>
      <c r="G57" s="194"/>
      <c r="H57" s="195"/>
      <c r="I57" s="194"/>
      <c r="J57" s="194"/>
      <c r="K57" s="196"/>
      <c r="L57" s="7"/>
      <c r="M57" s="400">
        <f>IF($L57&gt;0,(VLOOKUP($AJ57,'LOCK_ME_Page 6_Rate Table'!$D$45:$E$62,2,FALSE)),0)</f>
        <v>0</v>
      </c>
      <c r="N57" s="344"/>
      <c r="O57" s="400">
        <f t="shared" si="4"/>
        <v>0</v>
      </c>
      <c r="P57" s="400">
        <f t="shared" si="5"/>
        <v>0</v>
      </c>
      <c r="Q57" s="400">
        <f>'Page 4'!Q59</f>
        <v>0</v>
      </c>
      <c r="R57" s="400">
        <f>'Page 4'!T59</f>
        <v>0</v>
      </c>
      <c r="S57" s="451"/>
      <c r="T57" s="400">
        <f t="shared" si="6"/>
        <v>0</v>
      </c>
      <c r="U57" s="403">
        <f t="shared" si="7"/>
        <v>0</v>
      </c>
      <c r="V57" s="402">
        <f t="shared" si="8"/>
        <v>0</v>
      </c>
      <c r="W57" s="404">
        <f>IF(NOT($V57=0),$V57/$V$9*'Page 2'!$E$12,0)</f>
        <v>0</v>
      </c>
      <c r="X57" s="404">
        <f>IF(NOT($V57=0),$V57/$V$9*('Page 2'!$E$14)+'Page 2'!$E$15/'Page 1'!$C$15,0)</f>
        <v>0</v>
      </c>
      <c r="Y57" s="404">
        <f>IF(NOT($V57=0),$V57/$V$9*('Page 2'!$E$22+'Page 2'!$E$23)+'Page 2'!$E$24/'Page 1'!$C$15,0)</f>
        <v>0</v>
      </c>
      <c r="Z57" s="344"/>
      <c r="AA57" s="344"/>
      <c r="AB57" s="404">
        <f t="shared" si="9"/>
        <v>0</v>
      </c>
      <c r="AC57" s="404">
        <f t="shared" si="10"/>
        <v>0</v>
      </c>
      <c r="AD57" s="399">
        <f t="shared" si="17"/>
        <v>0</v>
      </c>
      <c r="AE57" s="399">
        <f t="shared" si="18"/>
        <v>0</v>
      </c>
      <c r="AF57" s="404">
        <f t="shared" si="12"/>
        <v>0</v>
      </c>
      <c r="AG57" s="404">
        <f t="shared" si="13"/>
        <v>0</v>
      </c>
      <c r="AH57" s="404">
        <f t="shared" si="14"/>
        <v>0</v>
      </c>
      <c r="AI57" s="314"/>
      <c r="AJ57" s="209" t="str">
        <f t="shared" si="16"/>
        <v/>
      </c>
      <c r="AK57" s="413"/>
      <c r="AL57" s="210">
        <f t="shared" si="3"/>
        <v>48</v>
      </c>
      <c r="AM57" s="516"/>
      <c r="AN57" s="517"/>
      <c r="AO57" s="517"/>
      <c r="AP57" s="517"/>
      <c r="AQ57" s="517"/>
      <c r="AR57" s="517"/>
      <c r="AS57" s="517"/>
      <c r="AT57" s="517"/>
      <c r="AU57" s="517"/>
      <c r="AV57" s="517"/>
      <c r="AW57" s="518"/>
    </row>
    <row r="58" spans="1:49" ht="14">
      <c r="A58" s="208">
        <f t="shared" si="15"/>
        <v>49</v>
      </c>
      <c r="B58" s="8"/>
      <c r="C58" s="8"/>
      <c r="D58" s="16"/>
      <c r="E58" s="417"/>
      <c r="F58" s="194"/>
      <c r="G58" s="194"/>
      <c r="H58" s="195"/>
      <c r="I58" s="194"/>
      <c r="J58" s="194"/>
      <c r="K58" s="196"/>
      <c r="L58" s="7"/>
      <c r="M58" s="400">
        <f>IF($L58&gt;0,(VLOOKUP($AJ58,'LOCK_ME_Page 6_Rate Table'!$D$45:$E$62,2,FALSE)),0)</f>
        <v>0</v>
      </c>
      <c r="N58" s="344"/>
      <c r="O58" s="400">
        <f t="shared" si="4"/>
        <v>0</v>
      </c>
      <c r="P58" s="400">
        <f t="shared" si="5"/>
        <v>0</v>
      </c>
      <c r="Q58" s="400">
        <f>'Page 4'!Q60</f>
        <v>0</v>
      </c>
      <c r="R58" s="400">
        <f>'Page 4'!T60</f>
        <v>0</v>
      </c>
      <c r="S58" s="451"/>
      <c r="T58" s="400">
        <f t="shared" si="6"/>
        <v>0</v>
      </c>
      <c r="U58" s="403">
        <f t="shared" si="7"/>
        <v>0</v>
      </c>
      <c r="V58" s="402">
        <f t="shared" si="8"/>
        <v>0</v>
      </c>
      <c r="W58" s="404">
        <f>IF(NOT($V58=0),$V58/$V$9*'Page 2'!$E$12,0)</f>
        <v>0</v>
      </c>
      <c r="X58" s="404">
        <f>IF(NOT($V58=0),$V58/$V$9*('Page 2'!$E$14)+'Page 2'!$E$15/'Page 1'!$C$15,0)</f>
        <v>0</v>
      </c>
      <c r="Y58" s="404">
        <f>IF(NOT($V58=0),$V58/$V$9*('Page 2'!$E$22+'Page 2'!$E$23)+'Page 2'!$E$24/'Page 1'!$C$15,0)</f>
        <v>0</v>
      </c>
      <c r="Z58" s="344"/>
      <c r="AA58" s="344"/>
      <c r="AB58" s="404">
        <f t="shared" si="9"/>
        <v>0</v>
      </c>
      <c r="AC58" s="404">
        <f t="shared" si="10"/>
        <v>0</v>
      </c>
      <c r="AD58" s="399">
        <f t="shared" si="17"/>
        <v>0</v>
      </c>
      <c r="AE58" s="399">
        <f t="shared" si="18"/>
        <v>0</v>
      </c>
      <c r="AF58" s="404">
        <f t="shared" si="12"/>
        <v>0</v>
      </c>
      <c r="AG58" s="404">
        <f t="shared" si="13"/>
        <v>0</v>
      </c>
      <c r="AH58" s="404">
        <f t="shared" si="14"/>
        <v>0</v>
      </c>
      <c r="AI58" s="314"/>
      <c r="AJ58" s="209" t="str">
        <f t="shared" si="16"/>
        <v/>
      </c>
      <c r="AK58" s="413"/>
      <c r="AL58" s="210">
        <f t="shared" si="3"/>
        <v>49</v>
      </c>
      <c r="AM58" s="516"/>
      <c r="AN58" s="517"/>
      <c r="AO58" s="517"/>
      <c r="AP58" s="517"/>
      <c r="AQ58" s="517"/>
      <c r="AR58" s="517"/>
      <c r="AS58" s="517"/>
      <c r="AT58" s="517"/>
      <c r="AU58" s="517"/>
      <c r="AV58" s="517"/>
      <c r="AW58" s="518"/>
    </row>
    <row r="59" spans="1:49" ht="14">
      <c r="A59" s="208">
        <f t="shared" si="15"/>
        <v>50</v>
      </c>
      <c r="B59" s="8"/>
      <c r="C59" s="8"/>
      <c r="D59" s="16"/>
      <c r="E59" s="417"/>
      <c r="F59" s="194"/>
      <c r="G59" s="194"/>
      <c r="H59" s="195"/>
      <c r="I59" s="194"/>
      <c r="J59" s="194"/>
      <c r="K59" s="196"/>
      <c r="L59" s="7"/>
      <c r="M59" s="400">
        <f>IF($L59&gt;0,(VLOOKUP($AJ59,'LOCK_ME_Page 6_Rate Table'!$D$45:$E$62,2,FALSE)),0)</f>
        <v>0</v>
      </c>
      <c r="N59" s="344"/>
      <c r="O59" s="400">
        <f t="shared" si="4"/>
        <v>0</v>
      </c>
      <c r="P59" s="400">
        <f t="shared" si="5"/>
        <v>0</v>
      </c>
      <c r="Q59" s="400">
        <f>'Page 4'!Q61</f>
        <v>0</v>
      </c>
      <c r="R59" s="400">
        <f>'Page 4'!T61</f>
        <v>0</v>
      </c>
      <c r="S59" s="451"/>
      <c r="T59" s="400">
        <f t="shared" si="6"/>
        <v>0</v>
      </c>
      <c r="U59" s="403">
        <f t="shared" si="7"/>
        <v>0</v>
      </c>
      <c r="V59" s="402">
        <f t="shared" si="8"/>
        <v>0</v>
      </c>
      <c r="W59" s="404">
        <f>IF(NOT($V59=0),$V59/$V$9*'Page 2'!$E$12,0)</f>
        <v>0</v>
      </c>
      <c r="X59" s="404">
        <f>IF(NOT($V59=0),$V59/$V$9*('Page 2'!$E$14)+'Page 2'!$E$15/'Page 1'!$C$15,0)</f>
        <v>0</v>
      </c>
      <c r="Y59" s="404">
        <f>IF(NOT($V59=0),$V59/$V$9*('Page 2'!$E$22+'Page 2'!$E$23)+'Page 2'!$E$24/'Page 1'!$C$15,0)</f>
        <v>0</v>
      </c>
      <c r="Z59" s="344"/>
      <c r="AA59" s="344"/>
      <c r="AB59" s="404">
        <f t="shared" si="9"/>
        <v>0</v>
      </c>
      <c r="AC59" s="404">
        <f t="shared" si="10"/>
        <v>0</v>
      </c>
      <c r="AD59" s="399">
        <f t="shared" si="17"/>
        <v>0</v>
      </c>
      <c r="AE59" s="399">
        <f t="shared" si="18"/>
        <v>0</v>
      </c>
      <c r="AF59" s="404">
        <f t="shared" si="12"/>
        <v>0</v>
      </c>
      <c r="AG59" s="404">
        <f t="shared" si="13"/>
        <v>0</v>
      </c>
      <c r="AH59" s="404">
        <f t="shared" si="14"/>
        <v>0</v>
      </c>
      <c r="AI59" s="314"/>
      <c r="AJ59" s="209" t="str">
        <f t="shared" si="16"/>
        <v/>
      </c>
      <c r="AK59" s="413"/>
      <c r="AL59" s="210">
        <f t="shared" si="3"/>
        <v>50</v>
      </c>
      <c r="AM59" s="516"/>
      <c r="AN59" s="517"/>
      <c r="AO59" s="517"/>
      <c r="AP59" s="517"/>
      <c r="AQ59" s="517"/>
      <c r="AR59" s="517"/>
      <c r="AS59" s="517"/>
      <c r="AT59" s="517"/>
      <c r="AU59" s="517"/>
      <c r="AV59" s="517"/>
      <c r="AW59" s="518"/>
    </row>
    <row r="60" spans="1:49" ht="14">
      <c r="A60" s="203" t="s">
        <v>207</v>
      </c>
      <c r="B60" s="204"/>
      <c r="C60" s="204"/>
      <c r="D60" s="204"/>
      <c r="E60" s="204"/>
      <c r="F60" s="204"/>
      <c r="G60" s="204"/>
      <c r="H60" s="204"/>
      <c r="I60" s="204"/>
      <c r="J60" s="204"/>
      <c r="K60" s="204"/>
      <c r="L60" s="211"/>
      <c r="M60" s="205">
        <f>SUM(M10:M59)</f>
        <v>0</v>
      </c>
      <c r="N60" s="205">
        <f>SUM(N10:N59)</f>
        <v>0</v>
      </c>
      <c r="O60" s="205">
        <f>SUM(O10:O59)</f>
        <v>0</v>
      </c>
      <c r="P60" s="205">
        <f>SUM(P10:P59)</f>
        <v>0</v>
      </c>
      <c r="Q60" s="205">
        <f t="shared" ref="Q60:AH60" si="19">SUM(Q10:Q59)</f>
        <v>0</v>
      </c>
      <c r="R60" s="205">
        <f t="shared" si="19"/>
        <v>0</v>
      </c>
      <c r="S60" s="205">
        <f t="shared" si="19"/>
        <v>0</v>
      </c>
      <c r="T60" s="205">
        <f t="shared" si="19"/>
        <v>0</v>
      </c>
      <c r="U60" s="205">
        <f t="shared" si="19"/>
        <v>0</v>
      </c>
      <c r="V60" s="371">
        <f t="shared" si="19"/>
        <v>0</v>
      </c>
      <c r="W60" s="371">
        <f t="shared" si="19"/>
        <v>0</v>
      </c>
      <c r="X60" s="371">
        <f t="shared" si="19"/>
        <v>0</v>
      </c>
      <c r="Y60" s="371">
        <f t="shared" si="19"/>
        <v>0</v>
      </c>
      <c r="Z60" s="371">
        <f>SUM(Z10:Z59)</f>
        <v>0</v>
      </c>
      <c r="AA60" s="371">
        <f>SUM(AA10:AA59)</f>
        <v>-190.75</v>
      </c>
      <c r="AB60" s="371">
        <f t="shared" si="19"/>
        <v>-190.75</v>
      </c>
      <c r="AC60" s="371">
        <f t="shared" si="19"/>
        <v>22597.640160324481</v>
      </c>
      <c r="AD60" s="371">
        <f t="shared" si="19"/>
        <v>-190.75</v>
      </c>
      <c r="AE60" s="371">
        <f t="shared" si="19"/>
        <v>22597.640160324481</v>
      </c>
      <c r="AF60" s="371">
        <f t="shared" si="19"/>
        <v>0</v>
      </c>
      <c r="AG60" s="371">
        <f t="shared" si="19"/>
        <v>0</v>
      </c>
      <c r="AH60" s="371">
        <f t="shared" si="19"/>
        <v>-190.75</v>
      </c>
      <c r="AI60" s="313">
        <f>SUM(AI10:AI59)</f>
        <v>0</v>
      </c>
      <c r="AJ60" s="206"/>
      <c r="AK60" s="206"/>
      <c r="AL60" s="207"/>
      <c r="AM60" s="528"/>
      <c r="AN60" s="529"/>
      <c r="AO60" s="529"/>
      <c r="AP60" s="529"/>
      <c r="AQ60" s="529"/>
      <c r="AR60" s="529"/>
      <c r="AS60" s="529"/>
      <c r="AT60" s="529"/>
      <c r="AU60" s="529"/>
      <c r="AV60" s="529"/>
      <c r="AW60" s="530"/>
    </row>
  </sheetData>
  <sheetProtection password="C8F7" sheet="1" objects="1" scenarios="1" autoFilter="0"/>
  <mergeCells count="58">
    <mergeCell ref="AM26:AW26"/>
    <mergeCell ref="AM27:AW27"/>
    <mergeCell ref="AM24:AW24"/>
    <mergeCell ref="AM25:AW25"/>
    <mergeCell ref="AM22:AW22"/>
    <mergeCell ref="AM23:AW23"/>
    <mergeCell ref="AM59:AW59"/>
    <mergeCell ref="AM60:AW60"/>
    <mergeCell ref="AM30:AW30"/>
    <mergeCell ref="AM28:AW28"/>
    <mergeCell ref="AM29:AW29"/>
    <mergeCell ref="AM31:AW31"/>
    <mergeCell ref="AM32:AW32"/>
    <mergeCell ref="AM33:AW33"/>
    <mergeCell ref="AM34:AW34"/>
    <mergeCell ref="AM35:AW35"/>
    <mergeCell ref="AM36:AW36"/>
    <mergeCell ref="AM37:AW37"/>
    <mergeCell ref="AM38:AW38"/>
    <mergeCell ref="AM39:AW39"/>
    <mergeCell ref="AM40:AW40"/>
    <mergeCell ref="AM41:AW41"/>
    <mergeCell ref="AM21:AW21"/>
    <mergeCell ref="AM18:AW18"/>
    <mergeCell ref="AM19:AW19"/>
    <mergeCell ref="AM16:AW16"/>
    <mergeCell ref="AM17:AW17"/>
    <mergeCell ref="AM20:AW20"/>
    <mergeCell ref="AM8:AW8"/>
    <mergeCell ref="AM9:AW9"/>
    <mergeCell ref="AM14:AW14"/>
    <mergeCell ref="AM15:AW15"/>
    <mergeCell ref="AM12:AW12"/>
    <mergeCell ref="AM13:AW13"/>
    <mergeCell ref="AM10:AW10"/>
    <mergeCell ref="AM11:AW11"/>
    <mergeCell ref="AF6:AH6"/>
    <mergeCell ref="AF7:AH7"/>
    <mergeCell ref="M7:V7"/>
    <mergeCell ref="W7:AC7"/>
    <mergeCell ref="AD7:AE7"/>
    <mergeCell ref="AM42:AW42"/>
    <mergeCell ref="AM43:AW43"/>
    <mergeCell ref="AM44:AW44"/>
    <mergeCell ref="AM45:AW45"/>
    <mergeCell ref="AM46:AW46"/>
    <mergeCell ref="AM47:AW47"/>
    <mergeCell ref="AM48:AW48"/>
    <mergeCell ref="AM49:AW49"/>
    <mergeCell ref="AM50:AW50"/>
    <mergeCell ref="AM51:AW51"/>
    <mergeCell ref="AM57:AW57"/>
    <mergeCell ref="AM58:AW58"/>
    <mergeCell ref="AM52:AW52"/>
    <mergeCell ref="AM53:AW53"/>
    <mergeCell ref="AM54:AW54"/>
    <mergeCell ref="AM55:AW55"/>
    <mergeCell ref="AM56:AW56"/>
  </mergeCells>
  <conditionalFormatting sqref="O10">
    <cfRule type="expression" dxfId="6" priority="7">
      <formula>$N10&gt;0</formula>
    </cfRule>
  </conditionalFormatting>
  <conditionalFormatting sqref="O11:O59">
    <cfRule type="expression" dxfId="5" priority="5">
      <formula>$N11&gt;0</formula>
    </cfRule>
  </conditionalFormatting>
  <conditionalFormatting sqref="N10:N59 S10:S59 Z10:AA59">
    <cfRule type="cellIs" dxfId="4" priority="11" operator="lessThan">
      <formula>0</formula>
    </cfRule>
    <cfRule type="cellIs" dxfId="3" priority="12" operator="greaterThan">
      <formula>0</formula>
    </cfRule>
  </conditionalFormatting>
  <dataValidations count="2">
    <dataValidation type="list" allowBlank="1" showInputMessage="1" showErrorMessage="1" sqref="L10:L59">
      <formula1>Level</formula1>
    </dataValidation>
    <dataValidation type="list" allowBlank="1" showInputMessage="1" showErrorMessage="1" sqref="K10:K59">
      <formula1>"Under 65, Over 65"</formula1>
    </dataValidation>
  </dataValidations>
  <pageMargins left="0" right="0" top="0" bottom="0" header="0.3" footer="0.3"/>
  <headerFooter>
    <oddFooter>&amp;L&amp;F  
Tab: &amp;A&amp;CPrinted at: &amp;D&amp;T&amp;RPage &amp;P of Pages &amp;N</oddFooter>
  </headerFooter>
  <colBreaks count="1" manualBreakCount="1">
    <brk id="22" max="59" man="1"/>
  </colBreak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AA62"/>
  <sheetViews>
    <sheetView showGridLines="0" workbookViewId="0">
      <pane xSplit="3" ySplit="11" topLeftCell="D12" activePane="bottomRight" state="frozen"/>
      <selection activeCell="C13" sqref="C13:E13"/>
      <selection pane="topRight" activeCell="C13" sqref="C13:E13"/>
      <selection pane="bottomLeft" activeCell="C13" sqref="C13:E13"/>
      <selection pane="bottomRight" activeCell="B22" sqref="B22"/>
    </sheetView>
  </sheetViews>
  <sheetFormatPr baseColWidth="10" defaultColWidth="9.1640625" defaultRowHeight="12" outlineLevelCol="1" x14ac:dyDescent="0"/>
  <cols>
    <col min="1" max="1" width="7.1640625" style="18" customWidth="1"/>
    <col min="2" max="2" width="30" style="18" customWidth="1"/>
    <col min="3" max="3" width="29.5" style="18" customWidth="1"/>
    <col min="4" max="4" width="8" style="18" customWidth="1"/>
    <col min="5" max="5" width="7.1640625" style="18" customWidth="1"/>
    <col min="6" max="7" width="11.5" style="18" customWidth="1"/>
    <col min="8" max="8" width="10.1640625" style="18" customWidth="1"/>
    <col min="9" max="9" width="11.1640625" style="18" customWidth="1"/>
    <col min="10" max="10" width="12" style="18" customWidth="1"/>
    <col min="11" max="11" width="9" style="18" customWidth="1"/>
    <col min="12" max="12" width="11.5" style="18" customWidth="1"/>
    <col min="13" max="13" width="10.6640625" style="18" customWidth="1"/>
    <col min="14" max="14" width="10" style="18" customWidth="1"/>
    <col min="15" max="15" width="11.5" style="18" customWidth="1"/>
    <col min="16" max="16" width="11.83203125" style="18" customWidth="1"/>
    <col min="17" max="18" width="12.83203125" style="18" customWidth="1"/>
    <col min="19" max="19" width="3.6640625" style="267" customWidth="1"/>
    <col min="20" max="20" width="12.6640625" style="18" customWidth="1"/>
    <col min="21" max="21" width="10.83203125" style="22" customWidth="1"/>
    <col min="22" max="22" width="12.83203125" style="162" hidden="1" customWidth="1" outlineLevel="1"/>
    <col min="23" max="23" width="15.33203125" style="315" hidden="1" customWidth="1" outlineLevel="1"/>
    <col min="24" max="26" width="17.1640625" style="315" hidden="1" customWidth="1" outlineLevel="1"/>
    <col min="27" max="27" width="9.1640625" style="18" collapsed="1"/>
    <col min="28" max="16384" width="9.1640625" style="18"/>
  </cols>
  <sheetData>
    <row r="1" spans="1:26" ht="14">
      <c r="A1" s="513" t="str">
        <f>Instructions!A3</f>
        <v>Funding Template Version of V3Feb11</v>
      </c>
      <c r="B1" s="513"/>
      <c r="C1" s="513"/>
      <c r="D1" s="513"/>
      <c r="E1" s="513"/>
      <c r="F1" s="513"/>
      <c r="G1" s="513"/>
      <c r="H1" s="513"/>
      <c r="I1" s="513"/>
      <c r="J1" s="513"/>
      <c r="K1" s="513"/>
      <c r="L1" s="513"/>
      <c r="M1" s="513"/>
      <c r="N1" s="513"/>
      <c r="O1" s="513"/>
      <c r="P1" s="513"/>
      <c r="Q1" s="513"/>
      <c r="R1" s="513"/>
      <c r="S1" s="513"/>
      <c r="T1" s="513"/>
    </row>
    <row r="2" spans="1:26" ht="21">
      <c r="A2" s="466" t="str">
        <f>Instructions!A4</f>
        <v>Funding Template - Shared Living</v>
      </c>
      <c r="B2" s="466"/>
      <c r="C2" s="466"/>
      <c r="D2" s="466"/>
      <c r="E2" s="466"/>
      <c r="F2" s="466"/>
      <c r="G2" s="466"/>
      <c r="H2" s="466"/>
      <c r="I2" s="466"/>
      <c r="J2" s="466"/>
      <c r="K2" s="466"/>
      <c r="L2" s="466"/>
      <c r="M2" s="466"/>
      <c r="N2" s="466"/>
      <c r="O2" s="466"/>
      <c r="P2" s="466"/>
      <c r="Q2" s="466"/>
      <c r="R2" s="466"/>
      <c r="S2" s="466"/>
      <c r="T2" s="466"/>
      <c r="U2" s="268"/>
      <c r="V2" s="333"/>
    </row>
    <row r="3" spans="1:26" ht="16">
      <c r="A3" s="477" t="s">
        <v>234</v>
      </c>
      <c r="B3" s="477"/>
      <c r="C3" s="477"/>
      <c r="D3" s="477"/>
      <c r="E3" s="477"/>
      <c r="F3" s="477"/>
      <c r="G3" s="477"/>
      <c r="H3" s="477"/>
      <c r="I3" s="477"/>
      <c r="J3" s="477"/>
      <c r="K3" s="477"/>
      <c r="L3" s="477"/>
      <c r="M3" s="477"/>
      <c r="N3" s="477"/>
      <c r="O3" s="477"/>
      <c r="P3" s="477"/>
      <c r="Q3" s="477"/>
      <c r="R3" s="477"/>
      <c r="S3" s="477"/>
      <c r="T3" s="477"/>
      <c r="U3" s="269"/>
      <c r="V3" s="334"/>
    </row>
    <row r="4" spans="1:26" s="271" customFormat="1" ht="15" customHeight="1">
      <c r="A4" s="514" t="str">
        <f>'Page 1'!C7</f>
        <v>Burnaby Associotion for Community Inclusion</v>
      </c>
      <c r="B4" s="514"/>
      <c r="C4" s="514"/>
      <c r="D4" s="514"/>
      <c r="E4" s="514"/>
      <c r="F4" s="514"/>
      <c r="G4" s="514"/>
      <c r="H4" s="514"/>
      <c r="I4" s="514"/>
      <c r="J4" s="514"/>
      <c r="K4" s="514"/>
      <c r="L4" s="514"/>
      <c r="M4" s="514"/>
      <c r="N4" s="514"/>
      <c r="O4" s="514"/>
      <c r="P4" s="514"/>
      <c r="Q4" s="514"/>
      <c r="R4" s="514"/>
      <c r="S4" s="514"/>
      <c r="T4" s="514"/>
      <c r="U4" s="270"/>
      <c r="V4" s="335"/>
      <c r="W4" s="316"/>
      <c r="X4" s="316"/>
      <c r="Y4" s="316"/>
      <c r="Z4" s="316"/>
    </row>
    <row r="5" spans="1:26" s="271" customFormat="1" ht="15" customHeight="1">
      <c r="A5" s="514">
        <f>'Page 1'!C9</f>
        <v>0</v>
      </c>
      <c r="B5" s="514"/>
      <c r="C5" s="514"/>
      <c r="D5" s="514"/>
      <c r="E5" s="514"/>
      <c r="F5" s="514"/>
      <c r="G5" s="514"/>
      <c r="H5" s="514"/>
      <c r="I5" s="514"/>
      <c r="J5" s="514"/>
      <c r="K5" s="514"/>
      <c r="L5" s="514"/>
      <c r="M5" s="514"/>
      <c r="N5" s="514"/>
      <c r="O5" s="514"/>
      <c r="P5" s="514"/>
      <c r="Q5" s="514"/>
      <c r="R5" s="514"/>
      <c r="S5" s="514"/>
      <c r="T5" s="514"/>
      <c r="U5" s="270"/>
      <c r="V5" s="335"/>
      <c r="W5" s="316"/>
      <c r="X5" s="316"/>
      <c r="Y5" s="316"/>
      <c r="Z5" s="316"/>
    </row>
    <row r="6" spans="1:26" s="271" customFormat="1" ht="8" customHeight="1">
      <c r="A6" s="441"/>
      <c r="B6" s="441"/>
      <c r="C6" s="441"/>
      <c r="D6" s="441"/>
      <c r="E6" s="441"/>
      <c r="F6" s="441"/>
      <c r="G6" s="441"/>
      <c r="H6" s="441"/>
      <c r="I6" s="441"/>
      <c r="J6" s="441"/>
      <c r="K6" s="441"/>
      <c r="L6" s="441"/>
      <c r="M6" s="441"/>
      <c r="N6" s="441"/>
      <c r="O6" s="441"/>
      <c r="P6" s="441"/>
      <c r="Q6" s="441"/>
      <c r="R6" s="441"/>
      <c r="S6" s="272"/>
      <c r="T6" s="441"/>
      <c r="U6" s="270"/>
      <c r="V6" s="335"/>
      <c r="W6" s="316"/>
      <c r="X6" s="316"/>
      <c r="Y6" s="316"/>
      <c r="Z6" s="316"/>
    </row>
    <row r="7" spans="1:26" s="271" customFormat="1" ht="15" customHeight="1">
      <c r="A7" s="273" t="s">
        <v>201</v>
      </c>
      <c r="B7" s="197"/>
      <c r="C7" s="197"/>
      <c r="D7" s="197"/>
      <c r="E7" s="197"/>
      <c r="F7" s="197"/>
      <c r="G7" s="197"/>
      <c r="H7" s="197"/>
      <c r="I7" s="332"/>
      <c r="J7" s="332"/>
      <c r="K7" s="275"/>
      <c r="L7" s="275"/>
      <c r="M7" s="275"/>
      <c r="N7" s="275"/>
      <c r="O7" s="275"/>
      <c r="P7" s="197"/>
      <c r="Q7" s="197"/>
      <c r="R7" s="197"/>
      <c r="S7" s="274"/>
      <c r="T7" s="197"/>
      <c r="U7" s="275"/>
      <c r="V7" s="336"/>
      <c r="W7" s="317"/>
      <c r="X7" s="317"/>
      <c r="Y7" s="317"/>
      <c r="Z7" s="317"/>
    </row>
    <row r="8" spans="1:26" ht="7.5" customHeight="1">
      <c r="A8" s="276"/>
      <c r="B8" s="103"/>
      <c r="C8" s="103"/>
      <c r="D8" s="103"/>
      <c r="E8" s="103"/>
      <c r="F8" s="103"/>
      <c r="G8" s="103"/>
      <c r="H8" s="103"/>
      <c r="I8" s="103"/>
      <c r="J8" s="103"/>
      <c r="K8" s="103"/>
      <c r="L8" s="103"/>
      <c r="M8" s="103"/>
      <c r="N8" s="103"/>
      <c r="O8" s="103"/>
      <c r="P8" s="103"/>
      <c r="Q8" s="440"/>
      <c r="R8" s="440"/>
      <c r="S8" s="277"/>
    </row>
    <row r="9" spans="1:26" ht="16">
      <c r="A9" s="278"/>
      <c r="B9" s="22"/>
      <c r="C9" s="279"/>
      <c r="D9" s="103"/>
      <c r="E9" s="103"/>
      <c r="F9" s="534" t="s">
        <v>172</v>
      </c>
      <c r="G9" s="535"/>
      <c r="H9" s="535"/>
      <c r="I9" s="535"/>
      <c r="J9" s="536"/>
      <c r="K9" s="531" t="s">
        <v>176</v>
      </c>
      <c r="L9" s="532"/>
      <c r="M9" s="532"/>
      <c r="N9" s="532"/>
      <c r="O9" s="532"/>
      <c r="P9" s="533"/>
      <c r="Q9" s="537" t="s">
        <v>262</v>
      </c>
      <c r="R9" s="538"/>
      <c r="S9" s="538"/>
      <c r="T9" s="539"/>
    </row>
    <row r="10" spans="1:26" s="449" customFormat="1" ht="45.5" customHeight="1">
      <c r="A10" s="198" t="s">
        <v>64</v>
      </c>
      <c r="B10" s="198" t="s">
        <v>132</v>
      </c>
      <c r="C10" s="198" t="s">
        <v>248</v>
      </c>
      <c r="D10" s="198" t="s">
        <v>65</v>
      </c>
      <c r="E10" s="198" t="s">
        <v>171</v>
      </c>
      <c r="F10" s="280" t="s">
        <v>192</v>
      </c>
      <c r="G10" s="280" t="s">
        <v>193</v>
      </c>
      <c r="H10" s="280" t="s">
        <v>170</v>
      </c>
      <c r="I10" s="280" t="s">
        <v>178</v>
      </c>
      <c r="J10" s="280" t="s">
        <v>180</v>
      </c>
      <c r="K10" s="281" t="s">
        <v>177</v>
      </c>
      <c r="L10" s="281" t="s">
        <v>195</v>
      </c>
      <c r="M10" s="281" t="s">
        <v>196</v>
      </c>
      <c r="N10" s="281" t="s">
        <v>197</v>
      </c>
      <c r="O10" s="281" t="s">
        <v>179</v>
      </c>
      <c r="P10" s="281" t="s">
        <v>181</v>
      </c>
      <c r="Q10" s="201" t="s">
        <v>182</v>
      </c>
      <c r="R10" s="201" t="s">
        <v>198</v>
      </c>
      <c r="S10" s="282"/>
      <c r="T10" s="201" t="s">
        <v>183</v>
      </c>
      <c r="U10" s="283"/>
      <c r="V10" s="343" t="s">
        <v>219</v>
      </c>
      <c r="W10" s="327" t="s">
        <v>217</v>
      </c>
      <c r="X10" s="327" t="s">
        <v>218</v>
      </c>
      <c r="Y10" s="327" t="s">
        <v>251</v>
      </c>
      <c r="Z10" s="327" t="s">
        <v>295</v>
      </c>
    </row>
    <row r="11" spans="1:26" s="70" customFormat="1" ht="14">
      <c r="A11" s="203" t="s">
        <v>209</v>
      </c>
      <c r="B11" s="204"/>
      <c r="C11" s="204"/>
      <c r="D11" s="284"/>
      <c r="E11" s="284"/>
      <c r="F11" s="285">
        <f>SUMIF($R$12:$R$61,"&gt;0",F$12:F$61)</f>
        <v>0</v>
      </c>
      <c r="G11" s="285">
        <f>F11*12</f>
        <v>0</v>
      </c>
      <c r="H11" s="286" t="s">
        <v>194</v>
      </c>
      <c r="I11" s="287">
        <f>SUMIF($R$12:$R$61,"&gt;0",I$12:I$61)</f>
        <v>0</v>
      </c>
      <c r="J11" s="287">
        <f>SUMIF($R$12:$R$61,"&gt;0",J$12:J$61)</f>
        <v>0</v>
      </c>
      <c r="K11" s="288">
        <f>SUMIF($R$12:$R$61,"&gt;0",K$12:K$61)</f>
        <v>0</v>
      </c>
      <c r="L11" s="285">
        <f>SUMIF($R$12:$R$61,"&gt;0",L$12:L$61)</f>
        <v>0</v>
      </c>
      <c r="M11" s="285">
        <f>L11*12</f>
        <v>0</v>
      </c>
      <c r="N11" s="286" t="s">
        <v>194</v>
      </c>
      <c r="O11" s="287">
        <f>SUMIF($R$12:$R$61,"&gt;0",O$12:O$61)</f>
        <v>0</v>
      </c>
      <c r="P11" s="287">
        <f>SUMIF($R$12:$R$61,"&gt;0",P$12:P$61)</f>
        <v>0</v>
      </c>
      <c r="Q11" s="287">
        <f>SUM(Q12:Q61)</f>
        <v>0</v>
      </c>
      <c r="R11" s="286" t="s">
        <v>194</v>
      </c>
      <c r="S11" s="289"/>
      <c r="T11" s="287">
        <f t="shared" ref="T11" si="0">SUM(T12:T61)</f>
        <v>0</v>
      </c>
      <c r="U11" s="290"/>
      <c r="V11" s="338"/>
      <c r="W11" s="328"/>
      <c r="X11" s="328"/>
      <c r="Y11" s="328"/>
      <c r="Z11" s="328"/>
    </row>
    <row r="12" spans="1:26" ht="14">
      <c r="A12" s="208">
        <v>1</v>
      </c>
      <c r="B12" s="9" t="str">
        <f>CONCATENATE('Page 3'!C10," ",'Page 3'!B10)</f>
        <v xml:space="preserve"> aasdfawef</v>
      </c>
      <c r="C12" s="20" t="str">
        <f>CONCATENATE('Page 3'!J10," ",'Page 3'!I10)</f>
        <v xml:space="preserve"> </v>
      </c>
      <c r="D12" s="291">
        <f>'Page 3'!L10</f>
        <v>0</v>
      </c>
      <c r="E12" s="264"/>
      <c r="F12" s="265"/>
      <c r="G12" s="292">
        <f>ROUND(F12,2)*12</f>
        <v>0</v>
      </c>
      <c r="H12" s="458">
        <f>IF($F12&gt;0,(VLOOKUP($D12,'LOCK_ME_Page 6_Rate Table'!$B$74:$C$81,2,FALSE)),0)</f>
        <v>0</v>
      </c>
      <c r="I12" s="293">
        <f>H12*F12</f>
        <v>0</v>
      </c>
      <c r="J12" s="293">
        <f>ROUND(I12,2)*12</f>
        <v>0</v>
      </c>
      <c r="K12" s="266"/>
      <c r="L12" s="294">
        <f>ROUND(K12*52.25/12,2)</f>
        <v>0</v>
      </c>
      <c r="M12" s="294">
        <f>ROUND(L12,2)*12</f>
        <v>0</v>
      </c>
      <c r="N12" s="346"/>
      <c r="O12" s="295">
        <f>K12*N12*52.25/12</f>
        <v>0</v>
      </c>
      <c r="P12" s="295">
        <f>ROUND(O12,2)*12</f>
        <v>0</v>
      </c>
      <c r="Q12" s="296">
        <f>IF(R12&gt;0,(I12+O12),0)</f>
        <v>0</v>
      </c>
      <c r="R12" s="297">
        <f>SUMIF('LOCK_ME_Page 6_Rate Table'!$D$84:$D$108,$V12,'LOCK_ME_Page 6_Rate Table'!$G$84:$G$108)</f>
        <v>0</v>
      </c>
      <c r="S12" s="298"/>
      <c r="T12" s="296">
        <f>IF(R12&gt;0,J12+P12,0)</f>
        <v>0</v>
      </c>
      <c r="U12" s="299" t="str">
        <f>IF($Q12&gt;$R12,"Your request for this individual is over the MAXIMUM funding. Please re-enter."," ")</f>
        <v xml:space="preserve"> </v>
      </c>
      <c r="V12" s="337" t="str">
        <f>CONCATENATE(D12,E12)</f>
        <v>0</v>
      </c>
      <c r="W12" s="329">
        <f>SUMIF('LOCK_ME_Page 6_Rate Table'!$D$84:$D$108,'Page 4'!$V12,'LOCK_ME_Page 6_Rate Table'!E$84:E$108)</f>
        <v>0</v>
      </c>
      <c r="X12" s="329">
        <f>SUMIF('LOCK_ME_Page 6_Rate Table'!$D$84:$D$108,'Page 4'!$V12,'LOCK_ME_Page 6_Rate Table'!F$84:F$108)</f>
        <v>0</v>
      </c>
      <c r="Y12" s="329">
        <f>SUMIF('LOCK_ME_Page 6_Rate Table'!$B$45:$B$53,'Page 4'!$D12,'LOCK_ME_Page 6_Rate Table'!$F$45:$F$53)</f>
        <v>0</v>
      </c>
      <c r="Z12" s="457">
        <f>IF($F12&gt;0,(VLOOKUP($D12,'LOCK_ME_Page 6_Rate Table'!$B$74:$C$81,2,FALSE)),0)</f>
        <v>0</v>
      </c>
    </row>
    <row r="13" spans="1:26" ht="14">
      <c r="A13" s="208">
        <f>A12+1</f>
        <v>2</v>
      </c>
      <c r="B13" s="9" t="str">
        <f>CONCATENATE('Page 3'!C11," ",'Page 3'!B11)</f>
        <v xml:space="preserve"> asdfasdf</v>
      </c>
      <c r="C13" s="20" t="str">
        <f>CONCATENATE('Page 3'!J11," ",'Page 3'!I11)</f>
        <v xml:space="preserve"> </v>
      </c>
      <c r="D13" s="291">
        <f>'Page 3'!L11</f>
        <v>0</v>
      </c>
      <c r="E13" s="264"/>
      <c r="F13" s="265"/>
      <c r="G13" s="292">
        <f t="shared" ref="G13:G61" si="1">ROUND(F13,2)*12</f>
        <v>0</v>
      </c>
      <c r="H13" s="458">
        <f>IF($F13&gt;0,(VLOOKUP($D13,'LOCK_ME_Page 6_Rate Table'!$B$74:$C$81,2,FALSE)),0)</f>
        <v>0</v>
      </c>
      <c r="I13" s="300">
        <f t="shared" ref="I13:I43" si="2">H13*F13</f>
        <v>0</v>
      </c>
      <c r="J13" s="300">
        <f t="shared" ref="J13:J61" si="3">ROUND(I13,2)*12</f>
        <v>0</v>
      </c>
      <c r="K13" s="266"/>
      <c r="L13" s="294">
        <f t="shared" ref="L13:L61" si="4">ROUND(K13*52.25/12,2)</f>
        <v>0</v>
      </c>
      <c r="M13" s="294">
        <f t="shared" ref="M13:M61" si="5">ROUND(L13,2)*12</f>
        <v>0</v>
      </c>
      <c r="N13" s="346"/>
      <c r="O13" s="301">
        <f t="shared" ref="O13:O61" si="6">K13*N13*52.25/12</f>
        <v>0</v>
      </c>
      <c r="P13" s="301">
        <f t="shared" ref="P13:P61" si="7">ROUND(O13,2)*12</f>
        <v>0</v>
      </c>
      <c r="Q13" s="296">
        <f t="shared" ref="Q13:Q61" si="8">IF(R13&gt;0,(I13+O13),0)</f>
        <v>0</v>
      </c>
      <c r="R13" s="297">
        <f>SUMIF('LOCK_ME_Page 6_Rate Table'!$D$84:$D$108,$V13,'LOCK_ME_Page 6_Rate Table'!$G$84:$G$108)</f>
        <v>0</v>
      </c>
      <c r="S13" s="298"/>
      <c r="T13" s="296">
        <f>IF(R13&gt;0,J13+P13,0)</f>
        <v>0</v>
      </c>
      <c r="U13" s="299" t="str">
        <f t="shared" ref="U13:U61" si="9">IF($Q13&gt;$R13,"Your request for this individual is over the MAXIMUM funding. Please re-enter."," ")</f>
        <v xml:space="preserve"> </v>
      </c>
      <c r="V13" s="337" t="str">
        <f t="shared" ref="V13:V61" si="10">CONCATENATE(D13,E13)</f>
        <v>0</v>
      </c>
      <c r="W13" s="329">
        <f>SUMIF('LOCK_ME_Page 6_Rate Table'!$D$84:$D$108,'Page 4'!$V13,'LOCK_ME_Page 6_Rate Table'!E$84:E$108)</f>
        <v>0</v>
      </c>
      <c r="X13" s="329">
        <f>SUMIF('LOCK_ME_Page 6_Rate Table'!$D$84:$D$108,'Page 4'!$V13,'LOCK_ME_Page 6_Rate Table'!F$84:F$108)</f>
        <v>0</v>
      </c>
      <c r="Y13" s="329">
        <f>SUMIF('LOCK_ME_Page 6_Rate Table'!$B$45:$B$53,'Page 4'!$D13,'LOCK_ME_Page 6_Rate Table'!$F$45:$F$53)</f>
        <v>0</v>
      </c>
      <c r="Z13" s="329">
        <f>IF($F13&gt;0,(VLOOKUP($D13,'LOCK_ME_Page 6_Rate Table'!$B$74:$C$81,2,FALSE)),0)</f>
        <v>0</v>
      </c>
    </row>
    <row r="14" spans="1:26" ht="14">
      <c r="A14" s="208">
        <f t="shared" ref="A14:A61" si="11">A13+1</f>
        <v>3</v>
      </c>
      <c r="B14" s="9" t="str">
        <f>CONCATENATE('Page 3'!C12," ",'Page 3'!B12)</f>
        <v xml:space="preserve"> asdf</v>
      </c>
      <c r="C14" s="20" t="str">
        <f>CONCATENATE('Page 3'!J12," ",'Page 3'!I12)</f>
        <v xml:space="preserve"> </v>
      </c>
      <c r="D14" s="291">
        <f>'Page 3'!L12</f>
        <v>0</v>
      </c>
      <c r="E14" s="264"/>
      <c r="F14" s="265"/>
      <c r="G14" s="292">
        <f t="shared" si="1"/>
        <v>0</v>
      </c>
      <c r="H14" s="458">
        <f>IF($F14&gt;0,(VLOOKUP($D14,'LOCK_ME_Page 6_Rate Table'!$B$74:$C$81,2,FALSE)),0)</f>
        <v>0</v>
      </c>
      <c r="I14" s="300">
        <f t="shared" si="2"/>
        <v>0</v>
      </c>
      <c r="J14" s="300">
        <f t="shared" si="3"/>
        <v>0</v>
      </c>
      <c r="K14" s="266"/>
      <c r="L14" s="294">
        <f t="shared" si="4"/>
        <v>0</v>
      </c>
      <c r="M14" s="294">
        <f t="shared" si="5"/>
        <v>0</v>
      </c>
      <c r="N14" s="346"/>
      <c r="O14" s="301">
        <f t="shared" si="6"/>
        <v>0</v>
      </c>
      <c r="P14" s="301">
        <f t="shared" si="7"/>
        <v>0</v>
      </c>
      <c r="Q14" s="296">
        <f t="shared" si="8"/>
        <v>0</v>
      </c>
      <c r="R14" s="297">
        <f>SUMIF('LOCK_ME_Page 6_Rate Table'!$D$84:$D$108,$V14,'LOCK_ME_Page 6_Rate Table'!$G$84:$G$108)</f>
        <v>0</v>
      </c>
      <c r="S14" s="298"/>
      <c r="T14" s="296">
        <f t="shared" ref="T14:T61" si="12">IF(R14&gt;0,J14+P14,0)</f>
        <v>0</v>
      </c>
      <c r="U14" s="299" t="str">
        <f t="shared" si="9"/>
        <v xml:space="preserve"> </v>
      </c>
      <c r="V14" s="337" t="str">
        <f t="shared" si="10"/>
        <v>0</v>
      </c>
      <c r="W14" s="329">
        <f>SUMIF('LOCK_ME_Page 6_Rate Table'!$D$84:$D$108,'Page 4'!$V14,'LOCK_ME_Page 6_Rate Table'!E$84:E$108)</f>
        <v>0</v>
      </c>
      <c r="X14" s="329">
        <f>SUMIF('LOCK_ME_Page 6_Rate Table'!$D$84:$D$108,'Page 4'!$V14,'LOCK_ME_Page 6_Rate Table'!F$84:F$108)</f>
        <v>0</v>
      </c>
      <c r="Y14" s="329">
        <f>SUMIF('LOCK_ME_Page 6_Rate Table'!$B$45:$B$53,'Page 4'!$D14,'LOCK_ME_Page 6_Rate Table'!$F$45:$F$53)</f>
        <v>0</v>
      </c>
      <c r="Z14" s="329">
        <f>IF($F14&gt;0,(VLOOKUP($D14,'LOCK_ME_Page 6_Rate Table'!$B$74:$C$81,2,FALSE)),0)</f>
        <v>0</v>
      </c>
    </row>
    <row r="15" spans="1:26" ht="14">
      <c r="A15" s="208">
        <f t="shared" si="11"/>
        <v>4</v>
      </c>
      <c r="B15" s="9" t="str">
        <f>CONCATENATE('Page 3'!C13," ",'Page 3'!B13)</f>
        <v xml:space="preserve"> kjh;kjhlkjh</v>
      </c>
      <c r="C15" s="20" t="str">
        <f>CONCATENATE('Page 3'!J13," ",'Page 3'!I13)</f>
        <v xml:space="preserve"> </v>
      </c>
      <c r="D15" s="291">
        <f>'Page 3'!L13</f>
        <v>0</v>
      </c>
      <c r="E15" s="264"/>
      <c r="F15" s="265"/>
      <c r="G15" s="292">
        <f t="shared" si="1"/>
        <v>0</v>
      </c>
      <c r="H15" s="458">
        <f>IF($F15&gt;0,(VLOOKUP($D15,'LOCK_ME_Page 6_Rate Table'!$B$74:$C$81,2,FALSE)),0)</f>
        <v>0</v>
      </c>
      <c r="I15" s="300">
        <f t="shared" si="2"/>
        <v>0</v>
      </c>
      <c r="J15" s="300">
        <f t="shared" si="3"/>
        <v>0</v>
      </c>
      <c r="K15" s="266"/>
      <c r="L15" s="294">
        <f t="shared" si="4"/>
        <v>0</v>
      </c>
      <c r="M15" s="294">
        <f t="shared" si="5"/>
        <v>0</v>
      </c>
      <c r="N15" s="346"/>
      <c r="O15" s="301">
        <f t="shared" si="6"/>
        <v>0</v>
      </c>
      <c r="P15" s="301">
        <f t="shared" si="7"/>
        <v>0</v>
      </c>
      <c r="Q15" s="296">
        <f t="shared" si="8"/>
        <v>0</v>
      </c>
      <c r="R15" s="297">
        <f>SUMIF('LOCK_ME_Page 6_Rate Table'!$D$84:$D$108,$V15,'LOCK_ME_Page 6_Rate Table'!$G$84:$G$108)</f>
        <v>0</v>
      </c>
      <c r="S15" s="298"/>
      <c r="T15" s="296">
        <f t="shared" si="12"/>
        <v>0</v>
      </c>
      <c r="U15" s="299" t="str">
        <f t="shared" si="9"/>
        <v xml:space="preserve"> </v>
      </c>
      <c r="V15" s="337" t="str">
        <f t="shared" si="10"/>
        <v>0</v>
      </c>
      <c r="W15" s="329">
        <f>SUMIF('LOCK_ME_Page 6_Rate Table'!$D$84:$D$108,'Page 4'!$V15,'LOCK_ME_Page 6_Rate Table'!E$84:E$108)</f>
        <v>0</v>
      </c>
      <c r="X15" s="329">
        <f>SUMIF('LOCK_ME_Page 6_Rate Table'!$D$84:$D$108,'Page 4'!$V15,'LOCK_ME_Page 6_Rate Table'!F$84:F$108)</f>
        <v>0</v>
      </c>
      <c r="Y15" s="329">
        <f>SUMIF('LOCK_ME_Page 6_Rate Table'!$B$45:$B$53,'Page 4'!$D15,'LOCK_ME_Page 6_Rate Table'!$F$45:$F$53)</f>
        <v>0</v>
      </c>
      <c r="Z15" s="329">
        <f>IF($F15&gt;0,(VLOOKUP($D15,'LOCK_ME_Page 6_Rate Table'!$B$74:$C$81,2,FALSE)),0)</f>
        <v>0</v>
      </c>
    </row>
    <row r="16" spans="1:26" ht="14">
      <c r="A16" s="208">
        <f t="shared" si="11"/>
        <v>5</v>
      </c>
      <c r="B16" s="9" t="str">
        <f>CONCATENATE('Page 3'!C14," ",'Page 3'!B14)</f>
        <v xml:space="preserve"> </v>
      </c>
      <c r="C16" s="20" t="str">
        <f>CONCATENATE('Page 3'!J14," ",'Page 3'!I14)</f>
        <v xml:space="preserve"> </v>
      </c>
      <c r="D16" s="291">
        <f>'Page 3'!L14</f>
        <v>0</v>
      </c>
      <c r="E16" s="264"/>
      <c r="F16" s="265"/>
      <c r="G16" s="292">
        <f t="shared" si="1"/>
        <v>0</v>
      </c>
      <c r="H16" s="458">
        <f>IF($F16&gt;0,(VLOOKUP($D16,'LOCK_ME_Page 6_Rate Table'!$B$74:$C$81,2,FALSE)),0)</f>
        <v>0</v>
      </c>
      <c r="I16" s="300">
        <f t="shared" si="2"/>
        <v>0</v>
      </c>
      <c r="J16" s="300">
        <f t="shared" si="3"/>
        <v>0</v>
      </c>
      <c r="K16" s="266"/>
      <c r="L16" s="294">
        <f t="shared" si="4"/>
        <v>0</v>
      </c>
      <c r="M16" s="294">
        <f t="shared" si="5"/>
        <v>0</v>
      </c>
      <c r="N16" s="346"/>
      <c r="O16" s="301">
        <f t="shared" si="6"/>
        <v>0</v>
      </c>
      <c r="P16" s="301">
        <f t="shared" si="7"/>
        <v>0</v>
      </c>
      <c r="Q16" s="296">
        <f t="shared" si="8"/>
        <v>0</v>
      </c>
      <c r="R16" s="297">
        <f>SUMIF('LOCK_ME_Page 6_Rate Table'!$D$84:$D$108,$V16,'LOCK_ME_Page 6_Rate Table'!$G$84:$G$108)</f>
        <v>0</v>
      </c>
      <c r="S16" s="298"/>
      <c r="T16" s="296">
        <f t="shared" si="12"/>
        <v>0</v>
      </c>
      <c r="U16" s="299" t="str">
        <f t="shared" si="9"/>
        <v xml:space="preserve"> </v>
      </c>
      <c r="V16" s="337" t="str">
        <f t="shared" si="10"/>
        <v>0</v>
      </c>
      <c r="W16" s="329">
        <f>SUMIF('LOCK_ME_Page 6_Rate Table'!$D$84:$D$108,'Page 4'!$V16,'LOCK_ME_Page 6_Rate Table'!E$84:E$108)</f>
        <v>0</v>
      </c>
      <c r="X16" s="329">
        <f>SUMIF('LOCK_ME_Page 6_Rate Table'!$D$84:$D$108,'Page 4'!$V16,'LOCK_ME_Page 6_Rate Table'!F$84:F$108)</f>
        <v>0</v>
      </c>
      <c r="Y16" s="329">
        <f>SUMIF('LOCK_ME_Page 6_Rate Table'!$B$45:$B$53,'Page 4'!$D16,'LOCK_ME_Page 6_Rate Table'!$F$45:$F$53)</f>
        <v>0</v>
      </c>
      <c r="Z16" s="329">
        <f>IF($F16&gt;0,(VLOOKUP($D16,'LOCK_ME_Page 6_Rate Table'!$B$74:$C$81,2,FALSE)),0)</f>
        <v>0</v>
      </c>
    </row>
    <row r="17" spans="1:26" ht="14">
      <c r="A17" s="208">
        <f t="shared" si="11"/>
        <v>6</v>
      </c>
      <c r="B17" s="9" t="str">
        <f>CONCATENATE('Page 3'!C15," ",'Page 3'!B15)</f>
        <v xml:space="preserve"> </v>
      </c>
      <c r="C17" s="20" t="str">
        <f>CONCATENATE('Page 3'!J15," ",'Page 3'!I15)</f>
        <v xml:space="preserve"> </v>
      </c>
      <c r="D17" s="291">
        <f>'Page 3'!L15</f>
        <v>0</v>
      </c>
      <c r="E17" s="264"/>
      <c r="F17" s="265"/>
      <c r="G17" s="292">
        <f t="shared" si="1"/>
        <v>0</v>
      </c>
      <c r="H17" s="458">
        <f>IF($F17&gt;0,(VLOOKUP($D17,'LOCK_ME_Page 6_Rate Table'!$B$74:$C$81,2,FALSE)),0)</f>
        <v>0</v>
      </c>
      <c r="I17" s="300">
        <f t="shared" si="2"/>
        <v>0</v>
      </c>
      <c r="J17" s="300">
        <f t="shared" si="3"/>
        <v>0</v>
      </c>
      <c r="K17" s="266"/>
      <c r="L17" s="294">
        <f t="shared" si="4"/>
        <v>0</v>
      </c>
      <c r="M17" s="294">
        <f t="shared" si="5"/>
        <v>0</v>
      </c>
      <c r="N17" s="346"/>
      <c r="O17" s="301">
        <f t="shared" si="6"/>
        <v>0</v>
      </c>
      <c r="P17" s="301">
        <f t="shared" si="7"/>
        <v>0</v>
      </c>
      <c r="Q17" s="296">
        <f t="shared" si="8"/>
        <v>0</v>
      </c>
      <c r="R17" s="297">
        <f>SUMIF('LOCK_ME_Page 6_Rate Table'!$D$84:$D$108,$V17,'LOCK_ME_Page 6_Rate Table'!$G$84:$G$108)</f>
        <v>0</v>
      </c>
      <c r="S17" s="298"/>
      <c r="T17" s="296">
        <f t="shared" si="12"/>
        <v>0</v>
      </c>
      <c r="U17" s="299" t="str">
        <f t="shared" si="9"/>
        <v xml:space="preserve"> </v>
      </c>
      <c r="V17" s="337" t="str">
        <f t="shared" si="10"/>
        <v>0</v>
      </c>
      <c r="W17" s="329">
        <f>SUMIF('LOCK_ME_Page 6_Rate Table'!$D$84:$D$108,'Page 4'!$V17,'LOCK_ME_Page 6_Rate Table'!E$84:E$108)</f>
        <v>0</v>
      </c>
      <c r="X17" s="329">
        <f>SUMIF('LOCK_ME_Page 6_Rate Table'!$D$84:$D$108,'Page 4'!$V17,'LOCK_ME_Page 6_Rate Table'!F$84:F$108)</f>
        <v>0</v>
      </c>
      <c r="Y17" s="329">
        <f>SUMIF('LOCK_ME_Page 6_Rate Table'!$B$45:$B$53,'Page 4'!$D17,'LOCK_ME_Page 6_Rate Table'!$F$45:$F$53)</f>
        <v>0</v>
      </c>
      <c r="Z17" s="329">
        <f>IF($F17&gt;0,(VLOOKUP($D17,'LOCK_ME_Page 6_Rate Table'!$B$74:$C$81,2,FALSE)),0)</f>
        <v>0</v>
      </c>
    </row>
    <row r="18" spans="1:26" ht="14">
      <c r="A18" s="208">
        <f t="shared" si="11"/>
        <v>7</v>
      </c>
      <c r="B18" s="9" t="str">
        <f>CONCATENATE('Page 3'!C16," ",'Page 3'!B16)</f>
        <v xml:space="preserve"> </v>
      </c>
      <c r="C18" s="20" t="str">
        <f>CONCATENATE('Page 3'!J16," ",'Page 3'!I16)</f>
        <v xml:space="preserve"> </v>
      </c>
      <c r="D18" s="291">
        <f>'Page 3'!L16</f>
        <v>0</v>
      </c>
      <c r="E18" s="264"/>
      <c r="F18" s="265"/>
      <c r="G18" s="292">
        <f t="shared" si="1"/>
        <v>0</v>
      </c>
      <c r="H18" s="458">
        <f>IF($F18&gt;0,(VLOOKUP($D18,'LOCK_ME_Page 6_Rate Table'!$B$74:$C$81,2,FALSE)),0)</f>
        <v>0</v>
      </c>
      <c r="I18" s="300">
        <f t="shared" si="2"/>
        <v>0</v>
      </c>
      <c r="J18" s="300">
        <f t="shared" si="3"/>
        <v>0</v>
      </c>
      <c r="K18" s="266"/>
      <c r="L18" s="294">
        <f t="shared" si="4"/>
        <v>0</v>
      </c>
      <c r="M18" s="294">
        <f t="shared" si="5"/>
        <v>0</v>
      </c>
      <c r="N18" s="346"/>
      <c r="O18" s="301">
        <f t="shared" si="6"/>
        <v>0</v>
      </c>
      <c r="P18" s="301">
        <f t="shared" si="7"/>
        <v>0</v>
      </c>
      <c r="Q18" s="296">
        <f t="shared" si="8"/>
        <v>0</v>
      </c>
      <c r="R18" s="297">
        <f>SUMIF('LOCK_ME_Page 6_Rate Table'!$D$84:$D$108,$V18,'LOCK_ME_Page 6_Rate Table'!$G$84:$G$108)</f>
        <v>0</v>
      </c>
      <c r="S18" s="298"/>
      <c r="T18" s="296">
        <f t="shared" si="12"/>
        <v>0</v>
      </c>
      <c r="U18" s="299" t="str">
        <f t="shared" si="9"/>
        <v xml:space="preserve"> </v>
      </c>
      <c r="V18" s="337" t="str">
        <f t="shared" si="10"/>
        <v>0</v>
      </c>
      <c r="W18" s="329">
        <f>SUMIF('LOCK_ME_Page 6_Rate Table'!$D$84:$D$108,'Page 4'!$V18,'LOCK_ME_Page 6_Rate Table'!E$84:E$108)</f>
        <v>0</v>
      </c>
      <c r="X18" s="329">
        <f>SUMIF('LOCK_ME_Page 6_Rate Table'!$D$84:$D$108,'Page 4'!$V18,'LOCK_ME_Page 6_Rate Table'!F$84:F$108)</f>
        <v>0</v>
      </c>
      <c r="Y18" s="329">
        <f>SUMIF('LOCK_ME_Page 6_Rate Table'!$B$45:$B$53,'Page 4'!$D18,'LOCK_ME_Page 6_Rate Table'!$F$45:$F$53)</f>
        <v>0</v>
      </c>
      <c r="Z18" s="329">
        <f>IF($F18&gt;0,(VLOOKUP($D18,'LOCK_ME_Page 6_Rate Table'!$B$74:$C$81,2,FALSE)),0)</f>
        <v>0</v>
      </c>
    </row>
    <row r="19" spans="1:26" ht="14">
      <c r="A19" s="208">
        <f t="shared" si="11"/>
        <v>8</v>
      </c>
      <c r="B19" s="9" t="str">
        <f>CONCATENATE('Page 3'!C17," ",'Page 3'!B17)</f>
        <v xml:space="preserve"> </v>
      </c>
      <c r="C19" s="20" t="str">
        <f>CONCATENATE('Page 3'!J17," ",'Page 3'!I17)</f>
        <v xml:space="preserve"> </v>
      </c>
      <c r="D19" s="291">
        <f>'Page 3'!L17</f>
        <v>0</v>
      </c>
      <c r="E19" s="264"/>
      <c r="F19" s="265"/>
      <c r="G19" s="292">
        <f t="shared" si="1"/>
        <v>0</v>
      </c>
      <c r="H19" s="458">
        <f>IF($F19&gt;0,(VLOOKUP($D19,'LOCK_ME_Page 6_Rate Table'!$B$74:$C$81,2,FALSE)),0)</f>
        <v>0</v>
      </c>
      <c r="I19" s="300">
        <f t="shared" si="2"/>
        <v>0</v>
      </c>
      <c r="J19" s="300">
        <f t="shared" si="3"/>
        <v>0</v>
      </c>
      <c r="K19" s="266"/>
      <c r="L19" s="294">
        <f t="shared" si="4"/>
        <v>0</v>
      </c>
      <c r="M19" s="294">
        <f t="shared" si="5"/>
        <v>0</v>
      </c>
      <c r="N19" s="346"/>
      <c r="O19" s="301">
        <f t="shared" si="6"/>
        <v>0</v>
      </c>
      <c r="P19" s="301">
        <f t="shared" si="7"/>
        <v>0</v>
      </c>
      <c r="Q19" s="296">
        <f t="shared" si="8"/>
        <v>0</v>
      </c>
      <c r="R19" s="297">
        <f>SUMIF('LOCK_ME_Page 6_Rate Table'!$D$84:$D$108,$V19,'LOCK_ME_Page 6_Rate Table'!$G$84:$G$108)</f>
        <v>0</v>
      </c>
      <c r="S19" s="298"/>
      <c r="T19" s="296">
        <f t="shared" si="12"/>
        <v>0</v>
      </c>
      <c r="U19" s="299" t="str">
        <f t="shared" si="9"/>
        <v xml:space="preserve"> </v>
      </c>
      <c r="V19" s="337" t="str">
        <f t="shared" si="10"/>
        <v>0</v>
      </c>
      <c r="W19" s="329">
        <f>SUMIF('LOCK_ME_Page 6_Rate Table'!$D$84:$D$108,'Page 4'!$V19,'LOCK_ME_Page 6_Rate Table'!E$84:E$108)</f>
        <v>0</v>
      </c>
      <c r="X19" s="329">
        <f>SUMIF('LOCK_ME_Page 6_Rate Table'!$D$84:$D$108,'Page 4'!$V19,'LOCK_ME_Page 6_Rate Table'!F$84:F$108)</f>
        <v>0</v>
      </c>
      <c r="Y19" s="329">
        <f>SUMIF('LOCK_ME_Page 6_Rate Table'!$B$45:$B$53,'Page 4'!$D19,'LOCK_ME_Page 6_Rate Table'!$F$45:$F$53)</f>
        <v>0</v>
      </c>
      <c r="Z19" s="329">
        <f>IF($F19&gt;0,(VLOOKUP($D19,'LOCK_ME_Page 6_Rate Table'!$B$74:$C$81,2,FALSE)),0)</f>
        <v>0</v>
      </c>
    </row>
    <row r="20" spans="1:26" ht="14">
      <c r="A20" s="208">
        <f t="shared" si="11"/>
        <v>9</v>
      </c>
      <c r="B20" s="9" t="str">
        <f>CONCATENATE('Page 3'!C18," ",'Page 3'!B18)</f>
        <v xml:space="preserve"> </v>
      </c>
      <c r="C20" s="20" t="str">
        <f>CONCATENATE('Page 3'!J18," ",'Page 3'!I18)</f>
        <v xml:space="preserve"> </v>
      </c>
      <c r="D20" s="291">
        <f>'Page 3'!L18</f>
        <v>0</v>
      </c>
      <c r="E20" s="264"/>
      <c r="F20" s="265"/>
      <c r="G20" s="292">
        <f t="shared" si="1"/>
        <v>0</v>
      </c>
      <c r="H20" s="458">
        <f>IF($F20&gt;0,(VLOOKUP($D20,'LOCK_ME_Page 6_Rate Table'!$B$74:$C$81,2,FALSE)),0)</f>
        <v>0</v>
      </c>
      <c r="I20" s="300">
        <f t="shared" si="2"/>
        <v>0</v>
      </c>
      <c r="J20" s="300">
        <f t="shared" si="3"/>
        <v>0</v>
      </c>
      <c r="K20" s="266"/>
      <c r="L20" s="294">
        <f t="shared" si="4"/>
        <v>0</v>
      </c>
      <c r="M20" s="294">
        <f t="shared" si="5"/>
        <v>0</v>
      </c>
      <c r="N20" s="346"/>
      <c r="O20" s="301">
        <f t="shared" si="6"/>
        <v>0</v>
      </c>
      <c r="P20" s="301">
        <f t="shared" si="7"/>
        <v>0</v>
      </c>
      <c r="Q20" s="296">
        <f t="shared" si="8"/>
        <v>0</v>
      </c>
      <c r="R20" s="297">
        <f>SUMIF('LOCK_ME_Page 6_Rate Table'!$D$84:$D$108,$V20,'LOCK_ME_Page 6_Rate Table'!$G$84:$G$108)</f>
        <v>0</v>
      </c>
      <c r="S20" s="298"/>
      <c r="T20" s="296">
        <f t="shared" si="12"/>
        <v>0</v>
      </c>
      <c r="U20" s="299" t="str">
        <f t="shared" si="9"/>
        <v xml:space="preserve"> </v>
      </c>
      <c r="V20" s="337" t="str">
        <f t="shared" si="10"/>
        <v>0</v>
      </c>
      <c r="W20" s="329">
        <f>SUMIF('LOCK_ME_Page 6_Rate Table'!$D$84:$D$108,'Page 4'!$V20,'LOCK_ME_Page 6_Rate Table'!E$84:E$108)</f>
        <v>0</v>
      </c>
      <c r="X20" s="329">
        <f>SUMIF('LOCK_ME_Page 6_Rate Table'!$D$84:$D$108,'Page 4'!$V20,'LOCK_ME_Page 6_Rate Table'!F$84:F$108)</f>
        <v>0</v>
      </c>
      <c r="Y20" s="329">
        <f>SUMIF('LOCK_ME_Page 6_Rate Table'!$B$45:$B$53,'Page 4'!$D20,'LOCK_ME_Page 6_Rate Table'!$F$45:$F$53)</f>
        <v>0</v>
      </c>
      <c r="Z20" s="329">
        <f>IF($F20&gt;0,(VLOOKUP($D20,'LOCK_ME_Page 6_Rate Table'!$B$74:$C$81,2,FALSE)),0)</f>
        <v>0</v>
      </c>
    </row>
    <row r="21" spans="1:26" ht="14">
      <c r="A21" s="208">
        <f t="shared" si="11"/>
        <v>10</v>
      </c>
      <c r="B21" s="9" t="str">
        <f>CONCATENATE('Page 3'!C19," ",'Page 3'!B19)</f>
        <v xml:space="preserve"> </v>
      </c>
      <c r="C21" s="20" t="str">
        <f>CONCATENATE('Page 3'!J19," ",'Page 3'!I19)</f>
        <v xml:space="preserve"> </v>
      </c>
      <c r="D21" s="291">
        <f>'Page 3'!L19</f>
        <v>0</v>
      </c>
      <c r="E21" s="264"/>
      <c r="F21" s="265"/>
      <c r="G21" s="292">
        <f t="shared" si="1"/>
        <v>0</v>
      </c>
      <c r="H21" s="458">
        <f>IF($F21&gt;0,(VLOOKUP($D21,'LOCK_ME_Page 6_Rate Table'!$B$74:$C$81,2,FALSE)),0)</f>
        <v>0</v>
      </c>
      <c r="I21" s="300">
        <f t="shared" si="2"/>
        <v>0</v>
      </c>
      <c r="J21" s="300">
        <f t="shared" si="3"/>
        <v>0</v>
      </c>
      <c r="K21" s="266"/>
      <c r="L21" s="294">
        <f t="shared" si="4"/>
        <v>0</v>
      </c>
      <c r="M21" s="294">
        <f t="shared" si="5"/>
        <v>0</v>
      </c>
      <c r="N21" s="346"/>
      <c r="O21" s="301">
        <f t="shared" si="6"/>
        <v>0</v>
      </c>
      <c r="P21" s="301">
        <f t="shared" si="7"/>
        <v>0</v>
      </c>
      <c r="Q21" s="296">
        <f t="shared" si="8"/>
        <v>0</v>
      </c>
      <c r="R21" s="297">
        <f>SUMIF('LOCK_ME_Page 6_Rate Table'!$D$84:$D$108,$V21,'LOCK_ME_Page 6_Rate Table'!$G$84:$G$108)</f>
        <v>0</v>
      </c>
      <c r="S21" s="298"/>
      <c r="T21" s="296">
        <f t="shared" si="12"/>
        <v>0</v>
      </c>
      <c r="U21" s="299" t="str">
        <f t="shared" si="9"/>
        <v xml:space="preserve"> </v>
      </c>
      <c r="V21" s="337" t="str">
        <f t="shared" si="10"/>
        <v>0</v>
      </c>
      <c r="W21" s="329">
        <f>SUMIF('LOCK_ME_Page 6_Rate Table'!$D$84:$D$108,'Page 4'!$V21,'LOCK_ME_Page 6_Rate Table'!E$84:E$108)</f>
        <v>0</v>
      </c>
      <c r="X21" s="329">
        <f>SUMIF('LOCK_ME_Page 6_Rate Table'!$D$84:$D$108,'Page 4'!$V21,'LOCK_ME_Page 6_Rate Table'!F$84:F$108)</f>
        <v>0</v>
      </c>
      <c r="Y21" s="329">
        <f>SUMIF('LOCK_ME_Page 6_Rate Table'!$B$45:$B$53,'Page 4'!$D21,'LOCK_ME_Page 6_Rate Table'!$F$45:$F$53)</f>
        <v>0</v>
      </c>
      <c r="Z21" s="329">
        <f>IF($F21&gt;0,(VLOOKUP($D21,'LOCK_ME_Page 6_Rate Table'!$B$74:$C$81,2,FALSE)),0)</f>
        <v>0</v>
      </c>
    </row>
    <row r="22" spans="1:26" ht="14">
      <c r="A22" s="208">
        <f t="shared" si="11"/>
        <v>11</v>
      </c>
      <c r="B22" s="9" t="str">
        <f>CONCATENATE('Page 3'!C20," ",'Page 3'!B20)</f>
        <v xml:space="preserve"> </v>
      </c>
      <c r="C22" s="20" t="str">
        <f>CONCATENATE('Page 3'!J20," ",'Page 3'!I20)</f>
        <v xml:space="preserve"> </v>
      </c>
      <c r="D22" s="291">
        <f>'Page 3'!L20</f>
        <v>0</v>
      </c>
      <c r="E22" s="264"/>
      <c r="F22" s="265"/>
      <c r="G22" s="292">
        <f t="shared" si="1"/>
        <v>0</v>
      </c>
      <c r="H22" s="458">
        <f>IF($F22&gt;0,(VLOOKUP($D22,'LOCK_ME_Page 6_Rate Table'!$B$74:$C$81,2,FALSE)),0)</f>
        <v>0</v>
      </c>
      <c r="I22" s="300">
        <f t="shared" si="2"/>
        <v>0</v>
      </c>
      <c r="J22" s="300">
        <f t="shared" si="3"/>
        <v>0</v>
      </c>
      <c r="K22" s="266"/>
      <c r="L22" s="294">
        <f t="shared" si="4"/>
        <v>0</v>
      </c>
      <c r="M22" s="294">
        <f t="shared" si="5"/>
        <v>0</v>
      </c>
      <c r="N22" s="346"/>
      <c r="O22" s="301">
        <f t="shared" si="6"/>
        <v>0</v>
      </c>
      <c r="P22" s="301">
        <f t="shared" si="7"/>
        <v>0</v>
      </c>
      <c r="Q22" s="296">
        <f t="shared" si="8"/>
        <v>0</v>
      </c>
      <c r="R22" s="297">
        <f>SUMIF('LOCK_ME_Page 6_Rate Table'!$D$84:$D$108,$V22,'LOCK_ME_Page 6_Rate Table'!$G$84:$G$108)</f>
        <v>0</v>
      </c>
      <c r="S22" s="298"/>
      <c r="T22" s="296">
        <f t="shared" si="12"/>
        <v>0</v>
      </c>
      <c r="U22" s="299" t="str">
        <f t="shared" si="9"/>
        <v xml:space="preserve"> </v>
      </c>
      <c r="V22" s="337" t="str">
        <f t="shared" si="10"/>
        <v>0</v>
      </c>
      <c r="W22" s="329">
        <f>SUMIF('LOCK_ME_Page 6_Rate Table'!$D$84:$D$108,'Page 4'!$V22,'LOCK_ME_Page 6_Rate Table'!E$84:E$108)</f>
        <v>0</v>
      </c>
      <c r="X22" s="329">
        <f>SUMIF('LOCK_ME_Page 6_Rate Table'!$D$84:$D$108,'Page 4'!$V22,'LOCK_ME_Page 6_Rate Table'!F$84:F$108)</f>
        <v>0</v>
      </c>
      <c r="Y22" s="329">
        <f>SUMIF('LOCK_ME_Page 6_Rate Table'!$B$45:$B$53,'Page 4'!$D22,'LOCK_ME_Page 6_Rate Table'!$F$45:$F$53)</f>
        <v>0</v>
      </c>
      <c r="Z22" s="329">
        <f>IF($F22&gt;0,(VLOOKUP($D22,'LOCK_ME_Page 6_Rate Table'!$B$74:$C$81,2,FALSE)),0)</f>
        <v>0</v>
      </c>
    </row>
    <row r="23" spans="1:26" ht="14">
      <c r="A23" s="208">
        <f t="shared" si="11"/>
        <v>12</v>
      </c>
      <c r="B23" s="9" t="e">
        <f>CONCATENATE('Page 3'!#REF!," ",'Page 3'!#REF!)</f>
        <v>#REF!</v>
      </c>
      <c r="C23" s="20" t="str">
        <f>CONCATENATE('Page 3'!J21," ",'Page 3'!I21)</f>
        <v xml:space="preserve"> </v>
      </c>
      <c r="D23" s="291">
        <f>'Page 3'!L21</f>
        <v>0</v>
      </c>
      <c r="E23" s="264"/>
      <c r="F23" s="265"/>
      <c r="G23" s="292">
        <f t="shared" si="1"/>
        <v>0</v>
      </c>
      <c r="H23" s="458">
        <f>IF($F23&gt;0,(VLOOKUP($D23,'LOCK_ME_Page 6_Rate Table'!$B$74:$C$81,2,FALSE)),0)</f>
        <v>0</v>
      </c>
      <c r="I23" s="300">
        <f t="shared" si="2"/>
        <v>0</v>
      </c>
      <c r="J23" s="300">
        <f t="shared" si="3"/>
        <v>0</v>
      </c>
      <c r="K23" s="266"/>
      <c r="L23" s="294">
        <f t="shared" si="4"/>
        <v>0</v>
      </c>
      <c r="M23" s="294">
        <f t="shared" si="5"/>
        <v>0</v>
      </c>
      <c r="N23" s="346"/>
      <c r="O23" s="301">
        <f t="shared" si="6"/>
        <v>0</v>
      </c>
      <c r="P23" s="301">
        <f t="shared" si="7"/>
        <v>0</v>
      </c>
      <c r="Q23" s="296">
        <f t="shared" si="8"/>
        <v>0</v>
      </c>
      <c r="R23" s="297">
        <f>SUMIF('LOCK_ME_Page 6_Rate Table'!$D$84:$D$108,$V23,'LOCK_ME_Page 6_Rate Table'!$G$84:$G$108)</f>
        <v>0</v>
      </c>
      <c r="S23" s="298"/>
      <c r="T23" s="296">
        <f t="shared" si="12"/>
        <v>0</v>
      </c>
      <c r="U23" s="299" t="str">
        <f t="shared" si="9"/>
        <v xml:space="preserve"> </v>
      </c>
      <c r="V23" s="337" t="str">
        <f t="shared" si="10"/>
        <v>0</v>
      </c>
      <c r="W23" s="329">
        <f>SUMIF('LOCK_ME_Page 6_Rate Table'!$D$84:$D$108,'Page 4'!$V23,'LOCK_ME_Page 6_Rate Table'!E$84:E$108)</f>
        <v>0</v>
      </c>
      <c r="X23" s="329">
        <f>SUMIF('LOCK_ME_Page 6_Rate Table'!$D$84:$D$108,'Page 4'!$V23,'LOCK_ME_Page 6_Rate Table'!F$84:F$108)</f>
        <v>0</v>
      </c>
      <c r="Y23" s="329">
        <f>SUMIF('LOCK_ME_Page 6_Rate Table'!$B$45:$B$53,'Page 4'!$D23,'LOCK_ME_Page 6_Rate Table'!$F$45:$F$53)</f>
        <v>0</v>
      </c>
      <c r="Z23" s="329">
        <f>IF($F23&gt;0,(VLOOKUP($D23,'LOCK_ME_Page 6_Rate Table'!$B$74:$C$81,2,FALSE)),0)</f>
        <v>0</v>
      </c>
    </row>
    <row r="24" spans="1:26" ht="14">
      <c r="A24" s="208">
        <f t="shared" si="11"/>
        <v>13</v>
      </c>
      <c r="B24" s="9" t="str">
        <f>CONCATENATE('Page 3'!C22," ",'Page 3'!B22)</f>
        <v xml:space="preserve"> </v>
      </c>
      <c r="C24" s="20" t="str">
        <f>CONCATENATE('Page 3'!J22," ",'Page 3'!I22)</f>
        <v xml:space="preserve"> </v>
      </c>
      <c r="D24" s="291">
        <f>'Page 3'!L22</f>
        <v>0</v>
      </c>
      <c r="E24" s="264"/>
      <c r="F24" s="265"/>
      <c r="G24" s="292">
        <f t="shared" si="1"/>
        <v>0</v>
      </c>
      <c r="H24" s="458">
        <f>IF($F24&gt;0,(VLOOKUP($D24,'LOCK_ME_Page 6_Rate Table'!$B$74:$C$81,2,FALSE)),0)</f>
        <v>0</v>
      </c>
      <c r="I24" s="300">
        <f t="shared" si="2"/>
        <v>0</v>
      </c>
      <c r="J24" s="300">
        <f t="shared" si="3"/>
        <v>0</v>
      </c>
      <c r="K24" s="266"/>
      <c r="L24" s="294">
        <f t="shared" si="4"/>
        <v>0</v>
      </c>
      <c r="M24" s="294">
        <f t="shared" si="5"/>
        <v>0</v>
      </c>
      <c r="N24" s="346"/>
      <c r="O24" s="301">
        <f t="shared" si="6"/>
        <v>0</v>
      </c>
      <c r="P24" s="301">
        <f t="shared" si="7"/>
        <v>0</v>
      </c>
      <c r="Q24" s="296">
        <f t="shared" si="8"/>
        <v>0</v>
      </c>
      <c r="R24" s="297">
        <f>SUMIF('LOCK_ME_Page 6_Rate Table'!$D$84:$D$108,$V24,'LOCK_ME_Page 6_Rate Table'!$G$84:$G$108)</f>
        <v>0</v>
      </c>
      <c r="S24" s="298"/>
      <c r="T24" s="296">
        <f t="shared" si="12"/>
        <v>0</v>
      </c>
      <c r="U24" s="299" t="str">
        <f t="shared" si="9"/>
        <v xml:space="preserve"> </v>
      </c>
      <c r="V24" s="337" t="str">
        <f t="shared" si="10"/>
        <v>0</v>
      </c>
      <c r="W24" s="329">
        <f>SUMIF('LOCK_ME_Page 6_Rate Table'!$D$84:$D$108,'Page 4'!$V24,'LOCK_ME_Page 6_Rate Table'!E$84:E$108)</f>
        <v>0</v>
      </c>
      <c r="X24" s="329">
        <f>SUMIF('LOCK_ME_Page 6_Rate Table'!$D$84:$D$108,'Page 4'!$V24,'LOCK_ME_Page 6_Rate Table'!F$84:F$108)</f>
        <v>0</v>
      </c>
      <c r="Y24" s="329">
        <f>SUMIF('LOCK_ME_Page 6_Rate Table'!$B$45:$B$53,'Page 4'!$D24,'LOCK_ME_Page 6_Rate Table'!$F$45:$F$53)</f>
        <v>0</v>
      </c>
      <c r="Z24" s="329">
        <f>IF($F24&gt;0,(VLOOKUP($D24,'LOCK_ME_Page 6_Rate Table'!$B$74:$C$81,2,FALSE)),0)</f>
        <v>0</v>
      </c>
    </row>
    <row r="25" spans="1:26" ht="14">
      <c r="A25" s="208">
        <f t="shared" si="11"/>
        <v>14</v>
      </c>
      <c r="B25" s="9" t="str">
        <f>CONCATENATE('Page 3'!C23," ",'Page 3'!B23)</f>
        <v xml:space="preserve"> </v>
      </c>
      <c r="C25" s="20" t="str">
        <f>CONCATENATE('Page 3'!J23," ",'Page 3'!I23)</f>
        <v xml:space="preserve"> </v>
      </c>
      <c r="D25" s="291">
        <f>'Page 3'!L23</f>
        <v>0</v>
      </c>
      <c r="E25" s="264"/>
      <c r="F25" s="265"/>
      <c r="G25" s="292">
        <f t="shared" si="1"/>
        <v>0</v>
      </c>
      <c r="H25" s="458">
        <f>IF($F25&gt;0,(VLOOKUP($D25,'LOCK_ME_Page 6_Rate Table'!$B$74:$C$81,2,FALSE)),0)</f>
        <v>0</v>
      </c>
      <c r="I25" s="300">
        <f t="shared" si="2"/>
        <v>0</v>
      </c>
      <c r="J25" s="300">
        <f t="shared" si="3"/>
        <v>0</v>
      </c>
      <c r="K25" s="266"/>
      <c r="L25" s="294">
        <f t="shared" si="4"/>
        <v>0</v>
      </c>
      <c r="M25" s="294">
        <f t="shared" si="5"/>
        <v>0</v>
      </c>
      <c r="N25" s="346"/>
      <c r="O25" s="301">
        <f t="shared" si="6"/>
        <v>0</v>
      </c>
      <c r="P25" s="301">
        <f t="shared" si="7"/>
        <v>0</v>
      </c>
      <c r="Q25" s="296">
        <f t="shared" si="8"/>
        <v>0</v>
      </c>
      <c r="R25" s="297">
        <f>SUMIF('LOCK_ME_Page 6_Rate Table'!$D$84:$D$108,$V25,'LOCK_ME_Page 6_Rate Table'!$G$84:$G$108)</f>
        <v>0</v>
      </c>
      <c r="S25" s="298"/>
      <c r="T25" s="296">
        <f t="shared" si="12"/>
        <v>0</v>
      </c>
      <c r="U25" s="299" t="str">
        <f t="shared" si="9"/>
        <v xml:space="preserve"> </v>
      </c>
      <c r="V25" s="337" t="str">
        <f t="shared" si="10"/>
        <v>0</v>
      </c>
      <c r="W25" s="329">
        <f>SUMIF('LOCK_ME_Page 6_Rate Table'!$D$84:$D$108,'Page 4'!$V25,'LOCK_ME_Page 6_Rate Table'!E$84:E$108)</f>
        <v>0</v>
      </c>
      <c r="X25" s="329">
        <f>SUMIF('LOCK_ME_Page 6_Rate Table'!$D$84:$D$108,'Page 4'!$V25,'LOCK_ME_Page 6_Rate Table'!F$84:F$108)</f>
        <v>0</v>
      </c>
      <c r="Y25" s="329">
        <f>SUMIF('LOCK_ME_Page 6_Rate Table'!$B$45:$B$53,'Page 4'!$D25,'LOCK_ME_Page 6_Rate Table'!$F$45:$F$53)</f>
        <v>0</v>
      </c>
      <c r="Z25" s="329">
        <f>IF($F25&gt;0,(VLOOKUP($D25,'LOCK_ME_Page 6_Rate Table'!$B$74:$C$81,2,FALSE)),0)</f>
        <v>0</v>
      </c>
    </row>
    <row r="26" spans="1:26" ht="14">
      <c r="A26" s="208">
        <f t="shared" si="11"/>
        <v>15</v>
      </c>
      <c r="B26" s="9" t="str">
        <f>CONCATENATE('Page 3'!C24," ",'Page 3'!B24)</f>
        <v xml:space="preserve"> </v>
      </c>
      <c r="C26" s="20" t="str">
        <f>CONCATENATE('Page 3'!J24," ",'Page 3'!I24)</f>
        <v xml:space="preserve"> </v>
      </c>
      <c r="D26" s="291">
        <f>'Page 3'!L24</f>
        <v>0</v>
      </c>
      <c r="E26" s="264"/>
      <c r="F26" s="265"/>
      <c r="G26" s="292">
        <f t="shared" si="1"/>
        <v>0</v>
      </c>
      <c r="H26" s="458">
        <f>IF($F26&gt;0,(VLOOKUP($D26,'LOCK_ME_Page 6_Rate Table'!$B$74:$C$81,2,FALSE)),0)</f>
        <v>0</v>
      </c>
      <c r="I26" s="300">
        <f t="shared" si="2"/>
        <v>0</v>
      </c>
      <c r="J26" s="300">
        <f t="shared" si="3"/>
        <v>0</v>
      </c>
      <c r="K26" s="266"/>
      <c r="L26" s="294">
        <f t="shared" si="4"/>
        <v>0</v>
      </c>
      <c r="M26" s="294">
        <f t="shared" si="5"/>
        <v>0</v>
      </c>
      <c r="N26" s="346"/>
      <c r="O26" s="301">
        <f t="shared" si="6"/>
        <v>0</v>
      </c>
      <c r="P26" s="301">
        <f t="shared" si="7"/>
        <v>0</v>
      </c>
      <c r="Q26" s="296">
        <f t="shared" si="8"/>
        <v>0</v>
      </c>
      <c r="R26" s="297">
        <f>SUMIF('LOCK_ME_Page 6_Rate Table'!$D$84:$D$108,$V26,'LOCK_ME_Page 6_Rate Table'!$G$84:$G$108)</f>
        <v>0</v>
      </c>
      <c r="S26" s="298"/>
      <c r="T26" s="296">
        <f t="shared" si="12"/>
        <v>0</v>
      </c>
      <c r="U26" s="299" t="str">
        <f t="shared" si="9"/>
        <v xml:space="preserve"> </v>
      </c>
      <c r="V26" s="337" t="str">
        <f t="shared" si="10"/>
        <v>0</v>
      </c>
      <c r="W26" s="329">
        <f>SUMIF('LOCK_ME_Page 6_Rate Table'!$D$84:$D$108,'Page 4'!$V26,'LOCK_ME_Page 6_Rate Table'!E$84:E$108)</f>
        <v>0</v>
      </c>
      <c r="X26" s="329">
        <f>SUMIF('LOCK_ME_Page 6_Rate Table'!$D$84:$D$108,'Page 4'!$V26,'LOCK_ME_Page 6_Rate Table'!F$84:F$108)</f>
        <v>0</v>
      </c>
      <c r="Y26" s="329">
        <f>SUMIF('LOCK_ME_Page 6_Rate Table'!$B$45:$B$53,'Page 4'!$D26,'LOCK_ME_Page 6_Rate Table'!$F$45:$F$53)</f>
        <v>0</v>
      </c>
      <c r="Z26" s="329">
        <f>IF($F26&gt;0,(VLOOKUP($D26,'LOCK_ME_Page 6_Rate Table'!$B$74:$C$81,2,FALSE)),0)</f>
        <v>0</v>
      </c>
    </row>
    <row r="27" spans="1:26" ht="14">
      <c r="A27" s="208">
        <f t="shared" si="11"/>
        <v>16</v>
      </c>
      <c r="B27" s="9" t="str">
        <f>CONCATENATE('Page 3'!C25," ",'Page 3'!B25)</f>
        <v xml:space="preserve"> </v>
      </c>
      <c r="C27" s="20" t="str">
        <f>CONCATENATE('Page 3'!J25," ",'Page 3'!I25)</f>
        <v xml:space="preserve"> </v>
      </c>
      <c r="D27" s="291">
        <f>'Page 3'!L25</f>
        <v>0</v>
      </c>
      <c r="E27" s="264"/>
      <c r="F27" s="265"/>
      <c r="G27" s="292">
        <f t="shared" si="1"/>
        <v>0</v>
      </c>
      <c r="H27" s="458">
        <f>IF($F27&gt;0,(VLOOKUP($D27,'LOCK_ME_Page 6_Rate Table'!$B$74:$C$81,2,FALSE)),0)</f>
        <v>0</v>
      </c>
      <c r="I27" s="300">
        <f t="shared" si="2"/>
        <v>0</v>
      </c>
      <c r="J27" s="300">
        <f t="shared" si="3"/>
        <v>0</v>
      </c>
      <c r="K27" s="266"/>
      <c r="L27" s="294">
        <f t="shared" si="4"/>
        <v>0</v>
      </c>
      <c r="M27" s="294">
        <f t="shared" si="5"/>
        <v>0</v>
      </c>
      <c r="N27" s="346"/>
      <c r="O27" s="301">
        <f t="shared" si="6"/>
        <v>0</v>
      </c>
      <c r="P27" s="301">
        <f t="shared" si="7"/>
        <v>0</v>
      </c>
      <c r="Q27" s="296">
        <f t="shared" si="8"/>
        <v>0</v>
      </c>
      <c r="R27" s="297">
        <f>SUMIF('LOCK_ME_Page 6_Rate Table'!$D$84:$D$108,$V27,'LOCK_ME_Page 6_Rate Table'!$G$84:$G$108)</f>
        <v>0</v>
      </c>
      <c r="S27" s="298"/>
      <c r="T27" s="296">
        <f t="shared" si="12"/>
        <v>0</v>
      </c>
      <c r="U27" s="299" t="str">
        <f t="shared" si="9"/>
        <v xml:space="preserve"> </v>
      </c>
      <c r="V27" s="337" t="str">
        <f t="shared" si="10"/>
        <v>0</v>
      </c>
      <c r="W27" s="329">
        <f>SUMIF('LOCK_ME_Page 6_Rate Table'!$D$84:$D$108,'Page 4'!$V27,'LOCK_ME_Page 6_Rate Table'!E$84:E$108)</f>
        <v>0</v>
      </c>
      <c r="X27" s="329">
        <f>SUMIF('LOCK_ME_Page 6_Rate Table'!$D$84:$D$108,'Page 4'!$V27,'LOCK_ME_Page 6_Rate Table'!F$84:F$108)</f>
        <v>0</v>
      </c>
      <c r="Y27" s="329">
        <f>SUMIF('LOCK_ME_Page 6_Rate Table'!$B$45:$B$53,'Page 4'!$D27,'LOCK_ME_Page 6_Rate Table'!$F$45:$F$53)</f>
        <v>0</v>
      </c>
      <c r="Z27" s="329">
        <f>IF($F27&gt;0,(VLOOKUP($D27,'LOCK_ME_Page 6_Rate Table'!$B$74:$C$81,2,FALSE)),0)</f>
        <v>0</v>
      </c>
    </row>
    <row r="28" spans="1:26" ht="14">
      <c r="A28" s="208">
        <f t="shared" si="11"/>
        <v>17</v>
      </c>
      <c r="B28" s="9" t="str">
        <f>CONCATENATE('Page 3'!C26," ",'Page 3'!B26)</f>
        <v xml:space="preserve"> </v>
      </c>
      <c r="C28" s="20" t="str">
        <f>CONCATENATE('Page 3'!J26," ",'Page 3'!I26)</f>
        <v xml:space="preserve"> </v>
      </c>
      <c r="D28" s="291">
        <f>'Page 3'!L26</f>
        <v>0</v>
      </c>
      <c r="E28" s="264"/>
      <c r="F28" s="265"/>
      <c r="G28" s="292">
        <f t="shared" si="1"/>
        <v>0</v>
      </c>
      <c r="H28" s="458">
        <f>IF($F28&gt;0,(VLOOKUP($D28,'LOCK_ME_Page 6_Rate Table'!$B$74:$C$81,2,FALSE)),0)</f>
        <v>0</v>
      </c>
      <c r="I28" s="300">
        <f t="shared" si="2"/>
        <v>0</v>
      </c>
      <c r="J28" s="300">
        <f t="shared" si="3"/>
        <v>0</v>
      </c>
      <c r="K28" s="266"/>
      <c r="L28" s="294">
        <f t="shared" si="4"/>
        <v>0</v>
      </c>
      <c r="M28" s="294">
        <f t="shared" si="5"/>
        <v>0</v>
      </c>
      <c r="N28" s="346"/>
      <c r="O28" s="301">
        <f t="shared" si="6"/>
        <v>0</v>
      </c>
      <c r="P28" s="301">
        <f t="shared" si="7"/>
        <v>0</v>
      </c>
      <c r="Q28" s="296">
        <f t="shared" si="8"/>
        <v>0</v>
      </c>
      <c r="R28" s="297">
        <f>SUMIF('LOCK_ME_Page 6_Rate Table'!$D$84:$D$108,$V28,'LOCK_ME_Page 6_Rate Table'!$G$84:$G$108)</f>
        <v>0</v>
      </c>
      <c r="S28" s="298"/>
      <c r="T28" s="296">
        <f t="shared" si="12"/>
        <v>0</v>
      </c>
      <c r="U28" s="299" t="str">
        <f t="shared" si="9"/>
        <v xml:space="preserve"> </v>
      </c>
      <c r="V28" s="337" t="str">
        <f t="shared" si="10"/>
        <v>0</v>
      </c>
      <c r="W28" s="329">
        <f>SUMIF('LOCK_ME_Page 6_Rate Table'!$D$84:$D$108,'Page 4'!$V28,'LOCK_ME_Page 6_Rate Table'!E$84:E$108)</f>
        <v>0</v>
      </c>
      <c r="X28" s="329">
        <f>SUMIF('LOCK_ME_Page 6_Rate Table'!$D$84:$D$108,'Page 4'!$V28,'LOCK_ME_Page 6_Rate Table'!F$84:F$108)</f>
        <v>0</v>
      </c>
      <c r="Y28" s="329">
        <f>SUMIF('LOCK_ME_Page 6_Rate Table'!$B$45:$B$53,'Page 4'!$D28,'LOCK_ME_Page 6_Rate Table'!$F$45:$F$53)</f>
        <v>0</v>
      </c>
      <c r="Z28" s="329">
        <f>IF($F28&gt;0,(VLOOKUP($D28,'LOCK_ME_Page 6_Rate Table'!$B$74:$C$81,2,FALSE)),0)</f>
        <v>0</v>
      </c>
    </row>
    <row r="29" spans="1:26" ht="14">
      <c r="A29" s="208">
        <f t="shared" si="11"/>
        <v>18</v>
      </c>
      <c r="B29" s="9" t="str">
        <f>CONCATENATE('Page 3'!C27," ",'Page 3'!B27)</f>
        <v xml:space="preserve"> </v>
      </c>
      <c r="C29" s="20" t="str">
        <f>CONCATENATE('Page 3'!J27," ",'Page 3'!I27)</f>
        <v xml:space="preserve"> </v>
      </c>
      <c r="D29" s="291">
        <f>'Page 3'!L27</f>
        <v>0</v>
      </c>
      <c r="E29" s="264"/>
      <c r="F29" s="265"/>
      <c r="G29" s="292">
        <f t="shared" si="1"/>
        <v>0</v>
      </c>
      <c r="H29" s="458">
        <f>IF($F29&gt;0,(VLOOKUP($D29,'LOCK_ME_Page 6_Rate Table'!$B$74:$C$81,2,FALSE)),0)</f>
        <v>0</v>
      </c>
      <c r="I29" s="300">
        <f t="shared" si="2"/>
        <v>0</v>
      </c>
      <c r="J29" s="300">
        <f t="shared" si="3"/>
        <v>0</v>
      </c>
      <c r="K29" s="266"/>
      <c r="L29" s="294">
        <f t="shared" si="4"/>
        <v>0</v>
      </c>
      <c r="M29" s="294">
        <f t="shared" si="5"/>
        <v>0</v>
      </c>
      <c r="N29" s="346"/>
      <c r="O29" s="301">
        <f t="shared" si="6"/>
        <v>0</v>
      </c>
      <c r="P29" s="301">
        <f t="shared" si="7"/>
        <v>0</v>
      </c>
      <c r="Q29" s="296">
        <f t="shared" si="8"/>
        <v>0</v>
      </c>
      <c r="R29" s="297">
        <f>SUMIF('LOCK_ME_Page 6_Rate Table'!$D$84:$D$108,$V29,'LOCK_ME_Page 6_Rate Table'!$G$84:$G$108)</f>
        <v>0</v>
      </c>
      <c r="S29" s="298"/>
      <c r="T29" s="296">
        <f t="shared" si="12"/>
        <v>0</v>
      </c>
      <c r="U29" s="299" t="str">
        <f t="shared" si="9"/>
        <v xml:space="preserve"> </v>
      </c>
      <c r="V29" s="337" t="str">
        <f t="shared" si="10"/>
        <v>0</v>
      </c>
      <c r="W29" s="329">
        <f>SUMIF('LOCK_ME_Page 6_Rate Table'!$D$84:$D$108,'Page 4'!$V29,'LOCK_ME_Page 6_Rate Table'!E$84:E$108)</f>
        <v>0</v>
      </c>
      <c r="X29" s="329">
        <f>SUMIF('LOCK_ME_Page 6_Rate Table'!$D$84:$D$108,'Page 4'!$V29,'LOCK_ME_Page 6_Rate Table'!F$84:F$108)</f>
        <v>0</v>
      </c>
      <c r="Y29" s="329">
        <f>SUMIF('LOCK_ME_Page 6_Rate Table'!$B$45:$B$53,'Page 4'!$D29,'LOCK_ME_Page 6_Rate Table'!$F$45:$F$53)</f>
        <v>0</v>
      </c>
      <c r="Z29" s="329">
        <f>IF($F29&gt;0,(VLOOKUP($D29,'LOCK_ME_Page 6_Rate Table'!$B$74:$C$81,2,FALSE)),0)</f>
        <v>0</v>
      </c>
    </row>
    <row r="30" spans="1:26" ht="14">
      <c r="A30" s="208">
        <f t="shared" si="11"/>
        <v>19</v>
      </c>
      <c r="B30" s="9" t="str">
        <f>CONCATENATE('Page 3'!C28," ",'Page 3'!B28)</f>
        <v xml:space="preserve"> </v>
      </c>
      <c r="C30" s="20" t="str">
        <f>CONCATENATE('Page 3'!J28," ",'Page 3'!I28)</f>
        <v xml:space="preserve"> </v>
      </c>
      <c r="D30" s="291">
        <f>'Page 3'!L28</f>
        <v>0</v>
      </c>
      <c r="E30" s="264"/>
      <c r="F30" s="265"/>
      <c r="G30" s="292">
        <f t="shared" si="1"/>
        <v>0</v>
      </c>
      <c r="H30" s="458">
        <f>IF($F30&gt;0,(VLOOKUP($D30,'LOCK_ME_Page 6_Rate Table'!$B$74:$C$81,2,FALSE)),0)</f>
        <v>0</v>
      </c>
      <c r="I30" s="300">
        <f t="shared" si="2"/>
        <v>0</v>
      </c>
      <c r="J30" s="300">
        <f t="shared" si="3"/>
        <v>0</v>
      </c>
      <c r="K30" s="266"/>
      <c r="L30" s="294">
        <f t="shared" si="4"/>
        <v>0</v>
      </c>
      <c r="M30" s="294">
        <f t="shared" si="5"/>
        <v>0</v>
      </c>
      <c r="N30" s="346"/>
      <c r="O30" s="301">
        <f t="shared" si="6"/>
        <v>0</v>
      </c>
      <c r="P30" s="301">
        <f t="shared" si="7"/>
        <v>0</v>
      </c>
      <c r="Q30" s="296">
        <f t="shared" si="8"/>
        <v>0</v>
      </c>
      <c r="R30" s="297">
        <f>SUMIF('LOCK_ME_Page 6_Rate Table'!$D$84:$D$108,$V30,'LOCK_ME_Page 6_Rate Table'!$G$84:$G$108)</f>
        <v>0</v>
      </c>
      <c r="S30" s="298"/>
      <c r="T30" s="296">
        <f t="shared" si="12"/>
        <v>0</v>
      </c>
      <c r="U30" s="299" t="str">
        <f t="shared" si="9"/>
        <v xml:space="preserve"> </v>
      </c>
      <c r="V30" s="337" t="str">
        <f t="shared" si="10"/>
        <v>0</v>
      </c>
      <c r="W30" s="329">
        <f>SUMIF('LOCK_ME_Page 6_Rate Table'!$D$84:$D$108,'Page 4'!$V30,'LOCK_ME_Page 6_Rate Table'!E$84:E$108)</f>
        <v>0</v>
      </c>
      <c r="X30" s="329">
        <f>SUMIF('LOCK_ME_Page 6_Rate Table'!$D$84:$D$108,'Page 4'!$V30,'LOCK_ME_Page 6_Rate Table'!F$84:F$108)</f>
        <v>0</v>
      </c>
      <c r="Y30" s="329">
        <f>SUMIF('LOCK_ME_Page 6_Rate Table'!$B$45:$B$53,'Page 4'!$D30,'LOCK_ME_Page 6_Rate Table'!$F$45:$F$53)</f>
        <v>0</v>
      </c>
      <c r="Z30" s="329">
        <f>IF($F30&gt;0,(VLOOKUP($D30,'LOCK_ME_Page 6_Rate Table'!$B$74:$C$81,2,FALSE)),0)</f>
        <v>0</v>
      </c>
    </row>
    <row r="31" spans="1:26" ht="14">
      <c r="A31" s="208">
        <f t="shared" si="11"/>
        <v>20</v>
      </c>
      <c r="B31" s="9" t="str">
        <f>CONCATENATE('Page 3'!C29," ",'Page 3'!B29)</f>
        <v xml:space="preserve"> </v>
      </c>
      <c r="C31" s="20" t="str">
        <f>CONCATENATE('Page 3'!J29," ",'Page 3'!I29)</f>
        <v xml:space="preserve"> </v>
      </c>
      <c r="D31" s="291">
        <f>'Page 3'!L29</f>
        <v>0</v>
      </c>
      <c r="E31" s="264"/>
      <c r="F31" s="265"/>
      <c r="G31" s="292">
        <f t="shared" si="1"/>
        <v>0</v>
      </c>
      <c r="H31" s="458">
        <f>IF($F31&gt;0,(VLOOKUP($D31,'LOCK_ME_Page 6_Rate Table'!$B$74:$C$81,2,FALSE)),0)</f>
        <v>0</v>
      </c>
      <c r="I31" s="300">
        <f t="shared" si="2"/>
        <v>0</v>
      </c>
      <c r="J31" s="300">
        <f t="shared" si="3"/>
        <v>0</v>
      </c>
      <c r="K31" s="266"/>
      <c r="L31" s="294">
        <f t="shared" si="4"/>
        <v>0</v>
      </c>
      <c r="M31" s="294">
        <f t="shared" si="5"/>
        <v>0</v>
      </c>
      <c r="N31" s="346"/>
      <c r="O31" s="301">
        <f t="shared" si="6"/>
        <v>0</v>
      </c>
      <c r="P31" s="301">
        <f t="shared" si="7"/>
        <v>0</v>
      </c>
      <c r="Q31" s="296">
        <f t="shared" si="8"/>
        <v>0</v>
      </c>
      <c r="R31" s="297">
        <f>SUMIF('LOCK_ME_Page 6_Rate Table'!$D$84:$D$108,$V31,'LOCK_ME_Page 6_Rate Table'!$G$84:$G$108)</f>
        <v>0</v>
      </c>
      <c r="S31" s="298"/>
      <c r="T31" s="296">
        <f t="shared" si="12"/>
        <v>0</v>
      </c>
      <c r="U31" s="299" t="str">
        <f t="shared" si="9"/>
        <v xml:space="preserve"> </v>
      </c>
      <c r="V31" s="337" t="str">
        <f t="shared" si="10"/>
        <v>0</v>
      </c>
      <c r="W31" s="329">
        <f>SUMIF('LOCK_ME_Page 6_Rate Table'!$D$84:$D$108,'Page 4'!$V31,'LOCK_ME_Page 6_Rate Table'!E$84:E$108)</f>
        <v>0</v>
      </c>
      <c r="X31" s="329">
        <f>SUMIF('LOCK_ME_Page 6_Rate Table'!$D$84:$D$108,'Page 4'!$V31,'LOCK_ME_Page 6_Rate Table'!F$84:F$108)</f>
        <v>0</v>
      </c>
      <c r="Y31" s="329">
        <f>SUMIF('LOCK_ME_Page 6_Rate Table'!$B$45:$B$53,'Page 4'!$D31,'LOCK_ME_Page 6_Rate Table'!$F$45:$F$53)</f>
        <v>0</v>
      </c>
      <c r="Z31" s="329">
        <f>IF($F31&gt;0,(VLOOKUP($D31,'LOCK_ME_Page 6_Rate Table'!$B$74:$C$81,2,FALSE)),0)</f>
        <v>0</v>
      </c>
    </row>
    <row r="32" spans="1:26" ht="14">
      <c r="A32" s="208">
        <f t="shared" si="11"/>
        <v>21</v>
      </c>
      <c r="B32" s="9" t="str">
        <f>CONCATENATE('Page 3'!C30," ",'Page 3'!B30)</f>
        <v xml:space="preserve"> </v>
      </c>
      <c r="C32" s="20" t="str">
        <f>CONCATENATE('Page 3'!J30," ",'Page 3'!I30)</f>
        <v xml:space="preserve"> </v>
      </c>
      <c r="D32" s="291">
        <f>'Page 3'!L30</f>
        <v>0</v>
      </c>
      <c r="E32" s="264"/>
      <c r="F32" s="265"/>
      <c r="G32" s="292">
        <f t="shared" si="1"/>
        <v>0</v>
      </c>
      <c r="H32" s="458">
        <f>IF($F32&gt;0,(VLOOKUP($D32,'LOCK_ME_Page 6_Rate Table'!$B$74:$C$81,2,FALSE)),0)</f>
        <v>0</v>
      </c>
      <c r="I32" s="300">
        <f t="shared" si="2"/>
        <v>0</v>
      </c>
      <c r="J32" s="300">
        <f t="shared" si="3"/>
        <v>0</v>
      </c>
      <c r="K32" s="266"/>
      <c r="L32" s="294">
        <f t="shared" si="4"/>
        <v>0</v>
      </c>
      <c r="M32" s="294">
        <f t="shared" si="5"/>
        <v>0</v>
      </c>
      <c r="N32" s="346"/>
      <c r="O32" s="301">
        <f t="shared" si="6"/>
        <v>0</v>
      </c>
      <c r="P32" s="301">
        <f t="shared" si="7"/>
        <v>0</v>
      </c>
      <c r="Q32" s="296">
        <f t="shared" si="8"/>
        <v>0</v>
      </c>
      <c r="R32" s="297">
        <f>SUMIF('LOCK_ME_Page 6_Rate Table'!$D$84:$D$108,$V32,'LOCK_ME_Page 6_Rate Table'!$G$84:$G$108)</f>
        <v>0</v>
      </c>
      <c r="S32" s="298"/>
      <c r="T32" s="296">
        <f t="shared" si="12"/>
        <v>0</v>
      </c>
      <c r="U32" s="299" t="str">
        <f t="shared" si="9"/>
        <v xml:space="preserve"> </v>
      </c>
      <c r="V32" s="337" t="str">
        <f t="shared" si="10"/>
        <v>0</v>
      </c>
      <c r="W32" s="329">
        <f>SUMIF('LOCK_ME_Page 6_Rate Table'!$D$84:$D$108,'Page 4'!$V32,'LOCK_ME_Page 6_Rate Table'!E$84:E$108)</f>
        <v>0</v>
      </c>
      <c r="X32" s="329">
        <f>SUMIF('LOCK_ME_Page 6_Rate Table'!$D$84:$D$108,'Page 4'!$V32,'LOCK_ME_Page 6_Rate Table'!F$84:F$108)</f>
        <v>0</v>
      </c>
      <c r="Y32" s="329">
        <f>SUMIF('LOCK_ME_Page 6_Rate Table'!$B$45:$B$53,'Page 4'!$D32,'LOCK_ME_Page 6_Rate Table'!$F$45:$F$53)</f>
        <v>0</v>
      </c>
      <c r="Z32" s="329">
        <f>IF($F32&gt;0,(VLOOKUP($D32,'LOCK_ME_Page 6_Rate Table'!$B$74:$C$81,2,FALSE)),0)</f>
        <v>0</v>
      </c>
    </row>
    <row r="33" spans="1:26" ht="14">
      <c r="A33" s="208">
        <f t="shared" si="11"/>
        <v>22</v>
      </c>
      <c r="B33" s="9" t="str">
        <f>CONCATENATE('Page 3'!C31," ",'Page 3'!B31)</f>
        <v xml:space="preserve"> </v>
      </c>
      <c r="C33" s="20" t="str">
        <f>CONCATENATE('Page 3'!J31," ",'Page 3'!I31)</f>
        <v xml:space="preserve"> </v>
      </c>
      <c r="D33" s="291">
        <f>'Page 3'!L31</f>
        <v>0</v>
      </c>
      <c r="E33" s="264"/>
      <c r="F33" s="265"/>
      <c r="G33" s="292">
        <f t="shared" si="1"/>
        <v>0</v>
      </c>
      <c r="H33" s="458">
        <f>IF($F33&gt;0,(VLOOKUP($D33,'LOCK_ME_Page 6_Rate Table'!$B$74:$C$81,2,FALSE)),0)</f>
        <v>0</v>
      </c>
      <c r="I33" s="300">
        <f t="shared" si="2"/>
        <v>0</v>
      </c>
      <c r="J33" s="300">
        <f t="shared" si="3"/>
        <v>0</v>
      </c>
      <c r="K33" s="266"/>
      <c r="L33" s="294">
        <f t="shared" si="4"/>
        <v>0</v>
      </c>
      <c r="M33" s="294">
        <f t="shared" si="5"/>
        <v>0</v>
      </c>
      <c r="N33" s="346"/>
      <c r="O33" s="301">
        <f t="shared" si="6"/>
        <v>0</v>
      </c>
      <c r="P33" s="301">
        <f t="shared" si="7"/>
        <v>0</v>
      </c>
      <c r="Q33" s="296">
        <f t="shared" si="8"/>
        <v>0</v>
      </c>
      <c r="R33" s="297">
        <f>SUMIF('LOCK_ME_Page 6_Rate Table'!$D$84:$D$108,$V33,'LOCK_ME_Page 6_Rate Table'!$G$84:$G$108)</f>
        <v>0</v>
      </c>
      <c r="S33" s="298"/>
      <c r="T33" s="296">
        <f t="shared" si="12"/>
        <v>0</v>
      </c>
      <c r="U33" s="299" t="str">
        <f t="shared" si="9"/>
        <v xml:space="preserve"> </v>
      </c>
      <c r="V33" s="337" t="str">
        <f t="shared" si="10"/>
        <v>0</v>
      </c>
      <c r="W33" s="329">
        <f>SUMIF('LOCK_ME_Page 6_Rate Table'!$D$84:$D$108,'Page 4'!$V33,'LOCK_ME_Page 6_Rate Table'!E$84:E$108)</f>
        <v>0</v>
      </c>
      <c r="X33" s="329">
        <f>SUMIF('LOCK_ME_Page 6_Rate Table'!$D$84:$D$108,'Page 4'!$V33,'LOCK_ME_Page 6_Rate Table'!F$84:F$108)</f>
        <v>0</v>
      </c>
      <c r="Y33" s="329">
        <f>SUMIF('LOCK_ME_Page 6_Rate Table'!$B$45:$B$53,'Page 4'!$D33,'LOCK_ME_Page 6_Rate Table'!$F$45:$F$53)</f>
        <v>0</v>
      </c>
      <c r="Z33" s="329">
        <f>IF($F33&gt;0,(VLOOKUP($D33,'LOCK_ME_Page 6_Rate Table'!$B$74:$C$81,2,FALSE)),0)</f>
        <v>0</v>
      </c>
    </row>
    <row r="34" spans="1:26" ht="14">
      <c r="A34" s="208">
        <f t="shared" si="11"/>
        <v>23</v>
      </c>
      <c r="B34" s="9" t="str">
        <f>CONCATENATE('Page 3'!C32," ",'Page 3'!B32)</f>
        <v xml:space="preserve"> </v>
      </c>
      <c r="C34" s="20" t="str">
        <f>CONCATENATE('Page 3'!J32," ",'Page 3'!I32)</f>
        <v xml:space="preserve"> </v>
      </c>
      <c r="D34" s="291">
        <f>'Page 3'!L32</f>
        <v>0</v>
      </c>
      <c r="E34" s="264"/>
      <c r="F34" s="265"/>
      <c r="G34" s="292">
        <f t="shared" si="1"/>
        <v>0</v>
      </c>
      <c r="H34" s="458">
        <f>IF($F34&gt;0,(VLOOKUP($D34,'LOCK_ME_Page 6_Rate Table'!$B$74:$C$81,2,FALSE)),0)</f>
        <v>0</v>
      </c>
      <c r="I34" s="300">
        <f t="shared" si="2"/>
        <v>0</v>
      </c>
      <c r="J34" s="300">
        <f t="shared" si="3"/>
        <v>0</v>
      </c>
      <c r="K34" s="266"/>
      <c r="L34" s="294">
        <f t="shared" si="4"/>
        <v>0</v>
      </c>
      <c r="M34" s="294">
        <f t="shared" si="5"/>
        <v>0</v>
      </c>
      <c r="N34" s="346"/>
      <c r="O34" s="301">
        <f t="shared" si="6"/>
        <v>0</v>
      </c>
      <c r="P34" s="301">
        <f t="shared" si="7"/>
        <v>0</v>
      </c>
      <c r="Q34" s="296">
        <f t="shared" si="8"/>
        <v>0</v>
      </c>
      <c r="R34" s="297">
        <f>SUMIF('LOCK_ME_Page 6_Rate Table'!$D$84:$D$108,$V34,'LOCK_ME_Page 6_Rate Table'!$G$84:$G$108)</f>
        <v>0</v>
      </c>
      <c r="S34" s="298"/>
      <c r="T34" s="296">
        <f t="shared" si="12"/>
        <v>0</v>
      </c>
      <c r="U34" s="299" t="str">
        <f t="shared" si="9"/>
        <v xml:space="preserve"> </v>
      </c>
      <c r="V34" s="337" t="str">
        <f t="shared" si="10"/>
        <v>0</v>
      </c>
      <c r="W34" s="329">
        <f>SUMIF('LOCK_ME_Page 6_Rate Table'!$D$84:$D$108,'Page 4'!$V34,'LOCK_ME_Page 6_Rate Table'!E$84:E$108)</f>
        <v>0</v>
      </c>
      <c r="X34" s="329">
        <f>SUMIF('LOCK_ME_Page 6_Rate Table'!$D$84:$D$108,'Page 4'!$V34,'LOCK_ME_Page 6_Rate Table'!F$84:F$108)</f>
        <v>0</v>
      </c>
      <c r="Y34" s="329">
        <f>SUMIF('LOCK_ME_Page 6_Rate Table'!$B$45:$B$53,'Page 4'!$D34,'LOCK_ME_Page 6_Rate Table'!$F$45:$F$53)</f>
        <v>0</v>
      </c>
      <c r="Z34" s="329">
        <f>IF($F34&gt;0,(VLOOKUP($D34,'LOCK_ME_Page 6_Rate Table'!$B$74:$C$81,2,FALSE)),0)</f>
        <v>0</v>
      </c>
    </row>
    <row r="35" spans="1:26" ht="14">
      <c r="A35" s="208">
        <f t="shared" si="11"/>
        <v>24</v>
      </c>
      <c r="B35" s="9" t="str">
        <f>CONCATENATE('Page 3'!C33," ",'Page 3'!B33)</f>
        <v xml:space="preserve"> </v>
      </c>
      <c r="C35" s="20" t="str">
        <f>CONCATENATE('Page 3'!J33," ",'Page 3'!I33)</f>
        <v xml:space="preserve"> </v>
      </c>
      <c r="D35" s="291">
        <f>'Page 3'!L33</f>
        <v>0</v>
      </c>
      <c r="E35" s="264"/>
      <c r="F35" s="265"/>
      <c r="G35" s="292">
        <f t="shared" si="1"/>
        <v>0</v>
      </c>
      <c r="H35" s="458">
        <f>IF($F35&gt;0,(VLOOKUP($D35,'LOCK_ME_Page 6_Rate Table'!$B$74:$C$81,2,FALSE)),0)</f>
        <v>0</v>
      </c>
      <c r="I35" s="300">
        <f t="shared" si="2"/>
        <v>0</v>
      </c>
      <c r="J35" s="300">
        <f t="shared" si="3"/>
        <v>0</v>
      </c>
      <c r="K35" s="266"/>
      <c r="L35" s="294">
        <f t="shared" si="4"/>
        <v>0</v>
      </c>
      <c r="M35" s="294">
        <f t="shared" si="5"/>
        <v>0</v>
      </c>
      <c r="N35" s="346"/>
      <c r="O35" s="301">
        <f t="shared" si="6"/>
        <v>0</v>
      </c>
      <c r="P35" s="301">
        <f t="shared" si="7"/>
        <v>0</v>
      </c>
      <c r="Q35" s="296">
        <f t="shared" si="8"/>
        <v>0</v>
      </c>
      <c r="R35" s="297">
        <f>SUMIF('LOCK_ME_Page 6_Rate Table'!$D$84:$D$108,$V35,'LOCK_ME_Page 6_Rate Table'!$G$84:$G$108)</f>
        <v>0</v>
      </c>
      <c r="S35" s="298"/>
      <c r="T35" s="296">
        <f t="shared" si="12"/>
        <v>0</v>
      </c>
      <c r="U35" s="299" t="str">
        <f t="shared" si="9"/>
        <v xml:space="preserve"> </v>
      </c>
      <c r="V35" s="337" t="str">
        <f t="shared" si="10"/>
        <v>0</v>
      </c>
      <c r="W35" s="329">
        <f>SUMIF('LOCK_ME_Page 6_Rate Table'!$D$84:$D$108,'Page 4'!$V35,'LOCK_ME_Page 6_Rate Table'!E$84:E$108)</f>
        <v>0</v>
      </c>
      <c r="X35" s="329">
        <f>SUMIF('LOCK_ME_Page 6_Rate Table'!$D$84:$D$108,'Page 4'!$V35,'LOCK_ME_Page 6_Rate Table'!F$84:F$108)</f>
        <v>0</v>
      </c>
      <c r="Y35" s="329">
        <f>SUMIF('LOCK_ME_Page 6_Rate Table'!$B$45:$B$53,'Page 4'!$D35,'LOCK_ME_Page 6_Rate Table'!$F$45:$F$53)</f>
        <v>0</v>
      </c>
      <c r="Z35" s="329">
        <f>IF($F35&gt;0,(VLOOKUP($D35,'LOCK_ME_Page 6_Rate Table'!$B$74:$C$81,2,FALSE)),0)</f>
        <v>0</v>
      </c>
    </row>
    <row r="36" spans="1:26" ht="14">
      <c r="A36" s="208">
        <f t="shared" si="11"/>
        <v>25</v>
      </c>
      <c r="B36" s="9" t="str">
        <f>CONCATENATE('Page 3'!C34," ",'Page 3'!B34)</f>
        <v xml:space="preserve"> </v>
      </c>
      <c r="C36" s="20" t="str">
        <f>CONCATENATE('Page 3'!J34," ",'Page 3'!I34)</f>
        <v xml:space="preserve"> </v>
      </c>
      <c r="D36" s="291">
        <f>'Page 3'!L34</f>
        <v>0</v>
      </c>
      <c r="E36" s="264"/>
      <c r="F36" s="265"/>
      <c r="G36" s="292">
        <f t="shared" si="1"/>
        <v>0</v>
      </c>
      <c r="H36" s="458">
        <f>IF($F36&gt;0,(VLOOKUP($D36,'LOCK_ME_Page 6_Rate Table'!$B$74:$C$81,2,FALSE)),0)</f>
        <v>0</v>
      </c>
      <c r="I36" s="300">
        <f t="shared" si="2"/>
        <v>0</v>
      </c>
      <c r="J36" s="300">
        <f t="shared" si="3"/>
        <v>0</v>
      </c>
      <c r="K36" s="266"/>
      <c r="L36" s="294">
        <f t="shared" si="4"/>
        <v>0</v>
      </c>
      <c r="M36" s="294">
        <f t="shared" si="5"/>
        <v>0</v>
      </c>
      <c r="N36" s="346"/>
      <c r="O36" s="301">
        <f t="shared" si="6"/>
        <v>0</v>
      </c>
      <c r="P36" s="301">
        <f t="shared" si="7"/>
        <v>0</v>
      </c>
      <c r="Q36" s="296">
        <f t="shared" si="8"/>
        <v>0</v>
      </c>
      <c r="R36" s="297">
        <f>SUMIF('LOCK_ME_Page 6_Rate Table'!$D$84:$D$108,$V36,'LOCK_ME_Page 6_Rate Table'!$G$84:$G$108)</f>
        <v>0</v>
      </c>
      <c r="S36" s="298"/>
      <c r="T36" s="296">
        <f t="shared" si="12"/>
        <v>0</v>
      </c>
      <c r="U36" s="299" t="str">
        <f t="shared" si="9"/>
        <v xml:space="preserve"> </v>
      </c>
      <c r="V36" s="337" t="str">
        <f t="shared" si="10"/>
        <v>0</v>
      </c>
      <c r="W36" s="329">
        <f>SUMIF('LOCK_ME_Page 6_Rate Table'!$D$84:$D$108,'Page 4'!$V36,'LOCK_ME_Page 6_Rate Table'!E$84:E$108)</f>
        <v>0</v>
      </c>
      <c r="X36" s="329">
        <f>SUMIF('LOCK_ME_Page 6_Rate Table'!$D$84:$D$108,'Page 4'!$V36,'LOCK_ME_Page 6_Rate Table'!F$84:F$108)</f>
        <v>0</v>
      </c>
      <c r="Y36" s="329">
        <f>SUMIF('LOCK_ME_Page 6_Rate Table'!$B$45:$B$53,'Page 4'!$D36,'LOCK_ME_Page 6_Rate Table'!$F$45:$F$53)</f>
        <v>0</v>
      </c>
      <c r="Z36" s="329">
        <f>IF($F36&gt;0,(VLOOKUP($D36,'LOCK_ME_Page 6_Rate Table'!$B$74:$C$81,2,FALSE)),0)</f>
        <v>0</v>
      </c>
    </row>
    <row r="37" spans="1:26" ht="14">
      <c r="A37" s="208">
        <f t="shared" si="11"/>
        <v>26</v>
      </c>
      <c r="B37" s="9" t="str">
        <f>CONCATENATE('Page 3'!C35," ",'Page 3'!B35)</f>
        <v xml:space="preserve"> </v>
      </c>
      <c r="C37" s="20" t="str">
        <f>CONCATENATE('Page 3'!J35," ",'Page 3'!I35)</f>
        <v xml:space="preserve"> </v>
      </c>
      <c r="D37" s="291">
        <f>'Page 3'!L35</f>
        <v>0</v>
      </c>
      <c r="E37" s="264"/>
      <c r="F37" s="265"/>
      <c r="G37" s="292">
        <f t="shared" si="1"/>
        <v>0</v>
      </c>
      <c r="H37" s="458">
        <f>IF($F37&gt;0,(VLOOKUP($D37,'LOCK_ME_Page 6_Rate Table'!$B$74:$C$81,2,FALSE)),0)</f>
        <v>0</v>
      </c>
      <c r="I37" s="300">
        <f t="shared" si="2"/>
        <v>0</v>
      </c>
      <c r="J37" s="300">
        <f t="shared" si="3"/>
        <v>0</v>
      </c>
      <c r="K37" s="266"/>
      <c r="L37" s="294">
        <f t="shared" si="4"/>
        <v>0</v>
      </c>
      <c r="M37" s="294">
        <f t="shared" si="5"/>
        <v>0</v>
      </c>
      <c r="N37" s="346"/>
      <c r="O37" s="301">
        <f t="shared" si="6"/>
        <v>0</v>
      </c>
      <c r="P37" s="301">
        <f t="shared" si="7"/>
        <v>0</v>
      </c>
      <c r="Q37" s="296">
        <f t="shared" si="8"/>
        <v>0</v>
      </c>
      <c r="R37" s="297">
        <f>SUMIF('LOCK_ME_Page 6_Rate Table'!$D$84:$D$108,$V37,'LOCK_ME_Page 6_Rate Table'!$G$84:$G$108)</f>
        <v>0</v>
      </c>
      <c r="S37" s="298"/>
      <c r="T37" s="296">
        <f t="shared" si="12"/>
        <v>0</v>
      </c>
      <c r="U37" s="299" t="str">
        <f t="shared" si="9"/>
        <v xml:space="preserve"> </v>
      </c>
      <c r="V37" s="337" t="str">
        <f t="shared" si="10"/>
        <v>0</v>
      </c>
      <c r="W37" s="329">
        <f>SUMIF('LOCK_ME_Page 6_Rate Table'!$D$84:$D$108,'Page 4'!$V37,'LOCK_ME_Page 6_Rate Table'!E$84:E$108)</f>
        <v>0</v>
      </c>
      <c r="X37" s="329">
        <f>SUMIF('LOCK_ME_Page 6_Rate Table'!$D$84:$D$108,'Page 4'!$V37,'LOCK_ME_Page 6_Rate Table'!F$84:F$108)</f>
        <v>0</v>
      </c>
      <c r="Y37" s="329">
        <f>SUMIF('LOCK_ME_Page 6_Rate Table'!$B$45:$B$53,'Page 4'!$D37,'LOCK_ME_Page 6_Rate Table'!$F$45:$F$53)</f>
        <v>0</v>
      </c>
      <c r="Z37" s="329">
        <f>IF($F37&gt;0,(VLOOKUP($D37,'LOCK_ME_Page 6_Rate Table'!$B$74:$C$81,2,FALSE)),0)</f>
        <v>0</v>
      </c>
    </row>
    <row r="38" spans="1:26" ht="14">
      <c r="A38" s="208">
        <f t="shared" si="11"/>
        <v>27</v>
      </c>
      <c r="B38" s="9" t="str">
        <f>CONCATENATE('Page 3'!C36," ",'Page 3'!B36)</f>
        <v xml:space="preserve"> </v>
      </c>
      <c r="C38" s="20" t="str">
        <f>CONCATENATE('Page 3'!J36," ",'Page 3'!I36)</f>
        <v xml:space="preserve"> </v>
      </c>
      <c r="D38" s="291">
        <f>'Page 3'!L36</f>
        <v>0</v>
      </c>
      <c r="E38" s="264"/>
      <c r="F38" s="265"/>
      <c r="G38" s="292">
        <f t="shared" si="1"/>
        <v>0</v>
      </c>
      <c r="H38" s="458">
        <f>IF($F38&gt;0,(VLOOKUP($D38,'LOCK_ME_Page 6_Rate Table'!$B$74:$C$81,2,FALSE)),0)</f>
        <v>0</v>
      </c>
      <c r="I38" s="300">
        <f t="shared" si="2"/>
        <v>0</v>
      </c>
      <c r="J38" s="300">
        <f t="shared" si="3"/>
        <v>0</v>
      </c>
      <c r="K38" s="266"/>
      <c r="L38" s="294">
        <f t="shared" si="4"/>
        <v>0</v>
      </c>
      <c r="M38" s="294">
        <f t="shared" si="5"/>
        <v>0</v>
      </c>
      <c r="N38" s="346"/>
      <c r="O38" s="301">
        <f t="shared" si="6"/>
        <v>0</v>
      </c>
      <c r="P38" s="301">
        <f t="shared" si="7"/>
        <v>0</v>
      </c>
      <c r="Q38" s="296">
        <f t="shared" si="8"/>
        <v>0</v>
      </c>
      <c r="R38" s="297">
        <f>SUMIF('LOCK_ME_Page 6_Rate Table'!$D$84:$D$108,$V38,'LOCK_ME_Page 6_Rate Table'!$G$84:$G$108)</f>
        <v>0</v>
      </c>
      <c r="S38" s="298"/>
      <c r="T38" s="296">
        <f t="shared" si="12"/>
        <v>0</v>
      </c>
      <c r="U38" s="299" t="str">
        <f t="shared" si="9"/>
        <v xml:space="preserve"> </v>
      </c>
      <c r="V38" s="337" t="str">
        <f t="shared" si="10"/>
        <v>0</v>
      </c>
      <c r="W38" s="329">
        <f>SUMIF('LOCK_ME_Page 6_Rate Table'!$D$84:$D$108,'Page 4'!$V38,'LOCK_ME_Page 6_Rate Table'!E$84:E$108)</f>
        <v>0</v>
      </c>
      <c r="X38" s="329">
        <f>SUMIF('LOCK_ME_Page 6_Rate Table'!$D$84:$D$108,'Page 4'!$V38,'LOCK_ME_Page 6_Rate Table'!F$84:F$108)</f>
        <v>0</v>
      </c>
      <c r="Y38" s="329">
        <f>SUMIF('LOCK_ME_Page 6_Rate Table'!$B$45:$B$53,'Page 4'!$D38,'LOCK_ME_Page 6_Rate Table'!$F$45:$F$53)</f>
        <v>0</v>
      </c>
      <c r="Z38" s="329">
        <f>IF($F38&gt;0,(VLOOKUP($D38,'LOCK_ME_Page 6_Rate Table'!$B$74:$C$81,2,FALSE)),0)</f>
        <v>0</v>
      </c>
    </row>
    <row r="39" spans="1:26" ht="14">
      <c r="A39" s="208">
        <f t="shared" si="11"/>
        <v>28</v>
      </c>
      <c r="B39" s="9" t="str">
        <f>CONCATENATE('Page 3'!C37," ",'Page 3'!B37)</f>
        <v xml:space="preserve"> </v>
      </c>
      <c r="C39" s="20" t="str">
        <f>CONCATENATE('Page 3'!J37," ",'Page 3'!I37)</f>
        <v xml:space="preserve"> </v>
      </c>
      <c r="D39" s="291">
        <f>'Page 3'!L37</f>
        <v>0</v>
      </c>
      <c r="E39" s="264"/>
      <c r="F39" s="265"/>
      <c r="G39" s="292">
        <f t="shared" si="1"/>
        <v>0</v>
      </c>
      <c r="H39" s="458">
        <f>IF($F39&gt;0,(VLOOKUP($D39,'LOCK_ME_Page 6_Rate Table'!$B$74:$C$81,2,FALSE)),0)</f>
        <v>0</v>
      </c>
      <c r="I39" s="300">
        <f t="shared" si="2"/>
        <v>0</v>
      </c>
      <c r="J39" s="300">
        <f t="shared" si="3"/>
        <v>0</v>
      </c>
      <c r="K39" s="266"/>
      <c r="L39" s="294">
        <f t="shared" si="4"/>
        <v>0</v>
      </c>
      <c r="M39" s="294">
        <f t="shared" si="5"/>
        <v>0</v>
      </c>
      <c r="N39" s="346"/>
      <c r="O39" s="301">
        <f t="shared" si="6"/>
        <v>0</v>
      </c>
      <c r="P39" s="301">
        <f t="shared" si="7"/>
        <v>0</v>
      </c>
      <c r="Q39" s="296">
        <f t="shared" si="8"/>
        <v>0</v>
      </c>
      <c r="R39" s="297">
        <f>SUMIF('LOCK_ME_Page 6_Rate Table'!$D$84:$D$108,$V39,'LOCK_ME_Page 6_Rate Table'!$G$84:$G$108)</f>
        <v>0</v>
      </c>
      <c r="S39" s="298"/>
      <c r="T39" s="296">
        <f t="shared" si="12"/>
        <v>0</v>
      </c>
      <c r="U39" s="299" t="str">
        <f t="shared" si="9"/>
        <v xml:space="preserve"> </v>
      </c>
      <c r="V39" s="337" t="str">
        <f t="shared" si="10"/>
        <v>0</v>
      </c>
      <c r="W39" s="329">
        <f>SUMIF('LOCK_ME_Page 6_Rate Table'!$D$84:$D$108,'Page 4'!$V39,'LOCK_ME_Page 6_Rate Table'!E$84:E$108)</f>
        <v>0</v>
      </c>
      <c r="X39" s="329">
        <f>SUMIF('LOCK_ME_Page 6_Rate Table'!$D$84:$D$108,'Page 4'!$V39,'LOCK_ME_Page 6_Rate Table'!F$84:F$108)</f>
        <v>0</v>
      </c>
      <c r="Y39" s="329">
        <f>SUMIF('LOCK_ME_Page 6_Rate Table'!$B$45:$B$53,'Page 4'!$D39,'LOCK_ME_Page 6_Rate Table'!$F$45:$F$53)</f>
        <v>0</v>
      </c>
      <c r="Z39" s="329">
        <f>IF($F39&gt;0,(VLOOKUP($D39,'LOCK_ME_Page 6_Rate Table'!$B$74:$C$81,2,FALSE)),0)</f>
        <v>0</v>
      </c>
    </row>
    <row r="40" spans="1:26" ht="14">
      <c r="A40" s="208">
        <f t="shared" si="11"/>
        <v>29</v>
      </c>
      <c r="B40" s="9" t="str">
        <f>CONCATENATE('Page 3'!C38," ",'Page 3'!B38)</f>
        <v xml:space="preserve"> </v>
      </c>
      <c r="C40" s="20" t="str">
        <f>CONCATENATE('Page 3'!J38," ",'Page 3'!I38)</f>
        <v xml:space="preserve"> </v>
      </c>
      <c r="D40" s="291">
        <f>'Page 3'!L38</f>
        <v>0</v>
      </c>
      <c r="E40" s="264"/>
      <c r="F40" s="265"/>
      <c r="G40" s="292">
        <f t="shared" si="1"/>
        <v>0</v>
      </c>
      <c r="H40" s="458">
        <f>IF($F40&gt;0,(VLOOKUP($D40,'LOCK_ME_Page 6_Rate Table'!$B$74:$C$81,2,FALSE)),0)</f>
        <v>0</v>
      </c>
      <c r="I40" s="300">
        <f t="shared" si="2"/>
        <v>0</v>
      </c>
      <c r="J40" s="300">
        <f t="shared" si="3"/>
        <v>0</v>
      </c>
      <c r="K40" s="266"/>
      <c r="L40" s="294">
        <f t="shared" si="4"/>
        <v>0</v>
      </c>
      <c r="M40" s="294">
        <f t="shared" si="5"/>
        <v>0</v>
      </c>
      <c r="N40" s="346"/>
      <c r="O40" s="301">
        <f t="shared" si="6"/>
        <v>0</v>
      </c>
      <c r="P40" s="301">
        <f t="shared" si="7"/>
        <v>0</v>
      </c>
      <c r="Q40" s="296">
        <f t="shared" si="8"/>
        <v>0</v>
      </c>
      <c r="R40" s="297">
        <f>SUMIF('LOCK_ME_Page 6_Rate Table'!$D$84:$D$108,$V40,'LOCK_ME_Page 6_Rate Table'!$G$84:$G$108)</f>
        <v>0</v>
      </c>
      <c r="S40" s="298"/>
      <c r="T40" s="296">
        <f t="shared" si="12"/>
        <v>0</v>
      </c>
      <c r="U40" s="299" t="str">
        <f t="shared" si="9"/>
        <v xml:space="preserve"> </v>
      </c>
      <c r="V40" s="337" t="str">
        <f t="shared" si="10"/>
        <v>0</v>
      </c>
      <c r="W40" s="329">
        <f>SUMIF('LOCK_ME_Page 6_Rate Table'!$D$84:$D$108,'Page 4'!$V40,'LOCK_ME_Page 6_Rate Table'!E$84:E$108)</f>
        <v>0</v>
      </c>
      <c r="X40" s="329">
        <f>SUMIF('LOCK_ME_Page 6_Rate Table'!$D$84:$D$108,'Page 4'!$V40,'LOCK_ME_Page 6_Rate Table'!F$84:F$108)</f>
        <v>0</v>
      </c>
      <c r="Y40" s="329">
        <f>SUMIF('LOCK_ME_Page 6_Rate Table'!$B$45:$B$53,'Page 4'!$D40,'LOCK_ME_Page 6_Rate Table'!$F$45:$F$53)</f>
        <v>0</v>
      </c>
      <c r="Z40" s="329">
        <f>IF($F40&gt;0,(VLOOKUP($D40,'LOCK_ME_Page 6_Rate Table'!$B$74:$C$81,2,FALSE)),0)</f>
        <v>0</v>
      </c>
    </row>
    <row r="41" spans="1:26" ht="14">
      <c r="A41" s="208">
        <f t="shared" si="11"/>
        <v>30</v>
      </c>
      <c r="B41" s="9" t="str">
        <f>CONCATENATE('Page 3'!C39," ",'Page 3'!B39)</f>
        <v xml:space="preserve"> </v>
      </c>
      <c r="C41" s="20" t="str">
        <f>CONCATENATE('Page 3'!J39," ",'Page 3'!I39)</f>
        <v xml:space="preserve"> </v>
      </c>
      <c r="D41" s="291">
        <f>'Page 3'!L39</f>
        <v>0</v>
      </c>
      <c r="E41" s="264"/>
      <c r="F41" s="265"/>
      <c r="G41" s="292">
        <f t="shared" si="1"/>
        <v>0</v>
      </c>
      <c r="H41" s="458">
        <f>IF($F41&gt;0,(VLOOKUP($D41,'LOCK_ME_Page 6_Rate Table'!$B$74:$C$81,2,FALSE)),0)</f>
        <v>0</v>
      </c>
      <c r="I41" s="300">
        <f t="shared" si="2"/>
        <v>0</v>
      </c>
      <c r="J41" s="300">
        <f t="shared" si="3"/>
        <v>0</v>
      </c>
      <c r="K41" s="266"/>
      <c r="L41" s="294">
        <f t="shared" si="4"/>
        <v>0</v>
      </c>
      <c r="M41" s="294">
        <f t="shared" si="5"/>
        <v>0</v>
      </c>
      <c r="N41" s="346"/>
      <c r="O41" s="301">
        <f t="shared" si="6"/>
        <v>0</v>
      </c>
      <c r="P41" s="301">
        <f t="shared" si="7"/>
        <v>0</v>
      </c>
      <c r="Q41" s="296">
        <f t="shared" si="8"/>
        <v>0</v>
      </c>
      <c r="R41" s="297">
        <f>SUMIF('LOCK_ME_Page 6_Rate Table'!$D$84:$D$108,$V41,'LOCK_ME_Page 6_Rate Table'!$G$84:$G$108)</f>
        <v>0</v>
      </c>
      <c r="S41" s="298"/>
      <c r="T41" s="296">
        <f t="shared" si="12"/>
        <v>0</v>
      </c>
      <c r="U41" s="299" t="str">
        <f t="shared" si="9"/>
        <v xml:space="preserve"> </v>
      </c>
      <c r="V41" s="337" t="str">
        <f t="shared" si="10"/>
        <v>0</v>
      </c>
      <c r="W41" s="329">
        <f>SUMIF('LOCK_ME_Page 6_Rate Table'!$D$84:$D$108,'Page 4'!$V41,'LOCK_ME_Page 6_Rate Table'!E$84:E$108)</f>
        <v>0</v>
      </c>
      <c r="X41" s="329">
        <f>SUMIF('LOCK_ME_Page 6_Rate Table'!$D$84:$D$108,'Page 4'!$V41,'LOCK_ME_Page 6_Rate Table'!F$84:F$108)</f>
        <v>0</v>
      </c>
      <c r="Y41" s="329">
        <f>SUMIF('LOCK_ME_Page 6_Rate Table'!$B$45:$B$53,'Page 4'!$D41,'LOCK_ME_Page 6_Rate Table'!$F$45:$F$53)</f>
        <v>0</v>
      </c>
      <c r="Z41" s="329">
        <f>IF($F41&gt;0,(VLOOKUP($D41,'LOCK_ME_Page 6_Rate Table'!$B$74:$C$81,2,FALSE)),0)</f>
        <v>0</v>
      </c>
    </row>
    <row r="42" spans="1:26" ht="14">
      <c r="A42" s="208">
        <f t="shared" si="11"/>
        <v>31</v>
      </c>
      <c r="B42" s="9" t="str">
        <f>CONCATENATE('Page 3'!C40," ",'Page 3'!B40)</f>
        <v xml:space="preserve"> </v>
      </c>
      <c r="C42" s="20" t="str">
        <f>CONCATENATE('Page 3'!J40," ",'Page 3'!I40)</f>
        <v xml:space="preserve"> </v>
      </c>
      <c r="D42" s="291">
        <f>'Page 3'!L40</f>
        <v>0</v>
      </c>
      <c r="E42" s="264"/>
      <c r="F42" s="265"/>
      <c r="G42" s="292">
        <f t="shared" si="1"/>
        <v>0</v>
      </c>
      <c r="H42" s="458">
        <f>IF($F42&gt;0,(VLOOKUP($D42,'LOCK_ME_Page 6_Rate Table'!$B$74:$C$81,2,FALSE)),0)</f>
        <v>0</v>
      </c>
      <c r="I42" s="300">
        <f t="shared" si="2"/>
        <v>0</v>
      </c>
      <c r="J42" s="300">
        <f t="shared" si="3"/>
        <v>0</v>
      </c>
      <c r="K42" s="266"/>
      <c r="L42" s="294">
        <f t="shared" si="4"/>
        <v>0</v>
      </c>
      <c r="M42" s="294">
        <f t="shared" si="5"/>
        <v>0</v>
      </c>
      <c r="N42" s="346"/>
      <c r="O42" s="301">
        <f t="shared" si="6"/>
        <v>0</v>
      </c>
      <c r="P42" s="301">
        <f t="shared" si="7"/>
        <v>0</v>
      </c>
      <c r="Q42" s="296">
        <f t="shared" si="8"/>
        <v>0</v>
      </c>
      <c r="R42" s="297">
        <f>SUMIF('LOCK_ME_Page 6_Rate Table'!$D$84:$D$108,$V42,'LOCK_ME_Page 6_Rate Table'!$G$84:$G$108)</f>
        <v>0</v>
      </c>
      <c r="S42" s="298"/>
      <c r="T42" s="296">
        <f t="shared" si="12"/>
        <v>0</v>
      </c>
      <c r="U42" s="299" t="str">
        <f t="shared" si="9"/>
        <v xml:space="preserve"> </v>
      </c>
      <c r="V42" s="337" t="str">
        <f t="shared" si="10"/>
        <v>0</v>
      </c>
      <c r="W42" s="329">
        <f>SUMIF('LOCK_ME_Page 6_Rate Table'!$D$84:$D$108,'Page 4'!$V42,'LOCK_ME_Page 6_Rate Table'!E$84:E$108)</f>
        <v>0</v>
      </c>
      <c r="X42" s="329">
        <f>SUMIF('LOCK_ME_Page 6_Rate Table'!$D$84:$D$108,'Page 4'!$V42,'LOCK_ME_Page 6_Rate Table'!F$84:F$108)</f>
        <v>0</v>
      </c>
      <c r="Y42" s="329">
        <f>SUMIF('LOCK_ME_Page 6_Rate Table'!$B$45:$B$53,'Page 4'!$D42,'LOCK_ME_Page 6_Rate Table'!$F$45:$F$53)</f>
        <v>0</v>
      </c>
      <c r="Z42" s="329">
        <f>IF($F42&gt;0,(VLOOKUP($D42,'LOCK_ME_Page 6_Rate Table'!$B$74:$C$81,2,FALSE)),0)</f>
        <v>0</v>
      </c>
    </row>
    <row r="43" spans="1:26" ht="14">
      <c r="A43" s="208">
        <f t="shared" si="11"/>
        <v>32</v>
      </c>
      <c r="B43" s="9" t="str">
        <f>CONCATENATE('Page 3'!C41," ",'Page 3'!B41)</f>
        <v xml:space="preserve"> </v>
      </c>
      <c r="C43" s="20" t="str">
        <f>CONCATENATE('Page 3'!J41," ",'Page 3'!I41)</f>
        <v xml:space="preserve"> </v>
      </c>
      <c r="D43" s="291">
        <f>'Page 3'!L41</f>
        <v>0</v>
      </c>
      <c r="E43" s="264"/>
      <c r="F43" s="265"/>
      <c r="G43" s="292">
        <f t="shared" si="1"/>
        <v>0</v>
      </c>
      <c r="H43" s="458">
        <f>IF($F43&gt;0,(VLOOKUP($D43,'LOCK_ME_Page 6_Rate Table'!$B$74:$C$81,2,FALSE)),0)</f>
        <v>0</v>
      </c>
      <c r="I43" s="300">
        <f t="shared" si="2"/>
        <v>0</v>
      </c>
      <c r="J43" s="300">
        <f t="shared" si="3"/>
        <v>0</v>
      </c>
      <c r="K43" s="266"/>
      <c r="L43" s="294">
        <f t="shared" si="4"/>
        <v>0</v>
      </c>
      <c r="M43" s="294">
        <f t="shared" si="5"/>
        <v>0</v>
      </c>
      <c r="N43" s="346"/>
      <c r="O43" s="301">
        <f t="shared" si="6"/>
        <v>0</v>
      </c>
      <c r="P43" s="301">
        <f t="shared" si="7"/>
        <v>0</v>
      </c>
      <c r="Q43" s="296">
        <f t="shared" si="8"/>
        <v>0</v>
      </c>
      <c r="R43" s="297">
        <f>SUMIF('LOCK_ME_Page 6_Rate Table'!$D$84:$D$108,$V43,'LOCK_ME_Page 6_Rate Table'!$G$84:$G$108)</f>
        <v>0</v>
      </c>
      <c r="S43" s="298"/>
      <c r="T43" s="296">
        <f t="shared" si="12"/>
        <v>0</v>
      </c>
      <c r="U43" s="299" t="str">
        <f t="shared" si="9"/>
        <v xml:space="preserve"> </v>
      </c>
      <c r="V43" s="337" t="str">
        <f t="shared" si="10"/>
        <v>0</v>
      </c>
      <c r="W43" s="329">
        <f>SUMIF('LOCK_ME_Page 6_Rate Table'!$D$84:$D$108,'Page 4'!$V43,'LOCK_ME_Page 6_Rate Table'!E$84:E$108)</f>
        <v>0</v>
      </c>
      <c r="X43" s="329">
        <f>SUMIF('LOCK_ME_Page 6_Rate Table'!$D$84:$D$108,'Page 4'!$V43,'LOCK_ME_Page 6_Rate Table'!F$84:F$108)</f>
        <v>0</v>
      </c>
      <c r="Y43" s="329">
        <f>SUMIF('LOCK_ME_Page 6_Rate Table'!$B$45:$B$53,'Page 4'!$D43,'LOCK_ME_Page 6_Rate Table'!$F$45:$F$53)</f>
        <v>0</v>
      </c>
      <c r="Z43" s="329">
        <f>IF($F43&gt;0,(VLOOKUP($D43,'LOCK_ME_Page 6_Rate Table'!$B$74:$C$81,2,FALSE)),0)</f>
        <v>0</v>
      </c>
    </row>
    <row r="44" spans="1:26" ht="14">
      <c r="A44" s="208">
        <f t="shared" si="11"/>
        <v>33</v>
      </c>
      <c r="B44" s="9" t="str">
        <f>CONCATENATE('Page 3'!C42," ",'Page 3'!B42)</f>
        <v xml:space="preserve"> </v>
      </c>
      <c r="C44" s="20" t="str">
        <f>CONCATENATE('Page 3'!J42," ",'Page 3'!I42)</f>
        <v xml:space="preserve"> </v>
      </c>
      <c r="D44" s="291">
        <f>'Page 3'!L42</f>
        <v>0</v>
      </c>
      <c r="E44" s="264"/>
      <c r="F44" s="265"/>
      <c r="G44" s="292">
        <f t="shared" si="1"/>
        <v>0</v>
      </c>
      <c r="H44" s="458">
        <f>IF($F44&gt;0,(VLOOKUP($D44,'LOCK_ME_Page 6_Rate Table'!$B$74:$C$81,2,FALSE)),0)</f>
        <v>0</v>
      </c>
      <c r="I44" s="300">
        <f t="shared" ref="I44:I61" si="13">H44*F44</f>
        <v>0</v>
      </c>
      <c r="J44" s="300">
        <f t="shared" si="3"/>
        <v>0</v>
      </c>
      <c r="K44" s="266"/>
      <c r="L44" s="294">
        <f t="shared" si="4"/>
        <v>0</v>
      </c>
      <c r="M44" s="294">
        <f t="shared" si="5"/>
        <v>0</v>
      </c>
      <c r="N44" s="346"/>
      <c r="O44" s="301">
        <f t="shared" si="6"/>
        <v>0</v>
      </c>
      <c r="P44" s="301">
        <f t="shared" si="7"/>
        <v>0</v>
      </c>
      <c r="Q44" s="296">
        <f t="shared" si="8"/>
        <v>0</v>
      </c>
      <c r="R44" s="297">
        <f>SUMIF('LOCK_ME_Page 6_Rate Table'!$D$84:$D$108,$V44,'LOCK_ME_Page 6_Rate Table'!$G$84:$G$108)</f>
        <v>0</v>
      </c>
      <c r="S44" s="298"/>
      <c r="T44" s="296">
        <f t="shared" si="12"/>
        <v>0</v>
      </c>
      <c r="U44" s="299" t="str">
        <f t="shared" si="9"/>
        <v xml:space="preserve"> </v>
      </c>
      <c r="V44" s="337" t="str">
        <f t="shared" si="10"/>
        <v>0</v>
      </c>
      <c r="W44" s="329">
        <f>SUMIF('LOCK_ME_Page 6_Rate Table'!$D$84:$D$108,'Page 4'!$V44,'LOCK_ME_Page 6_Rate Table'!E$84:E$108)</f>
        <v>0</v>
      </c>
      <c r="X44" s="329">
        <f>SUMIF('LOCK_ME_Page 6_Rate Table'!$D$84:$D$108,'Page 4'!$V44,'LOCK_ME_Page 6_Rate Table'!F$84:F$108)</f>
        <v>0</v>
      </c>
      <c r="Y44" s="329">
        <f>SUMIF('LOCK_ME_Page 6_Rate Table'!$B$45:$B$53,'Page 4'!$D44,'LOCK_ME_Page 6_Rate Table'!$F$45:$F$53)</f>
        <v>0</v>
      </c>
      <c r="Z44" s="329">
        <f>IF($F44&gt;0,(VLOOKUP($D44,'LOCK_ME_Page 6_Rate Table'!$B$74:$C$81,2,FALSE)),0)</f>
        <v>0</v>
      </c>
    </row>
    <row r="45" spans="1:26" ht="14">
      <c r="A45" s="208">
        <f t="shared" si="11"/>
        <v>34</v>
      </c>
      <c r="B45" s="9" t="str">
        <f>CONCATENATE('Page 3'!C43," ",'Page 3'!B43)</f>
        <v xml:space="preserve"> </v>
      </c>
      <c r="C45" s="20" t="str">
        <f>CONCATENATE('Page 3'!J43," ",'Page 3'!I43)</f>
        <v xml:space="preserve"> </v>
      </c>
      <c r="D45" s="291">
        <f>'Page 3'!L43</f>
        <v>0</v>
      </c>
      <c r="E45" s="264"/>
      <c r="F45" s="265"/>
      <c r="G45" s="292">
        <f t="shared" si="1"/>
        <v>0</v>
      </c>
      <c r="H45" s="458">
        <f>IF($F45&gt;0,(VLOOKUP($D45,'LOCK_ME_Page 6_Rate Table'!$B$74:$C$81,2,FALSE)),0)</f>
        <v>0</v>
      </c>
      <c r="I45" s="300">
        <f t="shared" si="13"/>
        <v>0</v>
      </c>
      <c r="J45" s="300">
        <f t="shared" si="3"/>
        <v>0</v>
      </c>
      <c r="K45" s="266"/>
      <c r="L45" s="294">
        <f t="shared" si="4"/>
        <v>0</v>
      </c>
      <c r="M45" s="294">
        <f t="shared" si="5"/>
        <v>0</v>
      </c>
      <c r="N45" s="346"/>
      <c r="O45" s="301">
        <f t="shared" si="6"/>
        <v>0</v>
      </c>
      <c r="P45" s="301">
        <f t="shared" si="7"/>
        <v>0</v>
      </c>
      <c r="Q45" s="296">
        <f t="shared" si="8"/>
        <v>0</v>
      </c>
      <c r="R45" s="297">
        <f>SUMIF('LOCK_ME_Page 6_Rate Table'!$D$84:$D$108,$V45,'LOCK_ME_Page 6_Rate Table'!$G$84:$G$108)</f>
        <v>0</v>
      </c>
      <c r="S45" s="298"/>
      <c r="T45" s="296">
        <f t="shared" si="12"/>
        <v>0</v>
      </c>
      <c r="U45" s="299" t="str">
        <f t="shared" si="9"/>
        <v xml:space="preserve"> </v>
      </c>
      <c r="V45" s="337" t="str">
        <f t="shared" si="10"/>
        <v>0</v>
      </c>
      <c r="W45" s="329">
        <f>SUMIF('LOCK_ME_Page 6_Rate Table'!$D$84:$D$108,'Page 4'!$V45,'LOCK_ME_Page 6_Rate Table'!E$84:E$108)</f>
        <v>0</v>
      </c>
      <c r="X45" s="329">
        <f>SUMIF('LOCK_ME_Page 6_Rate Table'!$D$84:$D$108,'Page 4'!$V45,'LOCK_ME_Page 6_Rate Table'!F$84:F$108)</f>
        <v>0</v>
      </c>
      <c r="Y45" s="329">
        <f>SUMIF('LOCK_ME_Page 6_Rate Table'!$B$45:$B$53,'Page 4'!$D45,'LOCK_ME_Page 6_Rate Table'!$F$45:$F$53)</f>
        <v>0</v>
      </c>
      <c r="Z45" s="329">
        <f>IF($F45&gt;0,(VLOOKUP($D45,'LOCK_ME_Page 6_Rate Table'!$B$74:$C$81,2,FALSE)),0)</f>
        <v>0</v>
      </c>
    </row>
    <row r="46" spans="1:26" ht="14">
      <c r="A46" s="208">
        <f t="shared" si="11"/>
        <v>35</v>
      </c>
      <c r="B46" s="9" t="str">
        <f>CONCATENATE('Page 3'!C44," ",'Page 3'!B44)</f>
        <v xml:space="preserve"> </v>
      </c>
      <c r="C46" s="20" t="str">
        <f>CONCATENATE('Page 3'!J44," ",'Page 3'!I44)</f>
        <v xml:space="preserve"> </v>
      </c>
      <c r="D46" s="291">
        <f>'Page 3'!L44</f>
        <v>0</v>
      </c>
      <c r="E46" s="264"/>
      <c r="F46" s="265"/>
      <c r="G46" s="292">
        <f t="shared" si="1"/>
        <v>0</v>
      </c>
      <c r="H46" s="458">
        <f>IF($F46&gt;0,(VLOOKUP($D46,'LOCK_ME_Page 6_Rate Table'!$B$74:$C$81,2,FALSE)),0)</f>
        <v>0</v>
      </c>
      <c r="I46" s="300">
        <f t="shared" si="13"/>
        <v>0</v>
      </c>
      <c r="J46" s="300">
        <f t="shared" si="3"/>
        <v>0</v>
      </c>
      <c r="K46" s="266"/>
      <c r="L46" s="294">
        <f t="shared" si="4"/>
        <v>0</v>
      </c>
      <c r="M46" s="294">
        <f t="shared" si="5"/>
        <v>0</v>
      </c>
      <c r="N46" s="346"/>
      <c r="O46" s="301">
        <f t="shared" si="6"/>
        <v>0</v>
      </c>
      <c r="P46" s="301">
        <f t="shared" si="7"/>
        <v>0</v>
      </c>
      <c r="Q46" s="296">
        <f t="shared" si="8"/>
        <v>0</v>
      </c>
      <c r="R46" s="297">
        <f>SUMIF('LOCK_ME_Page 6_Rate Table'!$D$84:$D$108,$V46,'LOCK_ME_Page 6_Rate Table'!$G$84:$G$108)</f>
        <v>0</v>
      </c>
      <c r="S46" s="298"/>
      <c r="T46" s="296">
        <f t="shared" si="12"/>
        <v>0</v>
      </c>
      <c r="U46" s="299" t="str">
        <f t="shared" si="9"/>
        <v xml:space="preserve"> </v>
      </c>
      <c r="V46" s="337" t="str">
        <f t="shared" si="10"/>
        <v>0</v>
      </c>
      <c r="W46" s="329">
        <f>SUMIF('LOCK_ME_Page 6_Rate Table'!$D$84:$D$108,'Page 4'!$V46,'LOCK_ME_Page 6_Rate Table'!E$84:E$108)</f>
        <v>0</v>
      </c>
      <c r="X46" s="329">
        <f>SUMIF('LOCK_ME_Page 6_Rate Table'!$D$84:$D$108,'Page 4'!$V46,'LOCK_ME_Page 6_Rate Table'!F$84:F$108)</f>
        <v>0</v>
      </c>
      <c r="Y46" s="329">
        <f>SUMIF('LOCK_ME_Page 6_Rate Table'!$B$45:$B$53,'Page 4'!$D46,'LOCK_ME_Page 6_Rate Table'!$F$45:$F$53)</f>
        <v>0</v>
      </c>
      <c r="Z46" s="329">
        <f>IF($F46&gt;0,(VLOOKUP($D46,'LOCK_ME_Page 6_Rate Table'!$B$74:$C$81,2,FALSE)),0)</f>
        <v>0</v>
      </c>
    </row>
    <row r="47" spans="1:26" ht="14">
      <c r="A47" s="208">
        <f t="shared" si="11"/>
        <v>36</v>
      </c>
      <c r="B47" s="9" t="str">
        <f>CONCATENATE('Page 3'!C45," ",'Page 3'!B45)</f>
        <v xml:space="preserve"> </v>
      </c>
      <c r="C47" s="20" t="str">
        <f>CONCATENATE('Page 3'!J45," ",'Page 3'!I45)</f>
        <v xml:space="preserve"> </v>
      </c>
      <c r="D47" s="291">
        <f>'Page 3'!L45</f>
        <v>0</v>
      </c>
      <c r="E47" s="264"/>
      <c r="F47" s="265"/>
      <c r="G47" s="292">
        <f t="shared" si="1"/>
        <v>0</v>
      </c>
      <c r="H47" s="458">
        <f>IF($F47&gt;0,(VLOOKUP($D47,'LOCK_ME_Page 6_Rate Table'!$B$74:$C$81,2,FALSE)),0)</f>
        <v>0</v>
      </c>
      <c r="I47" s="300">
        <f t="shared" si="13"/>
        <v>0</v>
      </c>
      <c r="J47" s="300">
        <f t="shared" si="3"/>
        <v>0</v>
      </c>
      <c r="K47" s="266"/>
      <c r="L47" s="294">
        <f t="shared" si="4"/>
        <v>0</v>
      </c>
      <c r="M47" s="294">
        <f t="shared" si="5"/>
        <v>0</v>
      </c>
      <c r="N47" s="346"/>
      <c r="O47" s="301">
        <f t="shared" si="6"/>
        <v>0</v>
      </c>
      <c r="P47" s="301">
        <f t="shared" si="7"/>
        <v>0</v>
      </c>
      <c r="Q47" s="296">
        <f t="shared" si="8"/>
        <v>0</v>
      </c>
      <c r="R47" s="297">
        <f>SUMIF('LOCK_ME_Page 6_Rate Table'!$D$84:$D$108,$V47,'LOCK_ME_Page 6_Rate Table'!$G$84:$G$108)</f>
        <v>0</v>
      </c>
      <c r="S47" s="298"/>
      <c r="T47" s="296">
        <f t="shared" si="12"/>
        <v>0</v>
      </c>
      <c r="U47" s="299" t="str">
        <f t="shared" si="9"/>
        <v xml:space="preserve"> </v>
      </c>
      <c r="V47" s="337" t="str">
        <f t="shared" si="10"/>
        <v>0</v>
      </c>
      <c r="W47" s="329">
        <f>SUMIF('LOCK_ME_Page 6_Rate Table'!$D$84:$D$108,'Page 4'!$V47,'LOCK_ME_Page 6_Rate Table'!E$84:E$108)</f>
        <v>0</v>
      </c>
      <c r="X47" s="329">
        <f>SUMIF('LOCK_ME_Page 6_Rate Table'!$D$84:$D$108,'Page 4'!$V47,'LOCK_ME_Page 6_Rate Table'!F$84:F$108)</f>
        <v>0</v>
      </c>
      <c r="Y47" s="329">
        <f>SUMIF('LOCK_ME_Page 6_Rate Table'!$B$45:$B$53,'Page 4'!$D47,'LOCK_ME_Page 6_Rate Table'!$F$45:$F$53)</f>
        <v>0</v>
      </c>
      <c r="Z47" s="329">
        <f>IF($F47&gt;0,(VLOOKUP($D47,'LOCK_ME_Page 6_Rate Table'!$B$74:$C$81,2,FALSE)),0)</f>
        <v>0</v>
      </c>
    </row>
    <row r="48" spans="1:26" ht="14">
      <c r="A48" s="208">
        <f t="shared" si="11"/>
        <v>37</v>
      </c>
      <c r="B48" s="9" t="str">
        <f>CONCATENATE('Page 3'!C46," ",'Page 3'!B46)</f>
        <v xml:space="preserve"> </v>
      </c>
      <c r="C48" s="20" t="str">
        <f>CONCATENATE('Page 3'!J46," ",'Page 3'!I46)</f>
        <v xml:space="preserve"> </v>
      </c>
      <c r="D48" s="291">
        <f>'Page 3'!L46</f>
        <v>0</v>
      </c>
      <c r="E48" s="264"/>
      <c r="F48" s="265"/>
      <c r="G48" s="292">
        <f t="shared" si="1"/>
        <v>0</v>
      </c>
      <c r="H48" s="458">
        <f>IF($F48&gt;0,(VLOOKUP($D48,'LOCK_ME_Page 6_Rate Table'!$B$74:$C$81,2,FALSE)),0)</f>
        <v>0</v>
      </c>
      <c r="I48" s="300">
        <f t="shared" si="13"/>
        <v>0</v>
      </c>
      <c r="J48" s="300">
        <f t="shared" si="3"/>
        <v>0</v>
      </c>
      <c r="K48" s="266"/>
      <c r="L48" s="294">
        <f t="shared" si="4"/>
        <v>0</v>
      </c>
      <c r="M48" s="294">
        <f t="shared" si="5"/>
        <v>0</v>
      </c>
      <c r="N48" s="346"/>
      <c r="O48" s="301">
        <f t="shared" si="6"/>
        <v>0</v>
      </c>
      <c r="P48" s="301">
        <f t="shared" si="7"/>
        <v>0</v>
      </c>
      <c r="Q48" s="296">
        <f t="shared" si="8"/>
        <v>0</v>
      </c>
      <c r="R48" s="297">
        <f>SUMIF('LOCK_ME_Page 6_Rate Table'!$D$84:$D$108,$V48,'LOCK_ME_Page 6_Rate Table'!$G$84:$G$108)</f>
        <v>0</v>
      </c>
      <c r="S48" s="298"/>
      <c r="T48" s="296">
        <f t="shared" si="12"/>
        <v>0</v>
      </c>
      <c r="U48" s="299" t="str">
        <f t="shared" si="9"/>
        <v xml:space="preserve"> </v>
      </c>
      <c r="V48" s="337" t="str">
        <f t="shared" si="10"/>
        <v>0</v>
      </c>
      <c r="W48" s="329">
        <f>SUMIF('LOCK_ME_Page 6_Rate Table'!$D$84:$D$108,'Page 4'!$V48,'LOCK_ME_Page 6_Rate Table'!E$84:E$108)</f>
        <v>0</v>
      </c>
      <c r="X48" s="329">
        <f>SUMIF('LOCK_ME_Page 6_Rate Table'!$D$84:$D$108,'Page 4'!$V48,'LOCK_ME_Page 6_Rate Table'!F$84:F$108)</f>
        <v>0</v>
      </c>
      <c r="Y48" s="329">
        <f>SUMIF('LOCK_ME_Page 6_Rate Table'!$B$45:$B$53,'Page 4'!$D48,'LOCK_ME_Page 6_Rate Table'!$F$45:$F$53)</f>
        <v>0</v>
      </c>
      <c r="Z48" s="329">
        <f>IF($F48&gt;0,(VLOOKUP($D48,'LOCK_ME_Page 6_Rate Table'!$B$74:$C$81,2,FALSE)),0)</f>
        <v>0</v>
      </c>
    </row>
    <row r="49" spans="1:26" ht="14">
      <c r="A49" s="208">
        <f t="shared" si="11"/>
        <v>38</v>
      </c>
      <c r="B49" s="9" t="str">
        <f>CONCATENATE('Page 3'!C47," ",'Page 3'!B47)</f>
        <v xml:space="preserve"> </v>
      </c>
      <c r="C49" s="20" t="str">
        <f>CONCATENATE('Page 3'!J47," ",'Page 3'!I47)</f>
        <v xml:space="preserve"> </v>
      </c>
      <c r="D49" s="291">
        <f>'Page 3'!L47</f>
        <v>0</v>
      </c>
      <c r="E49" s="264"/>
      <c r="F49" s="265"/>
      <c r="G49" s="292">
        <f t="shared" si="1"/>
        <v>0</v>
      </c>
      <c r="H49" s="458">
        <f>IF($F49&gt;0,(VLOOKUP($D49,'LOCK_ME_Page 6_Rate Table'!$B$74:$C$81,2,FALSE)),0)</f>
        <v>0</v>
      </c>
      <c r="I49" s="300">
        <f t="shared" si="13"/>
        <v>0</v>
      </c>
      <c r="J49" s="300">
        <f t="shared" si="3"/>
        <v>0</v>
      </c>
      <c r="K49" s="266"/>
      <c r="L49" s="294">
        <f t="shared" si="4"/>
        <v>0</v>
      </c>
      <c r="M49" s="294">
        <f t="shared" si="5"/>
        <v>0</v>
      </c>
      <c r="N49" s="346"/>
      <c r="O49" s="301">
        <f t="shared" si="6"/>
        <v>0</v>
      </c>
      <c r="P49" s="301">
        <f t="shared" si="7"/>
        <v>0</v>
      </c>
      <c r="Q49" s="296">
        <f t="shared" si="8"/>
        <v>0</v>
      </c>
      <c r="R49" s="297">
        <f>SUMIF('LOCK_ME_Page 6_Rate Table'!$D$84:$D$108,$V49,'LOCK_ME_Page 6_Rate Table'!$G$84:$G$108)</f>
        <v>0</v>
      </c>
      <c r="S49" s="298"/>
      <c r="T49" s="296">
        <f t="shared" si="12"/>
        <v>0</v>
      </c>
      <c r="U49" s="299" t="str">
        <f t="shared" si="9"/>
        <v xml:space="preserve"> </v>
      </c>
      <c r="V49" s="337" t="str">
        <f t="shared" si="10"/>
        <v>0</v>
      </c>
      <c r="W49" s="329">
        <f>SUMIF('LOCK_ME_Page 6_Rate Table'!$D$84:$D$108,'Page 4'!$V49,'LOCK_ME_Page 6_Rate Table'!E$84:E$108)</f>
        <v>0</v>
      </c>
      <c r="X49" s="329">
        <f>SUMIF('LOCK_ME_Page 6_Rate Table'!$D$84:$D$108,'Page 4'!$V49,'LOCK_ME_Page 6_Rate Table'!F$84:F$108)</f>
        <v>0</v>
      </c>
      <c r="Y49" s="329">
        <f>SUMIF('LOCK_ME_Page 6_Rate Table'!$B$45:$B$53,'Page 4'!$D49,'LOCK_ME_Page 6_Rate Table'!$F$45:$F$53)</f>
        <v>0</v>
      </c>
      <c r="Z49" s="329">
        <f>IF($F49&gt;0,(VLOOKUP($D49,'LOCK_ME_Page 6_Rate Table'!$B$74:$C$81,2,FALSE)),0)</f>
        <v>0</v>
      </c>
    </row>
    <row r="50" spans="1:26" ht="14">
      <c r="A50" s="208">
        <f t="shared" si="11"/>
        <v>39</v>
      </c>
      <c r="B50" s="9" t="str">
        <f>CONCATENATE('Page 3'!C48," ",'Page 3'!B48)</f>
        <v xml:space="preserve"> </v>
      </c>
      <c r="C50" s="20" t="str">
        <f>CONCATENATE('Page 3'!J48," ",'Page 3'!I48)</f>
        <v xml:space="preserve"> </v>
      </c>
      <c r="D50" s="291">
        <f>'Page 3'!L48</f>
        <v>0</v>
      </c>
      <c r="E50" s="264"/>
      <c r="F50" s="265"/>
      <c r="G50" s="292">
        <f t="shared" si="1"/>
        <v>0</v>
      </c>
      <c r="H50" s="458">
        <f>IF($F50&gt;0,(VLOOKUP($D50,'LOCK_ME_Page 6_Rate Table'!$B$74:$C$81,2,FALSE)),0)</f>
        <v>0</v>
      </c>
      <c r="I50" s="300">
        <f t="shared" si="13"/>
        <v>0</v>
      </c>
      <c r="J50" s="300">
        <f t="shared" si="3"/>
        <v>0</v>
      </c>
      <c r="K50" s="266"/>
      <c r="L50" s="294">
        <f t="shared" si="4"/>
        <v>0</v>
      </c>
      <c r="M50" s="294">
        <f t="shared" si="5"/>
        <v>0</v>
      </c>
      <c r="N50" s="346"/>
      <c r="O50" s="301">
        <f t="shared" si="6"/>
        <v>0</v>
      </c>
      <c r="P50" s="301">
        <f t="shared" si="7"/>
        <v>0</v>
      </c>
      <c r="Q50" s="296">
        <f t="shared" si="8"/>
        <v>0</v>
      </c>
      <c r="R50" s="297">
        <f>SUMIF('LOCK_ME_Page 6_Rate Table'!$D$84:$D$108,$V50,'LOCK_ME_Page 6_Rate Table'!$G$84:$G$108)</f>
        <v>0</v>
      </c>
      <c r="S50" s="298"/>
      <c r="T50" s="296">
        <f t="shared" si="12"/>
        <v>0</v>
      </c>
      <c r="U50" s="299" t="str">
        <f t="shared" si="9"/>
        <v xml:space="preserve"> </v>
      </c>
      <c r="V50" s="337" t="str">
        <f t="shared" si="10"/>
        <v>0</v>
      </c>
      <c r="W50" s="329">
        <f>SUMIF('LOCK_ME_Page 6_Rate Table'!$D$84:$D$108,'Page 4'!$V50,'LOCK_ME_Page 6_Rate Table'!E$84:E$108)</f>
        <v>0</v>
      </c>
      <c r="X50" s="329">
        <f>SUMIF('LOCK_ME_Page 6_Rate Table'!$D$84:$D$108,'Page 4'!$V50,'LOCK_ME_Page 6_Rate Table'!F$84:F$108)</f>
        <v>0</v>
      </c>
      <c r="Y50" s="329">
        <f>SUMIF('LOCK_ME_Page 6_Rate Table'!$B$45:$B$53,'Page 4'!$D50,'LOCK_ME_Page 6_Rate Table'!$F$45:$F$53)</f>
        <v>0</v>
      </c>
      <c r="Z50" s="329">
        <f>IF($F50&gt;0,(VLOOKUP($D50,'LOCK_ME_Page 6_Rate Table'!$B$74:$C$81,2,FALSE)),0)</f>
        <v>0</v>
      </c>
    </row>
    <row r="51" spans="1:26" ht="14">
      <c r="A51" s="208">
        <f t="shared" si="11"/>
        <v>40</v>
      </c>
      <c r="B51" s="9" t="str">
        <f>CONCATENATE('Page 3'!C49," ",'Page 3'!B49)</f>
        <v xml:space="preserve"> </v>
      </c>
      <c r="C51" s="20" t="str">
        <f>CONCATENATE('Page 3'!J49," ",'Page 3'!I49)</f>
        <v xml:space="preserve"> </v>
      </c>
      <c r="D51" s="291">
        <f>'Page 3'!L49</f>
        <v>0</v>
      </c>
      <c r="E51" s="264"/>
      <c r="F51" s="265"/>
      <c r="G51" s="292">
        <f t="shared" si="1"/>
        <v>0</v>
      </c>
      <c r="H51" s="458">
        <f>IF($F51&gt;0,(VLOOKUP($D51,'LOCK_ME_Page 6_Rate Table'!$B$74:$C$81,2,FALSE)),0)</f>
        <v>0</v>
      </c>
      <c r="I51" s="300">
        <f t="shared" si="13"/>
        <v>0</v>
      </c>
      <c r="J51" s="300">
        <f t="shared" si="3"/>
        <v>0</v>
      </c>
      <c r="K51" s="266"/>
      <c r="L51" s="294">
        <f t="shared" si="4"/>
        <v>0</v>
      </c>
      <c r="M51" s="294">
        <f t="shared" si="5"/>
        <v>0</v>
      </c>
      <c r="N51" s="346"/>
      <c r="O51" s="301">
        <f t="shared" si="6"/>
        <v>0</v>
      </c>
      <c r="P51" s="301">
        <f t="shared" si="7"/>
        <v>0</v>
      </c>
      <c r="Q51" s="296">
        <f t="shared" si="8"/>
        <v>0</v>
      </c>
      <c r="R51" s="297">
        <f>SUMIF('LOCK_ME_Page 6_Rate Table'!$D$84:$D$108,$V51,'LOCK_ME_Page 6_Rate Table'!$G$84:$G$108)</f>
        <v>0</v>
      </c>
      <c r="S51" s="298"/>
      <c r="T51" s="296">
        <f t="shared" si="12"/>
        <v>0</v>
      </c>
      <c r="U51" s="299" t="str">
        <f t="shared" si="9"/>
        <v xml:space="preserve"> </v>
      </c>
      <c r="V51" s="337" t="str">
        <f t="shared" si="10"/>
        <v>0</v>
      </c>
      <c r="W51" s="329">
        <f>SUMIF('LOCK_ME_Page 6_Rate Table'!$D$84:$D$108,'Page 4'!$V51,'LOCK_ME_Page 6_Rate Table'!E$84:E$108)</f>
        <v>0</v>
      </c>
      <c r="X51" s="329">
        <f>SUMIF('LOCK_ME_Page 6_Rate Table'!$D$84:$D$108,'Page 4'!$V51,'LOCK_ME_Page 6_Rate Table'!F$84:F$108)</f>
        <v>0</v>
      </c>
      <c r="Y51" s="329">
        <f>SUMIF('LOCK_ME_Page 6_Rate Table'!$B$45:$B$53,'Page 4'!$D51,'LOCK_ME_Page 6_Rate Table'!$F$45:$F$53)</f>
        <v>0</v>
      </c>
      <c r="Z51" s="329">
        <f>IF($F51&gt;0,(VLOOKUP($D51,'LOCK_ME_Page 6_Rate Table'!$B$74:$C$81,2,FALSE)),0)</f>
        <v>0</v>
      </c>
    </row>
    <row r="52" spans="1:26" ht="14">
      <c r="A52" s="208">
        <f t="shared" si="11"/>
        <v>41</v>
      </c>
      <c r="B52" s="9" t="str">
        <f>CONCATENATE('Page 3'!C50," ",'Page 3'!B50)</f>
        <v xml:space="preserve"> </v>
      </c>
      <c r="C52" s="20" t="str">
        <f>CONCATENATE('Page 3'!J50," ",'Page 3'!I50)</f>
        <v xml:space="preserve"> </v>
      </c>
      <c r="D52" s="291">
        <f>'Page 3'!L50</f>
        <v>0</v>
      </c>
      <c r="E52" s="264"/>
      <c r="F52" s="265"/>
      <c r="G52" s="292">
        <f t="shared" si="1"/>
        <v>0</v>
      </c>
      <c r="H52" s="458">
        <f>IF($F52&gt;0,(VLOOKUP($D52,'LOCK_ME_Page 6_Rate Table'!$B$74:$C$81,2,FALSE)),0)</f>
        <v>0</v>
      </c>
      <c r="I52" s="300">
        <f t="shared" si="13"/>
        <v>0</v>
      </c>
      <c r="J52" s="300">
        <f t="shared" si="3"/>
        <v>0</v>
      </c>
      <c r="K52" s="266"/>
      <c r="L52" s="294">
        <f t="shared" si="4"/>
        <v>0</v>
      </c>
      <c r="M52" s="294">
        <f t="shared" si="5"/>
        <v>0</v>
      </c>
      <c r="N52" s="346"/>
      <c r="O52" s="301">
        <f t="shared" si="6"/>
        <v>0</v>
      </c>
      <c r="P52" s="301">
        <f t="shared" si="7"/>
        <v>0</v>
      </c>
      <c r="Q52" s="296">
        <f t="shared" si="8"/>
        <v>0</v>
      </c>
      <c r="R52" s="297">
        <f>SUMIF('LOCK_ME_Page 6_Rate Table'!$D$84:$D$108,$V52,'LOCK_ME_Page 6_Rate Table'!$G$84:$G$108)</f>
        <v>0</v>
      </c>
      <c r="S52" s="298"/>
      <c r="T52" s="296">
        <f t="shared" si="12"/>
        <v>0</v>
      </c>
      <c r="U52" s="299" t="str">
        <f t="shared" si="9"/>
        <v xml:space="preserve"> </v>
      </c>
      <c r="V52" s="337" t="str">
        <f t="shared" si="10"/>
        <v>0</v>
      </c>
      <c r="W52" s="329">
        <f>SUMIF('LOCK_ME_Page 6_Rate Table'!$D$84:$D$108,'Page 4'!$V52,'LOCK_ME_Page 6_Rate Table'!E$84:E$108)</f>
        <v>0</v>
      </c>
      <c r="X52" s="329">
        <f>SUMIF('LOCK_ME_Page 6_Rate Table'!$D$84:$D$108,'Page 4'!$V52,'LOCK_ME_Page 6_Rate Table'!F$84:F$108)</f>
        <v>0</v>
      </c>
      <c r="Y52" s="329">
        <f>SUMIF('LOCK_ME_Page 6_Rate Table'!$B$45:$B$53,'Page 4'!$D52,'LOCK_ME_Page 6_Rate Table'!$F$45:$F$53)</f>
        <v>0</v>
      </c>
      <c r="Z52" s="329">
        <f>IF($F52&gt;0,(VLOOKUP($D52,'LOCK_ME_Page 6_Rate Table'!$B$74:$C$81,2,FALSE)),0)</f>
        <v>0</v>
      </c>
    </row>
    <row r="53" spans="1:26" ht="14">
      <c r="A53" s="208">
        <f t="shared" si="11"/>
        <v>42</v>
      </c>
      <c r="B53" s="9" t="str">
        <f>CONCATENATE('Page 3'!C51," ",'Page 3'!B51)</f>
        <v xml:space="preserve"> </v>
      </c>
      <c r="C53" s="20" t="str">
        <f>CONCATENATE('Page 3'!J51," ",'Page 3'!I51)</f>
        <v xml:space="preserve"> </v>
      </c>
      <c r="D53" s="291">
        <f>'Page 3'!L51</f>
        <v>0</v>
      </c>
      <c r="E53" s="264"/>
      <c r="F53" s="265"/>
      <c r="G53" s="292">
        <f t="shared" si="1"/>
        <v>0</v>
      </c>
      <c r="H53" s="458">
        <f>IF($F53&gt;0,(VLOOKUP($D53,'LOCK_ME_Page 6_Rate Table'!$B$74:$C$81,2,FALSE)),0)</f>
        <v>0</v>
      </c>
      <c r="I53" s="300">
        <f t="shared" si="13"/>
        <v>0</v>
      </c>
      <c r="J53" s="300">
        <f t="shared" si="3"/>
        <v>0</v>
      </c>
      <c r="K53" s="266"/>
      <c r="L53" s="294">
        <f t="shared" si="4"/>
        <v>0</v>
      </c>
      <c r="M53" s="294">
        <f t="shared" si="5"/>
        <v>0</v>
      </c>
      <c r="N53" s="346"/>
      <c r="O53" s="301">
        <f t="shared" si="6"/>
        <v>0</v>
      </c>
      <c r="P53" s="301">
        <f t="shared" si="7"/>
        <v>0</v>
      </c>
      <c r="Q53" s="296">
        <f t="shared" si="8"/>
        <v>0</v>
      </c>
      <c r="R53" s="297">
        <f>SUMIF('LOCK_ME_Page 6_Rate Table'!$D$84:$D$108,$V53,'LOCK_ME_Page 6_Rate Table'!$G$84:$G$108)</f>
        <v>0</v>
      </c>
      <c r="S53" s="298"/>
      <c r="T53" s="296">
        <f t="shared" si="12"/>
        <v>0</v>
      </c>
      <c r="U53" s="299" t="str">
        <f t="shared" si="9"/>
        <v xml:space="preserve"> </v>
      </c>
      <c r="V53" s="337" t="str">
        <f t="shared" si="10"/>
        <v>0</v>
      </c>
      <c r="W53" s="329">
        <f>SUMIF('LOCK_ME_Page 6_Rate Table'!$D$84:$D$108,'Page 4'!$V53,'LOCK_ME_Page 6_Rate Table'!E$84:E$108)</f>
        <v>0</v>
      </c>
      <c r="X53" s="329">
        <f>SUMIF('LOCK_ME_Page 6_Rate Table'!$D$84:$D$108,'Page 4'!$V53,'LOCK_ME_Page 6_Rate Table'!F$84:F$108)</f>
        <v>0</v>
      </c>
      <c r="Y53" s="329">
        <f>SUMIF('LOCK_ME_Page 6_Rate Table'!$B$45:$B$53,'Page 4'!$D53,'LOCK_ME_Page 6_Rate Table'!$F$45:$F$53)</f>
        <v>0</v>
      </c>
      <c r="Z53" s="329">
        <f>IF($F53&gt;0,(VLOOKUP($D53,'LOCK_ME_Page 6_Rate Table'!$B$74:$C$81,2,FALSE)),0)</f>
        <v>0</v>
      </c>
    </row>
    <row r="54" spans="1:26" ht="14">
      <c r="A54" s="208">
        <f t="shared" si="11"/>
        <v>43</v>
      </c>
      <c r="B54" s="9" t="str">
        <f>CONCATENATE('Page 3'!C52," ",'Page 3'!B52)</f>
        <v xml:space="preserve"> </v>
      </c>
      <c r="C54" s="20" t="str">
        <f>CONCATENATE('Page 3'!J52," ",'Page 3'!I52)</f>
        <v xml:space="preserve"> </v>
      </c>
      <c r="D54" s="291">
        <f>'Page 3'!L52</f>
        <v>0</v>
      </c>
      <c r="E54" s="264"/>
      <c r="F54" s="265"/>
      <c r="G54" s="292">
        <f t="shared" si="1"/>
        <v>0</v>
      </c>
      <c r="H54" s="458">
        <f>IF($F54&gt;0,(VLOOKUP($D54,'LOCK_ME_Page 6_Rate Table'!$B$74:$C$81,2,FALSE)),0)</f>
        <v>0</v>
      </c>
      <c r="I54" s="300">
        <f t="shared" si="13"/>
        <v>0</v>
      </c>
      <c r="J54" s="300">
        <f t="shared" si="3"/>
        <v>0</v>
      </c>
      <c r="K54" s="266"/>
      <c r="L54" s="294">
        <f t="shared" si="4"/>
        <v>0</v>
      </c>
      <c r="M54" s="294">
        <f t="shared" si="5"/>
        <v>0</v>
      </c>
      <c r="N54" s="346"/>
      <c r="O54" s="301">
        <f t="shared" si="6"/>
        <v>0</v>
      </c>
      <c r="P54" s="301">
        <f t="shared" si="7"/>
        <v>0</v>
      </c>
      <c r="Q54" s="296">
        <f t="shared" si="8"/>
        <v>0</v>
      </c>
      <c r="R54" s="297">
        <f>SUMIF('LOCK_ME_Page 6_Rate Table'!$D$84:$D$108,$V54,'LOCK_ME_Page 6_Rate Table'!$G$84:$G$108)</f>
        <v>0</v>
      </c>
      <c r="S54" s="298"/>
      <c r="T54" s="296">
        <f t="shared" si="12"/>
        <v>0</v>
      </c>
      <c r="U54" s="299" t="str">
        <f t="shared" si="9"/>
        <v xml:space="preserve"> </v>
      </c>
      <c r="V54" s="337" t="str">
        <f t="shared" si="10"/>
        <v>0</v>
      </c>
      <c r="W54" s="329">
        <f>SUMIF('LOCK_ME_Page 6_Rate Table'!$D$84:$D$108,'Page 4'!$V54,'LOCK_ME_Page 6_Rate Table'!E$84:E$108)</f>
        <v>0</v>
      </c>
      <c r="X54" s="329">
        <f>SUMIF('LOCK_ME_Page 6_Rate Table'!$D$84:$D$108,'Page 4'!$V54,'LOCK_ME_Page 6_Rate Table'!F$84:F$108)</f>
        <v>0</v>
      </c>
      <c r="Y54" s="329">
        <f>SUMIF('LOCK_ME_Page 6_Rate Table'!$B$45:$B$53,'Page 4'!$D54,'LOCK_ME_Page 6_Rate Table'!$F$45:$F$53)</f>
        <v>0</v>
      </c>
      <c r="Z54" s="329">
        <f>IF($F54&gt;0,(VLOOKUP($D54,'LOCK_ME_Page 6_Rate Table'!$B$74:$C$81,2,FALSE)),0)</f>
        <v>0</v>
      </c>
    </row>
    <row r="55" spans="1:26" ht="14">
      <c r="A55" s="208">
        <f t="shared" si="11"/>
        <v>44</v>
      </c>
      <c r="B55" s="9" t="str">
        <f>CONCATENATE('Page 3'!C53," ",'Page 3'!B53)</f>
        <v xml:space="preserve"> </v>
      </c>
      <c r="C55" s="20" t="str">
        <f>CONCATENATE('Page 3'!J53," ",'Page 3'!I53)</f>
        <v xml:space="preserve"> </v>
      </c>
      <c r="D55" s="291">
        <f>'Page 3'!L53</f>
        <v>0</v>
      </c>
      <c r="E55" s="264"/>
      <c r="F55" s="265"/>
      <c r="G55" s="292">
        <f t="shared" si="1"/>
        <v>0</v>
      </c>
      <c r="H55" s="458">
        <f>IF($F55&gt;0,(VLOOKUP($D55,'LOCK_ME_Page 6_Rate Table'!$B$74:$C$81,2,FALSE)),0)</f>
        <v>0</v>
      </c>
      <c r="I55" s="300">
        <f t="shared" si="13"/>
        <v>0</v>
      </c>
      <c r="J55" s="300">
        <f t="shared" si="3"/>
        <v>0</v>
      </c>
      <c r="K55" s="266"/>
      <c r="L55" s="294">
        <f t="shared" si="4"/>
        <v>0</v>
      </c>
      <c r="M55" s="294">
        <f t="shared" si="5"/>
        <v>0</v>
      </c>
      <c r="N55" s="346"/>
      <c r="O55" s="301">
        <f t="shared" si="6"/>
        <v>0</v>
      </c>
      <c r="P55" s="301">
        <f t="shared" si="7"/>
        <v>0</v>
      </c>
      <c r="Q55" s="296">
        <f t="shared" si="8"/>
        <v>0</v>
      </c>
      <c r="R55" s="297">
        <f>SUMIF('LOCK_ME_Page 6_Rate Table'!$D$84:$D$108,$V55,'LOCK_ME_Page 6_Rate Table'!$G$84:$G$108)</f>
        <v>0</v>
      </c>
      <c r="S55" s="298"/>
      <c r="T55" s="296">
        <f t="shared" si="12"/>
        <v>0</v>
      </c>
      <c r="U55" s="299" t="str">
        <f t="shared" si="9"/>
        <v xml:space="preserve"> </v>
      </c>
      <c r="V55" s="337" t="str">
        <f t="shared" si="10"/>
        <v>0</v>
      </c>
      <c r="W55" s="329">
        <f>SUMIF('LOCK_ME_Page 6_Rate Table'!$D$84:$D$108,'Page 4'!$V55,'LOCK_ME_Page 6_Rate Table'!E$84:E$108)</f>
        <v>0</v>
      </c>
      <c r="X55" s="329">
        <f>SUMIF('LOCK_ME_Page 6_Rate Table'!$D$84:$D$108,'Page 4'!$V55,'LOCK_ME_Page 6_Rate Table'!F$84:F$108)</f>
        <v>0</v>
      </c>
      <c r="Y55" s="329">
        <f>SUMIF('LOCK_ME_Page 6_Rate Table'!$B$45:$B$53,'Page 4'!$D55,'LOCK_ME_Page 6_Rate Table'!$F$45:$F$53)</f>
        <v>0</v>
      </c>
      <c r="Z55" s="329">
        <f>IF($F55&gt;0,(VLOOKUP($D55,'LOCK_ME_Page 6_Rate Table'!$B$74:$C$81,2,FALSE)),0)</f>
        <v>0</v>
      </c>
    </row>
    <row r="56" spans="1:26" ht="14">
      <c r="A56" s="208">
        <f t="shared" si="11"/>
        <v>45</v>
      </c>
      <c r="B56" s="9" t="str">
        <f>CONCATENATE('Page 3'!C54," ",'Page 3'!B54)</f>
        <v xml:space="preserve"> </v>
      </c>
      <c r="C56" s="20" t="str">
        <f>CONCATENATE('Page 3'!J54," ",'Page 3'!I54)</f>
        <v xml:space="preserve"> </v>
      </c>
      <c r="D56" s="291">
        <f>'Page 3'!L54</f>
        <v>0</v>
      </c>
      <c r="E56" s="264"/>
      <c r="F56" s="265"/>
      <c r="G56" s="292">
        <f t="shared" si="1"/>
        <v>0</v>
      </c>
      <c r="H56" s="458">
        <f>IF($F56&gt;0,(VLOOKUP($D56,'LOCK_ME_Page 6_Rate Table'!$B$74:$C$81,2,FALSE)),0)</f>
        <v>0</v>
      </c>
      <c r="I56" s="300">
        <f t="shared" si="13"/>
        <v>0</v>
      </c>
      <c r="J56" s="300">
        <f t="shared" si="3"/>
        <v>0</v>
      </c>
      <c r="K56" s="266"/>
      <c r="L56" s="294">
        <f t="shared" si="4"/>
        <v>0</v>
      </c>
      <c r="M56" s="294">
        <f t="shared" si="5"/>
        <v>0</v>
      </c>
      <c r="N56" s="346"/>
      <c r="O56" s="301">
        <f t="shared" si="6"/>
        <v>0</v>
      </c>
      <c r="P56" s="301">
        <f t="shared" si="7"/>
        <v>0</v>
      </c>
      <c r="Q56" s="296">
        <f t="shared" si="8"/>
        <v>0</v>
      </c>
      <c r="R56" s="297">
        <f>SUMIF('LOCK_ME_Page 6_Rate Table'!$D$84:$D$108,$V56,'LOCK_ME_Page 6_Rate Table'!$G$84:$G$108)</f>
        <v>0</v>
      </c>
      <c r="S56" s="298"/>
      <c r="T56" s="296">
        <f t="shared" si="12"/>
        <v>0</v>
      </c>
      <c r="U56" s="299" t="str">
        <f t="shared" si="9"/>
        <v xml:space="preserve"> </v>
      </c>
      <c r="V56" s="337" t="str">
        <f t="shared" si="10"/>
        <v>0</v>
      </c>
      <c r="W56" s="329">
        <f>SUMIF('LOCK_ME_Page 6_Rate Table'!$D$84:$D$108,'Page 4'!$V56,'LOCK_ME_Page 6_Rate Table'!E$84:E$108)</f>
        <v>0</v>
      </c>
      <c r="X56" s="329">
        <f>SUMIF('LOCK_ME_Page 6_Rate Table'!$D$84:$D$108,'Page 4'!$V56,'LOCK_ME_Page 6_Rate Table'!F$84:F$108)</f>
        <v>0</v>
      </c>
      <c r="Y56" s="329">
        <f>SUMIF('LOCK_ME_Page 6_Rate Table'!$B$45:$B$53,'Page 4'!$D56,'LOCK_ME_Page 6_Rate Table'!$F$45:$F$53)</f>
        <v>0</v>
      </c>
      <c r="Z56" s="329">
        <f>IF($F56&gt;0,(VLOOKUP($D56,'LOCK_ME_Page 6_Rate Table'!$B$74:$C$81,2,FALSE)),0)</f>
        <v>0</v>
      </c>
    </row>
    <row r="57" spans="1:26" ht="14">
      <c r="A57" s="208">
        <f t="shared" si="11"/>
        <v>46</v>
      </c>
      <c r="B57" s="9" t="str">
        <f>CONCATENATE('Page 3'!C55," ",'Page 3'!B55)</f>
        <v xml:space="preserve"> </v>
      </c>
      <c r="C57" s="20" t="str">
        <f>CONCATENATE('Page 3'!J55," ",'Page 3'!I55)</f>
        <v xml:space="preserve"> </v>
      </c>
      <c r="D57" s="291">
        <f>'Page 3'!L55</f>
        <v>0</v>
      </c>
      <c r="E57" s="264"/>
      <c r="F57" s="265"/>
      <c r="G57" s="292">
        <f t="shared" si="1"/>
        <v>0</v>
      </c>
      <c r="H57" s="458">
        <f>IF($F57&gt;0,(VLOOKUP($D57,'LOCK_ME_Page 6_Rate Table'!$B$74:$C$81,2,FALSE)),0)</f>
        <v>0</v>
      </c>
      <c r="I57" s="300">
        <f t="shared" si="13"/>
        <v>0</v>
      </c>
      <c r="J57" s="300">
        <f t="shared" si="3"/>
        <v>0</v>
      </c>
      <c r="K57" s="266"/>
      <c r="L57" s="294">
        <f t="shared" si="4"/>
        <v>0</v>
      </c>
      <c r="M57" s="294">
        <f t="shared" si="5"/>
        <v>0</v>
      </c>
      <c r="N57" s="346"/>
      <c r="O57" s="301">
        <f t="shared" si="6"/>
        <v>0</v>
      </c>
      <c r="P57" s="301">
        <f t="shared" si="7"/>
        <v>0</v>
      </c>
      <c r="Q57" s="296">
        <f t="shared" si="8"/>
        <v>0</v>
      </c>
      <c r="R57" s="297">
        <f>SUMIF('LOCK_ME_Page 6_Rate Table'!$D$84:$D$108,$V57,'LOCK_ME_Page 6_Rate Table'!$G$84:$G$108)</f>
        <v>0</v>
      </c>
      <c r="S57" s="298"/>
      <c r="T57" s="296">
        <f t="shared" si="12"/>
        <v>0</v>
      </c>
      <c r="U57" s="299" t="str">
        <f t="shared" si="9"/>
        <v xml:space="preserve"> </v>
      </c>
      <c r="V57" s="337" t="str">
        <f t="shared" si="10"/>
        <v>0</v>
      </c>
      <c r="W57" s="329">
        <f>SUMIF('LOCK_ME_Page 6_Rate Table'!$D$84:$D$108,'Page 4'!$V57,'LOCK_ME_Page 6_Rate Table'!E$84:E$108)</f>
        <v>0</v>
      </c>
      <c r="X57" s="329">
        <f>SUMIF('LOCK_ME_Page 6_Rate Table'!$D$84:$D$108,'Page 4'!$V57,'LOCK_ME_Page 6_Rate Table'!F$84:F$108)</f>
        <v>0</v>
      </c>
      <c r="Y57" s="329">
        <f>SUMIF('LOCK_ME_Page 6_Rate Table'!$B$45:$B$53,'Page 4'!$D57,'LOCK_ME_Page 6_Rate Table'!$F$45:$F$53)</f>
        <v>0</v>
      </c>
      <c r="Z57" s="329">
        <f>IF($F57&gt;0,(VLOOKUP($D57,'LOCK_ME_Page 6_Rate Table'!$B$74:$C$81,2,FALSE)),0)</f>
        <v>0</v>
      </c>
    </row>
    <row r="58" spans="1:26" ht="14">
      <c r="A58" s="208">
        <f t="shared" si="11"/>
        <v>47</v>
      </c>
      <c r="B58" s="9" t="str">
        <f>CONCATENATE('Page 3'!C56," ",'Page 3'!B56)</f>
        <v xml:space="preserve"> </v>
      </c>
      <c r="C58" s="20" t="str">
        <f>CONCATENATE('Page 3'!J56," ",'Page 3'!I56)</f>
        <v xml:space="preserve"> </v>
      </c>
      <c r="D58" s="291">
        <f>'Page 3'!L56</f>
        <v>0</v>
      </c>
      <c r="E58" s="264"/>
      <c r="F58" s="265"/>
      <c r="G58" s="292">
        <f t="shared" si="1"/>
        <v>0</v>
      </c>
      <c r="H58" s="458">
        <f>IF($F58&gt;0,(VLOOKUP($D58,'LOCK_ME_Page 6_Rate Table'!$B$74:$C$81,2,FALSE)),0)</f>
        <v>0</v>
      </c>
      <c r="I58" s="300">
        <f t="shared" si="13"/>
        <v>0</v>
      </c>
      <c r="J58" s="300">
        <f t="shared" si="3"/>
        <v>0</v>
      </c>
      <c r="K58" s="266"/>
      <c r="L58" s="294">
        <f t="shared" si="4"/>
        <v>0</v>
      </c>
      <c r="M58" s="294">
        <f t="shared" si="5"/>
        <v>0</v>
      </c>
      <c r="N58" s="346"/>
      <c r="O58" s="301">
        <f t="shared" si="6"/>
        <v>0</v>
      </c>
      <c r="P58" s="301">
        <f t="shared" si="7"/>
        <v>0</v>
      </c>
      <c r="Q58" s="296">
        <f t="shared" si="8"/>
        <v>0</v>
      </c>
      <c r="R58" s="297">
        <f>SUMIF('LOCK_ME_Page 6_Rate Table'!$D$84:$D$108,$V58,'LOCK_ME_Page 6_Rate Table'!$G$84:$G$108)</f>
        <v>0</v>
      </c>
      <c r="S58" s="298"/>
      <c r="T58" s="296">
        <f t="shared" si="12"/>
        <v>0</v>
      </c>
      <c r="U58" s="299" t="str">
        <f t="shared" si="9"/>
        <v xml:space="preserve"> </v>
      </c>
      <c r="V58" s="337" t="str">
        <f t="shared" si="10"/>
        <v>0</v>
      </c>
      <c r="W58" s="329">
        <f>SUMIF('LOCK_ME_Page 6_Rate Table'!$D$84:$D$108,'Page 4'!$V58,'LOCK_ME_Page 6_Rate Table'!E$84:E$108)</f>
        <v>0</v>
      </c>
      <c r="X58" s="329">
        <f>SUMIF('LOCK_ME_Page 6_Rate Table'!$D$84:$D$108,'Page 4'!$V58,'LOCK_ME_Page 6_Rate Table'!F$84:F$108)</f>
        <v>0</v>
      </c>
      <c r="Y58" s="329">
        <f>SUMIF('LOCK_ME_Page 6_Rate Table'!$B$45:$B$53,'Page 4'!$D58,'LOCK_ME_Page 6_Rate Table'!$F$45:$F$53)</f>
        <v>0</v>
      </c>
      <c r="Z58" s="329">
        <f>IF($F58&gt;0,(VLOOKUP($D58,'LOCK_ME_Page 6_Rate Table'!$B$74:$C$81,2,FALSE)),0)</f>
        <v>0</v>
      </c>
    </row>
    <row r="59" spans="1:26" ht="14">
      <c r="A59" s="208">
        <f t="shared" si="11"/>
        <v>48</v>
      </c>
      <c r="B59" s="9" t="str">
        <f>CONCATENATE('Page 3'!C57," ",'Page 3'!B57)</f>
        <v xml:space="preserve"> </v>
      </c>
      <c r="C59" s="20" t="str">
        <f>CONCATENATE('Page 3'!J57," ",'Page 3'!I57)</f>
        <v xml:space="preserve"> </v>
      </c>
      <c r="D59" s="291">
        <f>'Page 3'!L57</f>
        <v>0</v>
      </c>
      <c r="E59" s="264"/>
      <c r="F59" s="265"/>
      <c r="G59" s="292">
        <f t="shared" si="1"/>
        <v>0</v>
      </c>
      <c r="H59" s="458">
        <f>IF($F59&gt;0,(VLOOKUP($D59,'LOCK_ME_Page 6_Rate Table'!$B$74:$C$81,2,FALSE)),0)</f>
        <v>0</v>
      </c>
      <c r="I59" s="300">
        <f t="shared" si="13"/>
        <v>0</v>
      </c>
      <c r="J59" s="300">
        <f t="shared" si="3"/>
        <v>0</v>
      </c>
      <c r="K59" s="266"/>
      <c r="L59" s="294">
        <f t="shared" si="4"/>
        <v>0</v>
      </c>
      <c r="M59" s="294">
        <f t="shared" si="5"/>
        <v>0</v>
      </c>
      <c r="N59" s="346"/>
      <c r="O59" s="301">
        <f t="shared" si="6"/>
        <v>0</v>
      </c>
      <c r="P59" s="301">
        <f t="shared" si="7"/>
        <v>0</v>
      </c>
      <c r="Q59" s="296">
        <f t="shared" si="8"/>
        <v>0</v>
      </c>
      <c r="R59" s="297">
        <f>SUMIF('LOCK_ME_Page 6_Rate Table'!$D$84:$D$108,$V59,'LOCK_ME_Page 6_Rate Table'!$G$84:$G$108)</f>
        <v>0</v>
      </c>
      <c r="S59" s="298"/>
      <c r="T59" s="296">
        <f t="shared" si="12"/>
        <v>0</v>
      </c>
      <c r="U59" s="299" t="str">
        <f t="shared" si="9"/>
        <v xml:space="preserve"> </v>
      </c>
      <c r="V59" s="337" t="str">
        <f t="shared" si="10"/>
        <v>0</v>
      </c>
      <c r="W59" s="329">
        <f>SUMIF('LOCK_ME_Page 6_Rate Table'!$D$84:$D$108,'Page 4'!$V59,'LOCK_ME_Page 6_Rate Table'!E$84:E$108)</f>
        <v>0</v>
      </c>
      <c r="X59" s="329">
        <f>SUMIF('LOCK_ME_Page 6_Rate Table'!$D$84:$D$108,'Page 4'!$V59,'LOCK_ME_Page 6_Rate Table'!F$84:F$108)</f>
        <v>0</v>
      </c>
      <c r="Y59" s="329">
        <f>SUMIF('LOCK_ME_Page 6_Rate Table'!$B$45:$B$53,'Page 4'!$D59,'LOCK_ME_Page 6_Rate Table'!$F$45:$F$53)</f>
        <v>0</v>
      </c>
      <c r="Z59" s="329">
        <f>IF($F59&gt;0,(VLOOKUP($D59,'LOCK_ME_Page 6_Rate Table'!$B$74:$C$81,2,FALSE)),0)</f>
        <v>0</v>
      </c>
    </row>
    <row r="60" spans="1:26" ht="14">
      <c r="A60" s="208">
        <f t="shared" si="11"/>
        <v>49</v>
      </c>
      <c r="B60" s="9" t="str">
        <f>CONCATENATE('Page 3'!C58," ",'Page 3'!B58)</f>
        <v xml:space="preserve"> </v>
      </c>
      <c r="C60" s="20" t="str">
        <f>CONCATENATE('Page 3'!J58," ",'Page 3'!I58)</f>
        <v xml:space="preserve"> </v>
      </c>
      <c r="D60" s="291">
        <f>'Page 3'!L58</f>
        <v>0</v>
      </c>
      <c r="E60" s="264"/>
      <c r="F60" s="265"/>
      <c r="G60" s="292">
        <f t="shared" si="1"/>
        <v>0</v>
      </c>
      <c r="H60" s="458">
        <f>IF($F60&gt;0,(VLOOKUP($D60,'LOCK_ME_Page 6_Rate Table'!$B$74:$C$81,2,FALSE)),0)</f>
        <v>0</v>
      </c>
      <c r="I60" s="300">
        <f t="shared" si="13"/>
        <v>0</v>
      </c>
      <c r="J60" s="300">
        <f t="shared" si="3"/>
        <v>0</v>
      </c>
      <c r="K60" s="266"/>
      <c r="L60" s="294">
        <f t="shared" si="4"/>
        <v>0</v>
      </c>
      <c r="M60" s="294">
        <f t="shared" si="5"/>
        <v>0</v>
      </c>
      <c r="N60" s="346"/>
      <c r="O60" s="301">
        <f t="shared" si="6"/>
        <v>0</v>
      </c>
      <c r="P60" s="301">
        <f t="shared" si="7"/>
        <v>0</v>
      </c>
      <c r="Q60" s="296">
        <f t="shared" si="8"/>
        <v>0</v>
      </c>
      <c r="R60" s="297">
        <f>SUMIF('LOCK_ME_Page 6_Rate Table'!$D$84:$D$108,$V60,'LOCK_ME_Page 6_Rate Table'!$G$84:$G$108)</f>
        <v>0</v>
      </c>
      <c r="S60" s="298"/>
      <c r="T60" s="296">
        <f t="shared" si="12"/>
        <v>0</v>
      </c>
      <c r="U60" s="299" t="str">
        <f t="shared" si="9"/>
        <v xml:space="preserve"> </v>
      </c>
      <c r="V60" s="337" t="str">
        <f t="shared" si="10"/>
        <v>0</v>
      </c>
      <c r="W60" s="329">
        <f>SUMIF('LOCK_ME_Page 6_Rate Table'!$D$84:$D$108,'Page 4'!$V60,'LOCK_ME_Page 6_Rate Table'!E$84:E$108)</f>
        <v>0</v>
      </c>
      <c r="X60" s="329">
        <f>SUMIF('LOCK_ME_Page 6_Rate Table'!$D$84:$D$108,'Page 4'!$V60,'LOCK_ME_Page 6_Rate Table'!F$84:F$108)</f>
        <v>0</v>
      </c>
      <c r="Y60" s="329">
        <f>SUMIF('LOCK_ME_Page 6_Rate Table'!$B$45:$B$53,'Page 4'!$D60,'LOCK_ME_Page 6_Rate Table'!$F$45:$F$53)</f>
        <v>0</v>
      </c>
      <c r="Z60" s="329">
        <f>IF($F60&gt;0,(VLOOKUP($D60,'LOCK_ME_Page 6_Rate Table'!$B$74:$C$81,2,FALSE)),0)</f>
        <v>0</v>
      </c>
    </row>
    <row r="61" spans="1:26" ht="14">
      <c r="A61" s="208">
        <f t="shared" si="11"/>
        <v>50</v>
      </c>
      <c r="B61" s="9" t="str">
        <f>CONCATENATE('Page 3'!C59," ",'Page 3'!B59)</f>
        <v xml:space="preserve"> </v>
      </c>
      <c r="C61" s="20" t="str">
        <f>CONCATENATE('Page 3'!J59," ",'Page 3'!I59)</f>
        <v xml:space="preserve"> </v>
      </c>
      <c r="D61" s="291">
        <f>'Page 3'!L59</f>
        <v>0</v>
      </c>
      <c r="E61" s="264"/>
      <c r="F61" s="265"/>
      <c r="G61" s="292">
        <f t="shared" si="1"/>
        <v>0</v>
      </c>
      <c r="H61" s="458">
        <f>IF($F61&gt;0,(VLOOKUP($D61,'LOCK_ME_Page 6_Rate Table'!$B$74:$C$81,2,FALSE)),0)</f>
        <v>0</v>
      </c>
      <c r="I61" s="300">
        <f t="shared" si="13"/>
        <v>0</v>
      </c>
      <c r="J61" s="300">
        <f t="shared" si="3"/>
        <v>0</v>
      </c>
      <c r="K61" s="266"/>
      <c r="L61" s="294">
        <f t="shared" si="4"/>
        <v>0</v>
      </c>
      <c r="M61" s="294">
        <f t="shared" si="5"/>
        <v>0</v>
      </c>
      <c r="N61" s="346"/>
      <c r="O61" s="301">
        <f t="shared" si="6"/>
        <v>0</v>
      </c>
      <c r="P61" s="301">
        <f t="shared" si="7"/>
        <v>0</v>
      </c>
      <c r="Q61" s="296">
        <f t="shared" si="8"/>
        <v>0</v>
      </c>
      <c r="R61" s="297">
        <f>SUMIF('LOCK_ME_Page 6_Rate Table'!$D$84:$D$108,$V61,'LOCK_ME_Page 6_Rate Table'!$G$84:$G$108)</f>
        <v>0</v>
      </c>
      <c r="S61" s="298"/>
      <c r="T61" s="296">
        <f t="shared" si="12"/>
        <v>0</v>
      </c>
      <c r="U61" s="299" t="str">
        <f t="shared" si="9"/>
        <v xml:space="preserve"> </v>
      </c>
      <c r="V61" s="337" t="str">
        <f t="shared" si="10"/>
        <v>0</v>
      </c>
      <c r="W61" s="329">
        <f>SUMIF('LOCK_ME_Page 6_Rate Table'!$D$84:$D$108,'Page 4'!$V61,'LOCK_ME_Page 6_Rate Table'!E$84:E$108)</f>
        <v>0</v>
      </c>
      <c r="X61" s="329">
        <f>SUMIF('LOCK_ME_Page 6_Rate Table'!$D$84:$D$108,'Page 4'!$V61,'LOCK_ME_Page 6_Rate Table'!F$84:F$108)</f>
        <v>0</v>
      </c>
      <c r="Y61" s="329">
        <f>SUMIF('LOCK_ME_Page 6_Rate Table'!$B$45:$B$53,'Page 4'!$D61,'LOCK_ME_Page 6_Rate Table'!$F$45:$F$53)</f>
        <v>0</v>
      </c>
      <c r="Z61" s="329">
        <f>IF($F61&gt;0,(VLOOKUP($D61,'LOCK_ME_Page 6_Rate Table'!$B$74:$C$81,2,FALSE)),0)</f>
        <v>0</v>
      </c>
    </row>
    <row r="62" spans="1:26" s="70" customFormat="1" ht="14">
      <c r="A62" s="203" t="s">
        <v>210</v>
      </c>
      <c r="B62" s="204"/>
      <c r="C62" s="204"/>
      <c r="D62" s="284"/>
      <c r="E62" s="284"/>
      <c r="F62" s="285">
        <f>SUM(F12:F61)</f>
        <v>0</v>
      </c>
      <c r="G62" s="285">
        <f>SUM(G12:G61)</f>
        <v>0</v>
      </c>
      <c r="H62" s="286" t="s">
        <v>194</v>
      </c>
      <c r="I62" s="287">
        <f>SUMIF($R$12:$R$61,"&gt;0",I$12:I$61)</f>
        <v>0</v>
      </c>
      <c r="J62" s="287">
        <f>SUMIF($R$12:$R$61,"&gt;0",J$12:J$61)</f>
        <v>0</v>
      </c>
      <c r="K62" s="288">
        <f>SUM(K12:K61)</f>
        <v>0</v>
      </c>
      <c r="L62" s="285">
        <f>SUM(L12:L61)</f>
        <v>0</v>
      </c>
      <c r="M62" s="285">
        <f>SUM(M12:M61)</f>
        <v>0</v>
      </c>
      <c r="N62" s="286" t="s">
        <v>194</v>
      </c>
      <c r="O62" s="287">
        <f t="shared" ref="O62:P62" si="14">SUMIF($R$12:$R$61,"&gt;0",O$12:O$61)</f>
        <v>0</v>
      </c>
      <c r="P62" s="287">
        <f t="shared" si="14"/>
        <v>0</v>
      </c>
      <c r="Q62" s="287">
        <f t="shared" ref="Q62:T62" si="15">SUM(Q12:Q61)</f>
        <v>0</v>
      </c>
      <c r="R62" s="286" t="s">
        <v>194</v>
      </c>
      <c r="S62" s="289"/>
      <c r="T62" s="287">
        <f t="shared" si="15"/>
        <v>0</v>
      </c>
      <c r="U62" s="22"/>
      <c r="V62" s="162"/>
      <c r="W62" s="318"/>
      <c r="X62" s="318"/>
      <c r="Y62" s="318"/>
      <c r="Z62" s="318"/>
    </row>
  </sheetData>
  <sheetProtection password="C8F7" sheet="1" objects="1" scenarios="1"/>
  <mergeCells count="8">
    <mergeCell ref="A1:T1"/>
    <mergeCell ref="A2:T2"/>
    <mergeCell ref="A3:T3"/>
    <mergeCell ref="K9:P9"/>
    <mergeCell ref="F9:J9"/>
    <mergeCell ref="Q9:T9"/>
    <mergeCell ref="A4:T4"/>
    <mergeCell ref="A5:T5"/>
  </mergeCells>
  <conditionalFormatting sqref="Q12:Q61">
    <cfRule type="cellIs" dxfId="2" priority="9" operator="greaterThan">
      <formula>$R12</formula>
    </cfRule>
  </conditionalFormatting>
  <conditionalFormatting sqref="H12:H61">
    <cfRule type="cellIs" dxfId="1" priority="2" operator="greaterThan">
      <formula>$Z12</formula>
    </cfRule>
    <cfRule type="cellIs" dxfId="0" priority="1" operator="lessThan">
      <formula>$Z12</formula>
    </cfRule>
  </conditionalFormatting>
  <dataValidations disablePrompts="1" count="3">
    <dataValidation type="decimal" operator="lessThanOrEqual" allowBlank="1" showInputMessage="1" showErrorMessage="1" error="You MUST have both GSA level &amp; #Flags to request Respite here.  If GSA is unknown, pls override the monthly amount in Page 2 to compensate.  If the GSA is 5A to 5D, the #flags is restricted, contact CLBC / see Funding Guide." prompt="Please remember: You cannot have more than 31 days in a month." sqref="F12:F61">
      <formula1>$W12</formula1>
    </dataValidation>
    <dataValidation type="decimal" operator="lessThanOrEqual" allowBlank="1" showInputMessage="1" showErrorMessage="1" error="You MUST have both GSA level &amp; #Flags to request Relief here.  If GSA is unknown, pls override the monthly amount in Page 2 to compensate.  If the GSA is 5A to 5D, the #flags is restricted, contact CLBC / see Funding Guide." prompt="Please remember: You cannot have more than 168 hours per week. (24 hours x 7 days)" sqref="K12:K61">
      <formula1>$X12</formula1>
    </dataValidation>
    <dataValidation type="list" allowBlank="1" showInputMessage="1" showErrorMessage="1" sqref="E12:E61">
      <formula1>OFFSET(GSAFLAG,0,$Y12)</formula1>
    </dataValidation>
  </dataValidations>
  <pageMargins left="0.27559055118110237" right="0.35433070866141736" top="0.31496062992125984" bottom="0.43307086614173229" header="0.31496062992125984" footer="0.15748031496062992"/>
  <headerFooter>
    <oddFooter>&amp;L&amp;F  
Tab: &amp;A&amp;CPrinted: &amp;D  &amp;T&amp;RPage &amp;P of &amp;N</oddFooter>
  </headerFooter>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pageSetUpPr fitToPage="1"/>
  </sheetPr>
  <dimension ref="A1:M41"/>
  <sheetViews>
    <sheetView showGridLines="0" workbookViewId="0">
      <pane ySplit="5" topLeftCell="A6" activePane="bottomLeft" state="frozen"/>
      <selection activeCell="C13" sqref="C13:E13"/>
      <selection pane="bottomLeft" activeCell="G10" sqref="G10"/>
    </sheetView>
  </sheetViews>
  <sheetFormatPr baseColWidth="10" defaultColWidth="9.1640625" defaultRowHeight="14" x14ac:dyDescent="0"/>
  <cols>
    <col min="1" max="1" width="9.83203125" style="103" customWidth="1"/>
    <col min="2" max="2" width="8" style="103" customWidth="1"/>
    <col min="3" max="3" width="9.5" style="103" customWidth="1"/>
    <col min="4" max="4" width="11.5" style="103" customWidth="1"/>
    <col min="5" max="5" width="13.33203125" style="103" customWidth="1"/>
    <col min="6" max="6" width="12.1640625" style="103" customWidth="1"/>
    <col min="7" max="7" width="12.6640625" style="103" customWidth="1"/>
    <col min="8" max="8" width="11.6640625" style="103" customWidth="1"/>
    <col min="9" max="11" width="11.5" style="103" customWidth="1"/>
    <col min="12" max="16384" width="9.1640625" style="103"/>
  </cols>
  <sheetData>
    <row r="1" spans="1:11" ht="15" customHeight="1">
      <c r="A1" s="513" t="str">
        <f>Instructions!A3</f>
        <v>Funding Template Version of V3Feb11</v>
      </c>
      <c r="B1" s="513"/>
      <c r="C1" s="513"/>
      <c r="D1" s="513"/>
      <c r="E1" s="513"/>
      <c r="F1" s="513"/>
      <c r="G1" s="513"/>
      <c r="H1" s="513"/>
      <c r="I1" s="513"/>
      <c r="J1" s="513"/>
      <c r="K1" s="513"/>
    </row>
    <row r="2" spans="1:11" ht="21" customHeight="1">
      <c r="A2" s="466" t="str">
        <f>Instructions!A4</f>
        <v>Funding Template - Shared Living</v>
      </c>
      <c r="B2" s="466"/>
      <c r="C2" s="466"/>
      <c r="D2" s="466"/>
      <c r="E2" s="466"/>
      <c r="F2" s="466"/>
      <c r="G2" s="466"/>
      <c r="H2" s="466"/>
      <c r="I2" s="466"/>
      <c r="J2" s="466"/>
      <c r="K2" s="466"/>
    </row>
    <row r="3" spans="1:11" ht="14.25" customHeight="1">
      <c r="A3" s="477" t="s">
        <v>237</v>
      </c>
      <c r="B3" s="477"/>
      <c r="C3" s="477"/>
      <c r="D3" s="477"/>
      <c r="E3" s="477"/>
      <c r="F3" s="477"/>
      <c r="G3" s="477"/>
      <c r="H3" s="477"/>
      <c r="I3" s="477"/>
      <c r="J3" s="477"/>
      <c r="K3" s="477"/>
    </row>
    <row r="4" spans="1:11" ht="18" customHeight="1">
      <c r="A4" s="514" t="str">
        <f>'Page 1'!C7</f>
        <v>Burnaby Associotion for Community Inclusion</v>
      </c>
      <c r="B4" s="514"/>
      <c r="C4" s="514"/>
      <c r="D4" s="514"/>
      <c r="E4" s="514"/>
      <c r="F4" s="514"/>
      <c r="G4" s="514"/>
      <c r="H4" s="514"/>
      <c r="I4" s="514"/>
      <c r="J4" s="514"/>
      <c r="K4" s="514"/>
    </row>
    <row r="5" spans="1:11" ht="15" customHeight="1">
      <c r="A5" s="514">
        <f>'Page 1'!C9</f>
        <v>0</v>
      </c>
      <c r="B5" s="514"/>
      <c r="C5" s="514"/>
      <c r="D5" s="514"/>
      <c r="E5" s="514"/>
      <c r="F5" s="514"/>
      <c r="G5" s="514"/>
      <c r="H5" s="514"/>
      <c r="I5" s="514"/>
      <c r="J5" s="514"/>
      <c r="K5" s="514"/>
    </row>
    <row r="6" spans="1:11" ht="11.25" customHeight="1">
      <c r="A6" s="441"/>
      <c r="B6" s="441"/>
      <c r="C6" s="441"/>
      <c r="D6" s="441"/>
      <c r="E6" s="441"/>
      <c r="F6" s="441"/>
      <c r="G6" s="441"/>
      <c r="H6" s="441"/>
      <c r="I6" s="441"/>
      <c r="J6" s="441"/>
      <c r="K6" s="441"/>
    </row>
    <row r="7" spans="1:11" ht="47" customHeight="1">
      <c r="A7" s="549" t="s">
        <v>205</v>
      </c>
      <c r="B7" s="549"/>
      <c r="C7" s="549"/>
      <c r="D7" s="549"/>
      <c r="E7" s="549"/>
      <c r="F7" s="549"/>
      <c r="G7" s="549"/>
      <c r="H7" s="549"/>
      <c r="I7" s="549"/>
      <c r="J7" s="549"/>
      <c r="K7" s="549"/>
    </row>
    <row r="8" spans="1:11" s="225" customFormat="1" ht="29" customHeight="1">
      <c r="A8" s="224" t="s">
        <v>76</v>
      </c>
      <c r="C8" s="226"/>
      <c r="F8" s="227" t="s">
        <v>225</v>
      </c>
      <c r="G8" s="228" t="s">
        <v>221</v>
      </c>
      <c r="H8" s="350"/>
      <c r="I8" s="350"/>
      <c r="J8" s="350"/>
    </row>
    <row r="9" spans="1:11" s="225" customFormat="1">
      <c r="A9" s="548" t="s">
        <v>285</v>
      </c>
      <c r="B9" s="548"/>
      <c r="C9" s="548"/>
      <c r="D9" s="548"/>
      <c r="E9" s="548"/>
      <c r="F9" s="323">
        <f>'Page 1'!C15</f>
        <v>4</v>
      </c>
      <c r="G9" s="324">
        <f>F9</f>
        <v>4</v>
      </c>
      <c r="H9" s="175"/>
      <c r="I9" s="350"/>
      <c r="J9" s="350"/>
    </row>
    <row r="10" spans="1:11" s="225" customFormat="1">
      <c r="A10" s="548" t="s">
        <v>76</v>
      </c>
      <c r="B10" s="548"/>
      <c r="C10" s="548"/>
      <c r="D10" s="548"/>
      <c r="E10" s="548"/>
      <c r="F10" s="440">
        <f>F9/25</f>
        <v>0.16</v>
      </c>
      <c r="G10" s="456">
        <f>F10</f>
        <v>0.16</v>
      </c>
      <c r="H10" s="547" t="str">
        <f>IF(F10-G10=0,"","Please Provide Comments Below")</f>
        <v/>
      </c>
      <c r="I10" s="547"/>
      <c r="J10" s="547"/>
    </row>
    <row r="11" spans="1:11" s="225" customFormat="1">
      <c r="A11" s="548" t="s">
        <v>120</v>
      </c>
      <c r="B11" s="548"/>
      <c r="C11" s="548"/>
      <c r="D11" s="548"/>
      <c r="E11" s="548"/>
      <c r="F11" s="229">
        <f>'Page 1'!I11</f>
        <v>40</v>
      </c>
      <c r="G11" s="230">
        <f>F11</f>
        <v>40</v>
      </c>
      <c r="H11" s="350"/>
      <c r="I11" s="350"/>
    </row>
    <row r="12" spans="1:11" s="225" customFormat="1">
      <c r="A12" s="548" t="s">
        <v>121</v>
      </c>
      <c r="B12" s="548"/>
      <c r="C12" s="548"/>
      <c r="D12" s="548"/>
      <c r="E12" s="548"/>
      <c r="F12" s="302">
        <f>F10*F11</f>
        <v>6.4</v>
      </c>
      <c r="G12" s="302">
        <f>G10*G11</f>
        <v>6.4</v>
      </c>
    </row>
    <row r="13" spans="1:11" s="225" customFormat="1">
      <c r="A13" s="448"/>
      <c r="B13" s="448"/>
      <c r="C13" s="448"/>
      <c r="D13" s="448"/>
      <c r="E13" s="440"/>
      <c r="F13" s="440"/>
    </row>
    <row r="14" spans="1:11" s="232" customFormat="1">
      <c r="A14" s="103" t="s">
        <v>250</v>
      </c>
      <c r="B14" s="103"/>
      <c r="C14" s="103"/>
      <c r="D14" s="103"/>
      <c r="E14" s="103"/>
      <c r="F14" s="103"/>
      <c r="G14" s="231"/>
    </row>
    <row r="15" spans="1:11" ht="14.25" customHeight="1">
      <c r="A15" s="212" t="s">
        <v>122</v>
      </c>
      <c r="B15" s="213"/>
      <c r="C15" s="213"/>
      <c r="D15" s="213"/>
      <c r="E15" s="213"/>
      <c r="F15" s="213"/>
      <c r="G15" s="213"/>
      <c r="H15" s="213"/>
      <c r="I15" s="214"/>
      <c r="J15" s="214"/>
      <c r="K15" s="215"/>
    </row>
    <row r="16" spans="1:11" ht="14.25" customHeight="1">
      <c r="A16" s="216"/>
      <c r="B16" s="217"/>
      <c r="C16" s="217"/>
      <c r="D16" s="217"/>
      <c r="E16" s="217"/>
      <c r="F16" s="217"/>
      <c r="G16" s="217"/>
      <c r="H16" s="217"/>
      <c r="I16" s="218"/>
      <c r="J16" s="218"/>
      <c r="K16" s="219"/>
    </row>
    <row r="17" spans="1:13" ht="14.25" customHeight="1">
      <c r="A17" s="216"/>
      <c r="B17" s="217"/>
      <c r="C17" s="217"/>
      <c r="D17" s="217"/>
      <c r="E17" s="217"/>
      <c r="F17" s="217"/>
      <c r="G17" s="217"/>
      <c r="H17" s="217"/>
      <c r="I17" s="218"/>
      <c r="J17" s="218"/>
      <c r="K17" s="219"/>
    </row>
    <row r="18" spans="1:13" ht="14.25" customHeight="1">
      <c r="A18" s="216"/>
      <c r="B18" s="217"/>
      <c r="C18" s="217"/>
      <c r="D18" s="217"/>
      <c r="E18" s="217"/>
      <c r="F18" s="217"/>
      <c r="G18" s="217"/>
      <c r="H18" s="217"/>
      <c r="I18" s="218"/>
      <c r="J18" s="218"/>
      <c r="K18" s="219"/>
    </row>
    <row r="19" spans="1:13" ht="14.25" customHeight="1">
      <c r="A19" s="216"/>
      <c r="B19" s="217"/>
      <c r="C19" s="217"/>
      <c r="D19" s="217"/>
      <c r="E19" s="217"/>
      <c r="F19" s="217"/>
      <c r="G19" s="217"/>
      <c r="H19" s="217"/>
      <c r="I19" s="218"/>
      <c r="J19" s="218"/>
      <c r="K19" s="219"/>
    </row>
    <row r="20" spans="1:13" ht="14.25" customHeight="1">
      <c r="A20" s="216"/>
      <c r="B20" s="217"/>
      <c r="C20" s="217"/>
      <c r="D20" s="217"/>
      <c r="E20" s="217"/>
      <c r="F20" s="217"/>
      <c r="G20" s="217"/>
      <c r="H20" s="217"/>
      <c r="I20" s="218"/>
      <c r="J20" s="218"/>
      <c r="K20" s="219"/>
    </row>
    <row r="21" spans="1:13">
      <c r="A21" s="216"/>
      <c r="B21" s="217"/>
      <c r="C21" s="217"/>
      <c r="D21" s="217"/>
      <c r="E21" s="217"/>
      <c r="F21" s="217"/>
      <c r="G21" s="217"/>
      <c r="H21" s="217"/>
      <c r="I21" s="218"/>
      <c r="J21" s="218"/>
      <c r="K21" s="219"/>
    </row>
    <row r="22" spans="1:13" s="165" customFormat="1">
      <c r="A22" s="220"/>
      <c r="B22" s="221"/>
      <c r="C22" s="221"/>
      <c r="D22" s="221"/>
      <c r="E22" s="221"/>
      <c r="F22" s="221"/>
      <c r="G22" s="221"/>
      <c r="H22" s="221"/>
      <c r="I22" s="222"/>
      <c r="J22" s="222"/>
      <c r="K22" s="223"/>
    </row>
    <row r="23" spans="1:13" s="165" customFormat="1">
      <c r="B23" s="103"/>
      <c r="C23" s="103"/>
      <c r="D23" s="103"/>
      <c r="E23" s="103"/>
      <c r="F23" s="103"/>
      <c r="G23" s="174"/>
    </row>
    <row r="24" spans="1:13" ht="15">
      <c r="A24" s="60" t="s">
        <v>67</v>
      </c>
    </row>
    <row r="25" spans="1:13" ht="16">
      <c r="A25" s="233"/>
      <c r="B25" s="234"/>
      <c r="C25" s="541" t="s">
        <v>37</v>
      </c>
      <c r="D25" s="542"/>
      <c r="E25" s="543"/>
      <c r="F25" s="544" t="s">
        <v>83</v>
      </c>
      <c r="G25" s="545"/>
      <c r="H25" s="546"/>
      <c r="I25" s="541" t="s">
        <v>223</v>
      </c>
      <c r="J25" s="542"/>
      <c r="K25" s="543"/>
      <c r="L25" s="163"/>
      <c r="M25" s="163"/>
    </row>
    <row r="26" spans="1:13" ht="28">
      <c r="A26" s="235" t="s">
        <v>3</v>
      </c>
      <c r="B26" s="236" t="s">
        <v>126</v>
      </c>
      <c r="C26" s="237" t="s">
        <v>39</v>
      </c>
      <c r="D26" s="238" t="s">
        <v>123</v>
      </c>
      <c r="E26" s="239" t="s">
        <v>124</v>
      </c>
      <c r="F26" s="240" t="s">
        <v>125</v>
      </c>
      <c r="G26" s="241" t="s">
        <v>123</v>
      </c>
      <c r="H26" s="242" t="s">
        <v>124</v>
      </c>
      <c r="I26" s="237" t="s">
        <v>231</v>
      </c>
      <c r="J26" s="238" t="s">
        <v>123</v>
      </c>
      <c r="K26" s="239" t="s">
        <v>124</v>
      </c>
    </row>
    <row r="27" spans="1:13">
      <c r="A27" s="243">
        <f>G10</f>
        <v>0.16</v>
      </c>
      <c r="B27" s="244">
        <f>G12</f>
        <v>6.4</v>
      </c>
      <c r="C27" s="245">
        <f>IF(A27&gt;0,'LOCK_ME_Page 6_Rate Table'!C18,0)</f>
        <v>28.5</v>
      </c>
      <c r="D27" s="303">
        <f>C27*B27*52.25/12</f>
        <v>794.19999999999993</v>
      </c>
      <c r="E27" s="304">
        <f>ROUND(D27,2)*12</f>
        <v>9530.4000000000015</v>
      </c>
      <c r="F27" s="246">
        <f>D37</f>
        <v>0.1588</v>
      </c>
      <c r="G27" s="305">
        <f>F27*D27</f>
        <v>126.11895999999999</v>
      </c>
      <c r="H27" s="306">
        <f>ROUND(G27,2)*12</f>
        <v>1513.44</v>
      </c>
      <c r="I27" s="247">
        <f>H40</f>
        <v>9.6749679999999991E-2</v>
      </c>
      <c r="J27" s="303">
        <f>I27*D27</f>
        <v>76.838595855999984</v>
      </c>
      <c r="K27" s="304">
        <f>ROUND(J27,2)*12</f>
        <v>922.08</v>
      </c>
    </row>
    <row r="28" spans="1:13">
      <c r="A28" s="248"/>
      <c r="B28" s="249"/>
      <c r="C28" s="250"/>
      <c r="D28" s="251"/>
      <c r="E28" s="252"/>
      <c r="F28" s="253"/>
      <c r="G28" s="254"/>
      <c r="H28" s="255"/>
      <c r="I28" s="250"/>
      <c r="J28" s="251"/>
      <c r="K28" s="252"/>
    </row>
    <row r="31" spans="1:13" ht="16">
      <c r="A31" s="540" t="s">
        <v>52</v>
      </c>
      <c r="B31" s="540"/>
      <c r="C31" s="540"/>
      <c r="D31" s="540"/>
      <c r="E31" s="540"/>
      <c r="F31" s="540"/>
      <c r="G31" s="540"/>
      <c r="H31" s="540"/>
      <c r="I31" s="540"/>
      <c r="J31" s="540"/>
      <c r="K31" s="540"/>
      <c r="L31" s="21"/>
    </row>
    <row r="32" spans="1:13" ht="7.5" customHeight="1">
      <c r="A32" s="447"/>
      <c r="B32" s="447"/>
      <c r="C32" s="447"/>
      <c r="D32" s="447"/>
      <c r="E32" s="447"/>
      <c r="F32" s="447"/>
      <c r="G32" s="447"/>
      <c r="H32" s="447"/>
      <c r="I32" s="447"/>
      <c r="J32" s="447"/>
      <c r="K32" s="447"/>
      <c r="L32" s="447"/>
    </row>
    <row r="33" spans="3:9">
      <c r="C33" s="256" t="s">
        <v>82</v>
      </c>
      <c r="G33" s="256" t="s">
        <v>223</v>
      </c>
    </row>
    <row r="34" spans="3:9">
      <c r="C34" s="257"/>
      <c r="G34" s="258"/>
    </row>
    <row r="35" spans="3:9">
      <c r="C35" s="259" t="s">
        <v>54</v>
      </c>
      <c r="D35" s="188">
        <f>IF($A$27&gt;0,('LOCK_ME_Page 6_Rate Table'!C13),0)</f>
        <v>8.4000000000000005E-2</v>
      </c>
      <c r="E35" s="260" t="s">
        <v>57</v>
      </c>
      <c r="G35" s="257" t="s">
        <v>40</v>
      </c>
      <c r="H35" s="188">
        <f>'Page 1'!C29</f>
        <v>9.5600000000000004E-2</v>
      </c>
      <c r="I35" s="261" t="s">
        <v>127</v>
      </c>
    </row>
    <row r="36" spans="3:9">
      <c r="C36" s="259" t="s">
        <v>216</v>
      </c>
      <c r="D36" s="188">
        <f>IF($A$27&gt;0,('LOCK_ME_Page 6_Rate Table'!C14),0)</f>
        <v>7.4800000000000005E-2</v>
      </c>
      <c r="E36" s="260" t="s">
        <v>57</v>
      </c>
      <c r="G36" s="257" t="s">
        <v>41</v>
      </c>
      <c r="H36" s="262">
        <f>'Page 1'!C31</f>
        <v>0.7228</v>
      </c>
      <c r="I36" s="261" t="s">
        <v>127</v>
      </c>
    </row>
    <row r="37" spans="3:9" ht="15" thickBot="1">
      <c r="C37" s="259" t="s">
        <v>56</v>
      </c>
      <c r="D37" s="263">
        <f>SUM(D35:D36)</f>
        <v>0.1588</v>
      </c>
      <c r="E37" s="261" t="s">
        <v>58</v>
      </c>
      <c r="G37" s="257" t="s">
        <v>45</v>
      </c>
      <c r="H37" s="188">
        <f>H35*H36</f>
        <v>6.9099679999999997E-2</v>
      </c>
      <c r="I37" s="261" t="s">
        <v>53</v>
      </c>
    </row>
    <row r="38" spans="3:9" ht="15" thickTop="1">
      <c r="C38" s="259"/>
      <c r="D38" s="345"/>
      <c r="E38" s="261"/>
      <c r="G38" s="257" t="s">
        <v>224</v>
      </c>
      <c r="H38" s="351">
        <f>'Page 1'!C33</f>
        <v>0</v>
      </c>
      <c r="I38" s="261" t="s">
        <v>127</v>
      </c>
    </row>
    <row r="39" spans="3:9">
      <c r="G39" s="259" t="s">
        <v>55</v>
      </c>
      <c r="H39" s="188">
        <f>'Page 1'!C35</f>
        <v>2.7649999999999997E-2</v>
      </c>
      <c r="I39" s="261" t="s">
        <v>127</v>
      </c>
    </row>
    <row r="40" spans="3:9" ht="15" thickBot="1">
      <c r="G40" s="259" t="s">
        <v>56</v>
      </c>
      <c r="H40" s="263">
        <f>SUM(H37:H39)</f>
        <v>9.6749679999999991E-2</v>
      </c>
      <c r="I40" s="261" t="s">
        <v>58</v>
      </c>
    </row>
    <row r="41" spans="3:9" ht="15" thickTop="1"/>
  </sheetData>
  <sheetProtection password="C8F7" sheet="1" objects="1" scenarios="1"/>
  <mergeCells count="15">
    <mergeCell ref="A31:K31"/>
    <mergeCell ref="A2:K2"/>
    <mergeCell ref="A1:K1"/>
    <mergeCell ref="A3:K3"/>
    <mergeCell ref="C25:E25"/>
    <mergeCell ref="F25:H25"/>
    <mergeCell ref="I25:K25"/>
    <mergeCell ref="H10:J10"/>
    <mergeCell ref="A10:E10"/>
    <mergeCell ref="A11:E11"/>
    <mergeCell ref="A12:E12"/>
    <mergeCell ref="A9:E9"/>
    <mergeCell ref="A4:K4"/>
    <mergeCell ref="A5:K5"/>
    <mergeCell ref="A7:K7"/>
  </mergeCells>
  <phoneticPr fontId="0" type="noConversion"/>
  <pageMargins left="0.19685039370078741" right="0.19685039370078741" top="0.74803149606299213" bottom="0.82677165354330717" header="0.51181102362204722" footer="0.39370078740157483"/>
  <headerFooter alignWithMargins="0">
    <oddFooter>&amp;L&amp;F  
Tab: &amp;A&amp;CPrinted: &amp;D  &amp;T&amp;RPage &amp;P of &amp;N</oddFooter>
  </headerFooter>
  <ignoredErrors>
    <ignoredError sqref="G10"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rgb="FFFF0000"/>
    <pageSetUpPr fitToPage="1"/>
  </sheetPr>
  <dimension ref="A1:L119"/>
  <sheetViews>
    <sheetView showGridLines="0" zoomScale="110" zoomScaleNormal="110" zoomScalePageLayoutView="110" workbookViewId="0">
      <selection activeCell="B5" sqref="B5:B6"/>
    </sheetView>
  </sheetViews>
  <sheetFormatPr baseColWidth="10" defaultColWidth="9.1640625" defaultRowHeight="12" x14ac:dyDescent="0"/>
  <cols>
    <col min="1" max="1" width="3.5" style="18" customWidth="1"/>
    <col min="2" max="2" width="27.33203125" style="18" customWidth="1"/>
    <col min="3" max="3" width="19.5" style="18" customWidth="1"/>
    <col min="4" max="4" width="30.83203125" style="18" customWidth="1"/>
    <col min="5" max="5" width="19.6640625" style="18" customWidth="1"/>
    <col min="6" max="6" width="26.5" style="18" customWidth="1"/>
    <col min="7" max="7" width="21.6640625" style="18" customWidth="1"/>
    <col min="8" max="8" width="18" style="18" customWidth="1"/>
    <col min="9" max="9" width="17.6640625" style="18" customWidth="1"/>
    <col min="10" max="10" width="20.33203125" style="18" customWidth="1"/>
    <col min="11" max="11" width="16.83203125" style="18" customWidth="1"/>
    <col min="12" max="12" width="16.5" style="18" bestFit="1" customWidth="1"/>
    <col min="13" max="16384" width="9.1640625" style="18"/>
  </cols>
  <sheetData>
    <row r="1" spans="1:11">
      <c r="C1" s="550" t="str">
        <f>Instructions!A3</f>
        <v>Funding Template Version of V3Feb11</v>
      </c>
      <c r="D1" s="550"/>
    </row>
    <row r="2" spans="1:11" ht="17">
      <c r="C2" s="572" t="s">
        <v>29</v>
      </c>
      <c r="D2" s="572"/>
      <c r="F2" s="22"/>
      <c r="G2" s="23"/>
    </row>
    <row r="3" spans="1:11" ht="16">
      <c r="C3" s="477" t="s">
        <v>257</v>
      </c>
      <c r="D3" s="477"/>
      <c r="E3" s="24"/>
      <c r="F3" s="24"/>
      <c r="G3" s="24"/>
      <c r="H3" s="24"/>
      <c r="I3" s="24"/>
      <c r="J3" s="24"/>
      <c r="K3" s="24"/>
    </row>
    <row r="4" spans="1:11" ht="12" customHeight="1">
      <c r="C4" s="437"/>
      <c r="D4" s="437"/>
      <c r="E4" s="24"/>
      <c r="F4" s="24"/>
      <c r="G4" s="24"/>
      <c r="H4" s="24"/>
      <c r="I4" s="24"/>
      <c r="J4" s="24"/>
      <c r="K4" s="24"/>
    </row>
    <row r="5" spans="1:11" ht="51.75" customHeight="1">
      <c r="A5" s="551" t="s">
        <v>103</v>
      </c>
      <c r="B5" s="551"/>
      <c r="C5" s="551"/>
      <c r="D5" s="551"/>
      <c r="E5" s="551"/>
    </row>
    <row r="6" spans="1:11">
      <c r="A6" s="25"/>
    </row>
    <row r="7" spans="1:11" ht="43.25" customHeight="1">
      <c r="A7" s="17"/>
      <c r="B7" s="331" t="s">
        <v>164</v>
      </c>
      <c r="C7" s="566" t="s">
        <v>165</v>
      </c>
      <c r="D7" s="566"/>
      <c r="E7" s="566"/>
      <c r="F7" s="566"/>
      <c r="G7" s="566"/>
    </row>
    <row r="8" spans="1:11" ht="15" customHeight="1">
      <c r="A8" s="19"/>
    </row>
    <row r="9" spans="1:11">
      <c r="A9" s="19" t="s">
        <v>286</v>
      </c>
    </row>
    <row r="10" spans="1:11" ht="6.75" customHeight="1" thickBot="1">
      <c r="A10" s="19"/>
    </row>
    <row r="11" spans="1:11" s="31" customFormat="1" ht="16" thickTop="1">
      <c r="A11" s="26" t="s">
        <v>24</v>
      </c>
      <c r="B11" s="27"/>
      <c r="C11" s="28"/>
      <c r="D11" s="29"/>
      <c r="E11" s="30" t="s">
        <v>50</v>
      </c>
    </row>
    <row r="12" spans="1:11">
      <c r="A12" s="32" t="s">
        <v>83</v>
      </c>
      <c r="B12" s="33"/>
      <c r="C12" s="556">
        <f>SUM(C13:D14)</f>
        <v>0.1588</v>
      </c>
      <c r="D12" s="557"/>
      <c r="E12" s="34" t="s">
        <v>51</v>
      </c>
      <c r="F12" s="19"/>
    </row>
    <row r="13" spans="1:11">
      <c r="A13" s="32"/>
      <c r="B13" s="33" t="s">
        <v>43</v>
      </c>
      <c r="C13" s="560">
        <v>8.4000000000000005E-2</v>
      </c>
      <c r="D13" s="561"/>
      <c r="E13" s="35" t="s">
        <v>51</v>
      </c>
      <c r="F13" s="47"/>
    </row>
    <row r="14" spans="1:11">
      <c r="A14" s="32"/>
      <c r="B14" s="33" t="s">
        <v>44</v>
      </c>
      <c r="C14" s="560">
        <v>7.4800000000000005E-2</v>
      </c>
      <c r="D14" s="561"/>
      <c r="E14" s="35" t="s">
        <v>51</v>
      </c>
      <c r="F14" s="47"/>
    </row>
    <row r="15" spans="1:11">
      <c r="A15" s="36" t="s">
        <v>42</v>
      </c>
      <c r="B15" s="37"/>
      <c r="C15" s="562">
        <v>3.8100000000000002E-2</v>
      </c>
      <c r="D15" s="563"/>
      <c r="E15" s="35" t="s">
        <v>190</v>
      </c>
      <c r="F15" s="19"/>
    </row>
    <row r="16" spans="1:11">
      <c r="A16" s="38" t="s">
        <v>27</v>
      </c>
      <c r="B16" s="39"/>
      <c r="C16" s="558">
        <v>8.0399999999999999E-2</v>
      </c>
      <c r="D16" s="559"/>
      <c r="E16" s="35" t="s">
        <v>190</v>
      </c>
      <c r="F16" s="19"/>
    </row>
    <row r="17" spans="1:7">
      <c r="A17" s="38" t="s">
        <v>81</v>
      </c>
      <c r="B17" s="39"/>
      <c r="C17" s="558">
        <v>0.03</v>
      </c>
      <c r="D17" s="559"/>
      <c r="E17" s="40" t="s">
        <v>38</v>
      </c>
      <c r="F17" s="19"/>
    </row>
    <row r="18" spans="1:7" ht="12.75" customHeight="1">
      <c r="A18" s="41" t="s">
        <v>191</v>
      </c>
      <c r="B18" s="39"/>
      <c r="C18" s="554">
        <v>28.5</v>
      </c>
      <c r="D18" s="555"/>
      <c r="E18" s="42" t="s">
        <v>51</v>
      </c>
      <c r="F18" s="19"/>
    </row>
    <row r="19" spans="1:7" ht="13" thickBot="1">
      <c r="A19" s="41" t="s">
        <v>68</v>
      </c>
      <c r="B19" s="39"/>
      <c r="C19" s="564" t="s">
        <v>114</v>
      </c>
      <c r="D19" s="565"/>
      <c r="E19" s="43" t="s">
        <v>38</v>
      </c>
      <c r="F19" s="19" t="s">
        <v>112</v>
      </c>
    </row>
    <row r="20" spans="1:7" s="31" customFormat="1" ht="16" thickTop="1">
      <c r="A20" s="26" t="s">
        <v>28</v>
      </c>
      <c r="B20" s="27"/>
      <c r="C20" s="28"/>
      <c r="D20" s="29"/>
      <c r="E20" s="30" t="s">
        <v>50</v>
      </c>
    </row>
    <row r="21" spans="1:7">
      <c r="A21" s="32" t="s">
        <v>73</v>
      </c>
      <c r="B21" s="44"/>
      <c r="C21" s="45">
        <v>2100</v>
      </c>
      <c r="D21" s="46" t="s">
        <v>119</v>
      </c>
      <c r="E21" s="34" t="s">
        <v>51</v>
      </c>
      <c r="F21" s="47" t="s">
        <v>128</v>
      </c>
      <c r="G21" s="426" t="s">
        <v>287</v>
      </c>
    </row>
    <row r="22" spans="1:7" ht="13" thickBot="1">
      <c r="A22" s="41" t="s">
        <v>74</v>
      </c>
      <c r="B22" s="48"/>
      <c r="C22" s="433">
        <v>280</v>
      </c>
      <c r="D22" s="49" t="s">
        <v>75</v>
      </c>
      <c r="E22" s="43" t="s">
        <v>51</v>
      </c>
      <c r="G22" s="426" t="s">
        <v>287</v>
      </c>
    </row>
    <row r="23" spans="1:7" s="31" customFormat="1" ht="16" thickTop="1">
      <c r="A23" s="26" t="s">
        <v>26</v>
      </c>
      <c r="B23" s="27"/>
      <c r="C23" s="28"/>
      <c r="D23" s="29"/>
      <c r="E23" s="30" t="s">
        <v>50</v>
      </c>
    </row>
    <row r="24" spans="1:7">
      <c r="A24" s="32" t="s">
        <v>46</v>
      </c>
      <c r="B24" s="33"/>
      <c r="C24" s="552">
        <v>0.1</v>
      </c>
      <c r="D24" s="553"/>
      <c r="E24" s="34" t="s">
        <v>38</v>
      </c>
      <c r="G24" s="426" t="s">
        <v>287</v>
      </c>
    </row>
    <row r="25" spans="1:7">
      <c r="A25" s="32" t="s">
        <v>89</v>
      </c>
      <c r="B25" s="33"/>
      <c r="C25" s="552">
        <v>0.03</v>
      </c>
      <c r="D25" s="553"/>
      <c r="E25" s="34" t="s">
        <v>51</v>
      </c>
    </row>
    <row r="26" spans="1:7" ht="13" thickBot="1">
      <c r="A26" s="50" t="s">
        <v>79</v>
      </c>
      <c r="B26" s="51"/>
      <c r="C26" s="434">
        <v>2135</v>
      </c>
      <c r="D26" s="52" t="s">
        <v>75</v>
      </c>
      <c r="E26" s="53" t="s">
        <v>51</v>
      </c>
      <c r="G26" s="426" t="s">
        <v>287</v>
      </c>
    </row>
    <row r="27" spans="1:7" ht="16" thickTop="1">
      <c r="A27" s="26" t="s">
        <v>173</v>
      </c>
      <c r="B27" s="54"/>
      <c r="C27" s="55"/>
      <c r="D27" s="56"/>
      <c r="E27" s="57"/>
    </row>
    <row r="28" spans="1:7" ht="13" thickBot="1">
      <c r="A28" s="50" t="s">
        <v>174</v>
      </c>
      <c r="B28" s="58"/>
      <c r="C28" s="570">
        <v>18.850000000000001</v>
      </c>
      <c r="D28" s="571"/>
      <c r="E28" s="59" t="s">
        <v>190</v>
      </c>
      <c r="F28" s="19" t="s">
        <v>175</v>
      </c>
    </row>
    <row r="29" spans="1:7" ht="13" thickTop="1"/>
    <row r="31" spans="1:7" ht="15">
      <c r="A31" s="60" t="s">
        <v>69</v>
      </c>
    </row>
    <row r="32" spans="1:7">
      <c r="B32" s="61" t="s">
        <v>30</v>
      </c>
      <c r="C32" s="61" t="s">
        <v>31</v>
      </c>
      <c r="D32" s="61" t="s">
        <v>32</v>
      </c>
      <c r="E32" s="62" t="s">
        <v>50</v>
      </c>
    </row>
    <row r="33" spans="1:6">
      <c r="B33" s="63" t="s">
        <v>222</v>
      </c>
      <c r="C33" s="64"/>
      <c r="D33" s="64"/>
      <c r="E33" s="65" t="s">
        <v>51</v>
      </c>
    </row>
    <row r="34" spans="1:6">
      <c r="B34" s="63">
        <v>1</v>
      </c>
      <c r="C34" s="64">
        <v>717</v>
      </c>
      <c r="D34" s="64">
        <v>535.1</v>
      </c>
      <c r="E34" s="65" t="s">
        <v>51</v>
      </c>
    </row>
    <row r="35" spans="1:6">
      <c r="B35" s="63">
        <v>2</v>
      </c>
      <c r="C35" s="64">
        <v>1001</v>
      </c>
      <c r="D35" s="64">
        <v>819.1</v>
      </c>
      <c r="E35" s="65" t="s">
        <v>51</v>
      </c>
    </row>
    <row r="36" spans="1:6">
      <c r="B36" s="63">
        <v>3</v>
      </c>
      <c r="C36" s="64">
        <v>1272</v>
      </c>
      <c r="D36" s="64">
        <v>1090.0999999999999</v>
      </c>
      <c r="E36" s="65" t="s">
        <v>51</v>
      </c>
    </row>
    <row r="37" spans="1:6">
      <c r="B37" s="63">
        <v>4</v>
      </c>
      <c r="C37" s="64">
        <v>1779</v>
      </c>
      <c r="D37" s="64">
        <v>1597.1</v>
      </c>
      <c r="E37" s="65" t="s">
        <v>51</v>
      </c>
    </row>
    <row r="38" spans="1:6">
      <c r="B38" s="65" t="s">
        <v>33</v>
      </c>
      <c r="C38" s="64">
        <v>2193</v>
      </c>
      <c r="D38" s="64">
        <v>2011.1</v>
      </c>
      <c r="E38" s="65" t="s">
        <v>51</v>
      </c>
    </row>
    <row r="39" spans="1:6">
      <c r="B39" s="65" t="s">
        <v>34</v>
      </c>
      <c r="C39" s="64">
        <v>2744</v>
      </c>
      <c r="D39" s="64">
        <v>2562.1</v>
      </c>
      <c r="E39" s="65" t="s">
        <v>51</v>
      </c>
    </row>
    <row r="40" spans="1:6">
      <c r="B40" s="65" t="s">
        <v>35</v>
      </c>
      <c r="C40" s="64">
        <v>3427</v>
      </c>
      <c r="D40" s="64">
        <v>3245.1</v>
      </c>
      <c r="E40" s="65" t="s">
        <v>51</v>
      </c>
    </row>
    <row r="41" spans="1:6">
      <c r="B41" s="65" t="s">
        <v>36</v>
      </c>
      <c r="C41" s="64">
        <v>4284</v>
      </c>
      <c r="D41" s="64">
        <v>4102.1000000000004</v>
      </c>
      <c r="E41" s="65" t="s">
        <v>51</v>
      </c>
    </row>
    <row r="42" spans="1:6">
      <c r="B42" s="66"/>
      <c r="C42" s="67"/>
      <c r="D42" s="67"/>
    </row>
    <row r="43" spans="1:6" ht="15">
      <c r="A43" s="60" t="s">
        <v>62</v>
      </c>
      <c r="C43" s="68"/>
      <c r="D43" s="69"/>
      <c r="E43" s="69"/>
    </row>
    <row r="44" spans="1:6" s="70" customFormat="1">
      <c r="B44" s="62" t="s">
        <v>30</v>
      </c>
      <c r="C44" s="61" t="s">
        <v>59</v>
      </c>
      <c r="D44" s="61" t="s">
        <v>61</v>
      </c>
      <c r="E44" s="71" t="s">
        <v>60</v>
      </c>
      <c r="F44" s="373" t="s">
        <v>251</v>
      </c>
    </row>
    <row r="45" spans="1:6">
      <c r="B45" s="63" t="s">
        <v>222</v>
      </c>
      <c r="C45" s="65" t="s">
        <v>31</v>
      </c>
      <c r="D45" s="63" t="str">
        <f t="shared" ref="D45:D62" si="0">CONCATENATE(B45,C45)</f>
        <v>UnknownUnder 65</v>
      </c>
      <c r="E45" s="72">
        <f>C33</f>
        <v>0</v>
      </c>
      <c r="F45" s="373">
        <v>9</v>
      </c>
    </row>
    <row r="46" spans="1:6">
      <c r="B46" s="63">
        <v>1</v>
      </c>
      <c r="C46" s="65" t="s">
        <v>31</v>
      </c>
      <c r="D46" s="63" t="str">
        <f t="shared" si="0"/>
        <v>1Under 65</v>
      </c>
      <c r="E46" s="72">
        <f t="shared" ref="E46:E53" si="1">C34</f>
        <v>717</v>
      </c>
      <c r="F46" s="373">
        <v>1</v>
      </c>
    </row>
    <row r="47" spans="1:6">
      <c r="B47" s="63">
        <v>2</v>
      </c>
      <c r="C47" s="65" t="s">
        <v>31</v>
      </c>
      <c r="D47" s="63" t="str">
        <f t="shared" si="0"/>
        <v>2Under 65</v>
      </c>
      <c r="E47" s="72">
        <f t="shared" si="1"/>
        <v>1001</v>
      </c>
      <c r="F47" s="373">
        <v>2</v>
      </c>
    </row>
    <row r="48" spans="1:6">
      <c r="B48" s="63">
        <v>3</v>
      </c>
      <c r="C48" s="65" t="s">
        <v>31</v>
      </c>
      <c r="D48" s="63" t="str">
        <f t="shared" si="0"/>
        <v>3Under 65</v>
      </c>
      <c r="E48" s="72">
        <f t="shared" si="1"/>
        <v>1272</v>
      </c>
      <c r="F48" s="373">
        <v>3</v>
      </c>
    </row>
    <row r="49" spans="1:6">
      <c r="B49" s="63">
        <v>4</v>
      </c>
      <c r="C49" s="65" t="s">
        <v>31</v>
      </c>
      <c r="D49" s="63" t="str">
        <f t="shared" si="0"/>
        <v>4Under 65</v>
      </c>
      <c r="E49" s="72">
        <f t="shared" si="1"/>
        <v>1779</v>
      </c>
      <c r="F49" s="373">
        <v>4</v>
      </c>
    </row>
    <row r="50" spans="1:6">
      <c r="B50" s="65" t="s">
        <v>33</v>
      </c>
      <c r="C50" s="65" t="s">
        <v>31</v>
      </c>
      <c r="D50" s="63" t="str">
        <f t="shared" si="0"/>
        <v>5AUnder 65</v>
      </c>
      <c r="E50" s="72">
        <f t="shared" si="1"/>
        <v>2193</v>
      </c>
      <c r="F50" s="373">
        <v>5</v>
      </c>
    </row>
    <row r="51" spans="1:6">
      <c r="B51" s="65" t="s">
        <v>34</v>
      </c>
      <c r="C51" s="65" t="s">
        <v>31</v>
      </c>
      <c r="D51" s="63" t="str">
        <f t="shared" si="0"/>
        <v>5BUnder 65</v>
      </c>
      <c r="E51" s="72">
        <f t="shared" si="1"/>
        <v>2744</v>
      </c>
      <c r="F51" s="373">
        <v>6</v>
      </c>
    </row>
    <row r="52" spans="1:6">
      <c r="B52" s="65" t="s">
        <v>35</v>
      </c>
      <c r="C52" s="65" t="s">
        <v>31</v>
      </c>
      <c r="D52" s="63" t="str">
        <f t="shared" si="0"/>
        <v>5CUnder 65</v>
      </c>
      <c r="E52" s="72">
        <f t="shared" si="1"/>
        <v>3427</v>
      </c>
      <c r="F52" s="373">
        <v>7</v>
      </c>
    </row>
    <row r="53" spans="1:6">
      <c r="B53" s="65" t="s">
        <v>36</v>
      </c>
      <c r="C53" s="65" t="s">
        <v>31</v>
      </c>
      <c r="D53" s="63" t="str">
        <f t="shared" si="0"/>
        <v>5DUnder 65</v>
      </c>
      <c r="E53" s="72">
        <f t="shared" si="1"/>
        <v>4284</v>
      </c>
      <c r="F53" s="373">
        <v>8</v>
      </c>
    </row>
    <row r="54" spans="1:6">
      <c r="B54" s="63" t="s">
        <v>222</v>
      </c>
      <c r="C54" s="65" t="s">
        <v>32</v>
      </c>
      <c r="D54" s="63" t="str">
        <f t="shared" si="0"/>
        <v>UnknownOver 65</v>
      </c>
      <c r="E54" s="72">
        <f>D33</f>
        <v>0</v>
      </c>
    </row>
    <row r="55" spans="1:6">
      <c r="B55" s="63">
        <v>1</v>
      </c>
      <c r="C55" s="65" t="s">
        <v>32</v>
      </c>
      <c r="D55" s="63" t="str">
        <f t="shared" si="0"/>
        <v>1Over 65</v>
      </c>
      <c r="E55" s="72">
        <f t="shared" ref="E55:E62" si="2">D34</f>
        <v>535.1</v>
      </c>
    </row>
    <row r="56" spans="1:6">
      <c r="B56" s="63">
        <v>2</v>
      </c>
      <c r="C56" s="65" t="s">
        <v>32</v>
      </c>
      <c r="D56" s="63" t="str">
        <f t="shared" si="0"/>
        <v>2Over 65</v>
      </c>
      <c r="E56" s="72">
        <f t="shared" si="2"/>
        <v>819.1</v>
      </c>
    </row>
    <row r="57" spans="1:6">
      <c r="B57" s="63">
        <v>3</v>
      </c>
      <c r="C57" s="65" t="s">
        <v>32</v>
      </c>
      <c r="D57" s="63" t="str">
        <f t="shared" si="0"/>
        <v>3Over 65</v>
      </c>
      <c r="E57" s="72">
        <f t="shared" si="2"/>
        <v>1090.0999999999999</v>
      </c>
    </row>
    <row r="58" spans="1:6">
      <c r="B58" s="63">
        <v>4</v>
      </c>
      <c r="C58" s="65" t="s">
        <v>32</v>
      </c>
      <c r="D58" s="63" t="str">
        <f t="shared" si="0"/>
        <v>4Over 65</v>
      </c>
      <c r="E58" s="72">
        <f t="shared" si="2"/>
        <v>1597.1</v>
      </c>
    </row>
    <row r="59" spans="1:6">
      <c r="B59" s="65" t="s">
        <v>33</v>
      </c>
      <c r="C59" s="65" t="s">
        <v>32</v>
      </c>
      <c r="D59" s="63" t="str">
        <f t="shared" si="0"/>
        <v>5AOver 65</v>
      </c>
      <c r="E59" s="72">
        <f t="shared" si="2"/>
        <v>2011.1</v>
      </c>
    </row>
    <row r="60" spans="1:6">
      <c r="B60" s="65" t="s">
        <v>34</v>
      </c>
      <c r="C60" s="65" t="s">
        <v>32</v>
      </c>
      <c r="D60" s="63" t="str">
        <f t="shared" si="0"/>
        <v>5BOver 65</v>
      </c>
      <c r="E60" s="72">
        <f t="shared" si="2"/>
        <v>2562.1</v>
      </c>
    </row>
    <row r="61" spans="1:6">
      <c r="B61" s="65" t="s">
        <v>35</v>
      </c>
      <c r="C61" s="65" t="s">
        <v>32</v>
      </c>
      <c r="D61" s="63" t="str">
        <f t="shared" si="0"/>
        <v>5COver 65</v>
      </c>
      <c r="E61" s="72">
        <f t="shared" si="2"/>
        <v>3245.1</v>
      </c>
    </row>
    <row r="62" spans="1:6">
      <c r="B62" s="65" t="s">
        <v>36</v>
      </c>
      <c r="C62" s="65" t="s">
        <v>32</v>
      </c>
      <c r="D62" s="63" t="str">
        <f t="shared" si="0"/>
        <v>5DOver 65</v>
      </c>
      <c r="E62" s="72">
        <f t="shared" si="2"/>
        <v>4102.1000000000004</v>
      </c>
    </row>
    <row r="64" spans="1:6" ht="15">
      <c r="A64" s="60" t="s">
        <v>167</v>
      </c>
    </row>
    <row r="65" spans="2:4">
      <c r="B65" s="73" t="s">
        <v>168</v>
      </c>
      <c r="C65" s="73" t="s">
        <v>169</v>
      </c>
    </row>
    <row r="66" spans="2:4">
      <c r="B66" s="74">
        <v>0</v>
      </c>
      <c r="C66" s="75">
        <v>0</v>
      </c>
    </row>
    <row r="67" spans="2:4">
      <c r="B67" s="74">
        <v>1</v>
      </c>
      <c r="C67" s="75">
        <v>1000</v>
      </c>
    </row>
    <row r="68" spans="2:4">
      <c r="B68" s="74">
        <v>2</v>
      </c>
      <c r="C68" s="75">
        <v>1000</v>
      </c>
    </row>
    <row r="69" spans="2:4">
      <c r="B69" s="74">
        <v>3</v>
      </c>
      <c r="C69" s="75">
        <v>2000</v>
      </c>
    </row>
    <row r="70" spans="2:4">
      <c r="B70" s="74">
        <v>4</v>
      </c>
      <c r="C70" s="75">
        <v>2000</v>
      </c>
    </row>
    <row r="71" spans="2:4">
      <c r="B71" s="74">
        <v>5</v>
      </c>
      <c r="C71" s="75">
        <v>3000</v>
      </c>
    </row>
    <row r="73" spans="2:4">
      <c r="B73" s="73" t="s">
        <v>30</v>
      </c>
      <c r="C73" s="73" t="s">
        <v>170</v>
      </c>
      <c r="D73" s="65" t="s">
        <v>226</v>
      </c>
    </row>
    <row r="74" spans="2:4">
      <c r="B74" s="63">
        <v>1</v>
      </c>
      <c r="C74" s="76">
        <v>47.11</v>
      </c>
      <c r="D74" s="63">
        <v>5</v>
      </c>
    </row>
    <row r="75" spans="2:4">
      <c r="B75" s="63">
        <v>2</v>
      </c>
      <c r="C75" s="76">
        <v>56.45</v>
      </c>
      <c r="D75" s="63">
        <v>5</v>
      </c>
    </row>
    <row r="76" spans="2:4">
      <c r="B76" s="63">
        <v>3</v>
      </c>
      <c r="C76" s="76">
        <v>65.349999999999994</v>
      </c>
      <c r="D76" s="63">
        <v>5</v>
      </c>
    </row>
    <row r="77" spans="2:4">
      <c r="B77" s="63">
        <v>4</v>
      </c>
      <c r="C77" s="76">
        <v>82.02</v>
      </c>
      <c r="D77" s="347">
        <v>5</v>
      </c>
    </row>
    <row r="78" spans="2:4">
      <c r="B78" s="65" t="s">
        <v>33</v>
      </c>
      <c r="C78" s="76">
        <v>96.64</v>
      </c>
      <c r="D78" s="347">
        <v>0</v>
      </c>
    </row>
    <row r="79" spans="2:4">
      <c r="B79" s="65" t="s">
        <v>34</v>
      </c>
      <c r="C79" s="76">
        <v>113.75</v>
      </c>
      <c r="D79" s="347">
        <v>2</v>
      </c>
    </row>
    <row r="80" spans="2:4">
      <c r="B80" s="65" t="s">
        <v>35</v>
      </c>
      <c r="C80" s="76">
        <v>136.21</v>
      </c>
      <c r="D80" s="347">
        <v>4</v>
      </c>
    </row>
    <row r="81" spans="2:7">
      <c r="B81" s="65" t="s">
        <v>36</v>
      </c>
      <c r="C81" s="76">
        <v>164.38</v>
      </c>
      <c r="D81" s="347">
        <v>5</v>
      </c>
    </row>
    <row r="83" spans="2:7" s="70" customFormat="1" ht="24">
      <c r="B83" s="340" t="s">
        <v>65</v>
      </c>
      <c r="C83" s="341" t="s">
        <v>171</v>
      </c>
      <c r="D83" s="341" t="s">
        <v>212</v>
      </c>
      <c r="E83" s="341" t="s">
        <v>213</v>
      </c>
      <c r="F83" s="341" t="s">
        <v>214</v>
      </c>
      <c r="G83" s="341" t="s">
        <v>215</v>
      </c>
    </row>
    <row r="84" spans="2:7">
      <c r="B84" s="63">
        <v>1</v>
      </c>
      <c r="C84" s="339">
        <v>1</v>
      </c>
      <c r="D84" s="63" t="str">
        <f t="shared" ref="D84:D108" si="3">CONCATENATE(B84,C84)</f>
        <v>11</v>
      </c>
      <c r="E84" s="63">
        <v>31</v>
      </c>
      <c r="F84" s="63">
        <f>24*7</f>
        <v>168</v>
      </c>
      <c r="G84" s="342">
        <v>1000</v>
      </c>
    </row>
    <row r="85" spans="2:7">
      <c r="B85" s="63">
        <v>2</v>
      </c>
      <c r="C85" s="339">
        <v>1</v>
      </c>
      <c r="D85" s="63" t="str">
        <f t="shared" si="3"/>
        <v>21</v>
      </c>
      <c r="E85" s="63">
        <v>31</v>
      </c>
      <c r="F85" s="63">
        <f t="shared" ref="F85:F108" si="4">24*7</f>
        <v>168</v>
      </c>
      <c r="G85" s="342">
        <v>1000</v>
      </c>
    </row>
    <row r="86" spans="2:7">
      <c r="B86" s="63">
        <v>3</v>
      </c>
      <c r="C86" s="339">
        <v>1</v>
      </c>
      <c r="D86" s="63" t="str">
        <f t="shared" si="3"/>
        <v>31</v>
      </c>
      <c r="E86" s="63">
        <v>31</v>
      </c>
      <c r="F86" s="63">
        <f t="shared" si="4"/>
        <v>168</v>
      </c>
      <c r="G86" s="342">
        <v>1000</v>
      </c>
    </row>
    <row r="87" spans="2:7">
      <c r="B87" s="63">
        <v>4</v>
      </c>
      <c r="C87" s="339">
        <v>1</v>
      </c>
      <c r="D87" s="63" t="str">
        <f t="shared" si="3"/>
        <v>41</v>
      </c>
      <c r="E87" s="63">
        <v>31</v>
      </c>
      <c r="F87" s="63">
        <f t="shared" si="4"/>
        <v>168</v>
      </c>
      <c r="G87" s="342">
        <v>1000</v>
      </c>
    </row>
    <row r="88" spans="2:7">
      <c r="B88" s="65" t="s">
        <v>34</v>
      </c>
      <c r="C88" s="339">
        <v>1</v>
      </c>
      <c r="D88" s="63" t="str">
        <f t="shared" si="3"/>
        <v>5B1</v>
      </c>
      <c r="E88" s="63">
        <v>31</v>
      </c>
      <c r="F88" s="63">
        <f t="shared" si="4"/>
        <v>168</v>
      </c>
      <c r="G88" s="342">
        <v>1000</v>
      </c>
    </row>
    <row r="89" spans="2:7">
      <c r="B89" s="63">
        <v>1</v>
      </c>
      <c r="C89" s="339">
        <v>2</v>
      </c>
      <c r="D89" s="63" t="str">
        <f t="shared" si="3"/>
        <v>12</v>
      </c>
      <c r="E89" s="63">
        <v>31</v>
      </c>
      <c r="F89" s="63">
        <f t="shared" si="4"/>
        <v>168</v>
      </c>
      <c r="G89" s="342">
        <v>1000</v>
      </c>
    </row>
    <row r="90" spans="2:7">
      <c r="B90" s="63">
        <v>2</v>
      </c>
      <c r="C90" s="339">
        <v>2</v>
      </c>
      <c r="D90" s="63" t="str">
        <f t="shared" si="3"/>
        <v>22</v>
      </c>
      <c r="E90" s="63">
        <v>31</v>
      </c>
      <c r="F90" s="63">
        <f t="shared" si="4"/>
        <v>168</v>
      </c>
      <c r="G90" s="342">
        <v>1000</v>
      </c>
    </row>
    <row r="91" spans="2:7">
      <c r="B91" s="63">
        <v>3</v>
      </c>
      <c r="C91" s="339">
        <v>2</v>
      </c>
      <c r="D91" s="63" t="str">
        <f t="shared" si="3"/>
        <v>32</v>
      </c>
      <c r="E91" s="63">
        <v>31</v>
      </c>
      <c r="F91" s="63">
        <f t="shared" si="4"/>
        <v>168</v>
      </c>
      <c r="G91" s="342">
        <v>1000</v>
      </c>
    </row>
    <row r="92" spans="2:7">
      <c r="B92" s="63">
        <v>4</v>
      </c>
      <c r="C92" s="339">
        <v>2</v>
      </c>
      <c r="D92" s="63" t="str">
        <f t="shared" si="3"/>
        <v>42</v>
      </c>
      <c r="E92" s="63">
        <v>31</v>
      </c>
      <c r="F92" s="63">
        <f t="shared" si="4"/>
        <v>168</v>
      </c>
      <c r="G92" s="342">
        <v>1000</v>
      </c>
    </row>
    <row r="93" spans="2:7">
      <c r="B93" s="65" t="s">
        <v>34</v>
      </c>
      <c r="C93" s="339">
        <v>2</v>
      </c>
      <c r="D93" s="63" t="str">
        <f t="shared" si="3"/>
        <v>5B2</v>
      </c>
      <c r="E93" s="63">
        <v>31</v>
      </c>
      <c r="F93" s="63">
        <f t="shared" si="4"/>
        <v>168</v>
      </c>
      <c r="G93" s="342">
        <v>1000</v>
      </c>
    </row>
    <row r="94" spans="2:7">
      <c r="B94" s="63">
        <v>1</v>
      </c>
      <c r="C94" s="339">
        <v>3</v>
      </c>
      <c r="D94" s="63" t="str">
        <f t="shared" si="3"/>
        <v>13</v>
      </c>
      <c r="E94" s="63">
        <v>31</v>
      </c>
      <c r="F94" s="63">
        <f t="shared" si="4"/>
        <v>168</v>
      </c>
      <c r="G94" s="342">
        <v>2000</v>
      </c>
    </row>
    <row r="95" spans="2:7">
      <c r="B95" s="63">
        <v>2</v>
      </c>
      <c r="C95" s="339">
        <v>3</v>
      </c>
      <c r="D95" s="63" t="str">
        <f t="shared" si="3"/>
        <v>23</v>
      </c>
      <c r="E95" s="63">
        <v>31</v>
      </c>
      <c r="F95" s="63">
        <f t="shared" si="4"/>
        <v>168</v>
      </c>
      <c r="G95" s="342">
        <v>2000</v>
      </c>
    </row>
    <row r="96" spans="2:7">
      <c r="B96" s="63">
        <v>3</v>
      </c>
      <c r="C96" s="339">
        <v>3</v>
      </c>
      <c r="D96" s="63" t="str">
        <f t="shared" si="3"/>
        <v>33</v>
      </c>
      <c r="E96" s="63">
        <v>31</v>
      </c>
      <c r="F96" s="63">
        <f t="shared" si="4"/>
        <v>168</v>
      </c>
      <c r="G96" s="342">
        <v>2000</v>
      </c>
    </row>
    <row r="97" spans="2:12">
      <c r="B97" s="63">
        <v>4</v>
      </c>
      <c r="C97" s="339">
        <v>3</v>
      </c>
      <c r="D97" s="63" t="str">
        <f t="shared" si="3"/>
        <v>43</v>
      </c>
      <c r="E97" s="63">
        <v>31</v>
      </c>
      <c r="F97" s="63">
        <f t="shared" si="4"/>
        <v>168</v>
      </c>
      <c r="G97" s="342">
        <v>2000</v>
      </c>
    </row>
    <row r="98" spans="2:12">
      <c r="B98" s="65" t="s">
        <v>35</v>
      </c>
      <c r="C98" s="339">
        <v>3</v>
      </c>
      <c r="D98" s="63" t="str">
        <f t="shared" si="3"/>
        <v>5C3</v>
      </c>
      <c r="E98" s="63">
        <v>31</v>
      </c>
      <c r="F98" s="63">
        <f t="shared" si="4"/>
        <v>168</v>
      </c>
      <c r="G98" s="342">
        <v>2000</v>
      </c>
    </row>
    <row r="99" spans="2:12">
      <c r="B99" s="63">
        <v>1</v>
      </c>
      <c r="C99" s="339">
        <v>4</v>
      </c>
      <c r="D99" s="63" t="str">
        <f t="shared" si="3"/>
        <v>14</v>
      </c>
      <c r="E99" s="63">
        <v>31</v>
      </c>
      <c r="F99" s="63">
        <f t="shared" si="4"/>
        <v>168</v>
      </c>
      <c r="G99" s="342">
        <v>2000</v>
      </c>
    </row>
    <row r="100" spans="2:12">
      <c r="B100" s="63">
        <v>2</v>
      </c>
      <c r="C100" s="339">
        <v>4</v>
      </c>
      <c r="D100" s="63" t="str">
        <f t="shared" si="3"/>
        <v>24</v>
      </c>
      <c r="E100" s="63">
        <v>31</v>
      </c>
      <c r="F100" s="63">
        <f t="shared" si="4"/>
        <v>168</v>
      </c>
      <c r="G100" s="342">
        <v>2000</v>
      </c>
    </row>
    <row r="101" spans="2:12">
      <c r="B101" s="63">
        <v>3</v>
      </c>
      <c r="C101" s="339">
        <v>4</v>
      </c>
      <c r="D101" s="63" t="str">
        <f t="shared" si="3"/>
        <v>34</v>
      </c>
      <c r="E101" s="63">
        <v>31</v>
      </c>
      <c r="F101" s="63">
        <f t="shared" si="4"/>
        <v>168</v>
      </c>
      <c r="G101" s="342">
        <v>2000</v>
      </c>
    </row>
    <row r="102" spans="2:12">
      <c r="B102" s="63">
        <v>4</v>
      </c>
      <c r="C102" s="339">
        <v>4</v>
      </c>
      <c r="D102" s="63" t="str">
        <f t="shared" si="3"/>
        <v>44</v>
      </c>
      <c r="E102" s="63">
        <v>31</v>
      </c>
      <c r="F102" s="63">
        <f t="shared" si="4"/>
        <v>168</v>
      </c>
      <c r="G102" s="342">
        <v>2000</v>
      </c>
    </row>
    <row r="103" spans="2:12">
      <c r="B103" s="65" t="s">
        <v>35</v>
      </c>
      <c r="C103" s="339">
        <v>4</v>
      </c>
      <c r="D103" s="63" t="str">
        <f t="shared" si="3"/>
        <v>5C4</v>
      </c>
      <c r="E103" s="63">
        <v>31</v>
      </c>
      <c r="F103" s="63">
        <f t="shared" si="4"/>
        <v>168</v>
      </c>
      <c r="G103" s="342">
        <v>2000</v>
      </c>
    </row>
    <row r="104" spans="2:12">
      <c r="B104" s="63">
        <v>1</v>
      </c>
      <c r="C104" s="339">
        <v>5</v>
      </c>
      <c r="D104" s="63" t="str">
        <f t="shared" si="3"/>
        <v>15</v>
      </c>
      <c r="E104" s="63">
        <v>31</v>
      </c>
      <c r="F104" s="63">
        <f t="shared" si="4"/>
        <v>168</v>
      </c>
      <c r="G104" s="342">
        <v>3000</v>
      </c>
    </row>
    <row r="105" spans="2:12">
      <c r="B105" s="63">
        <v>2</v>
      </c>
      <c r="C105" s="339">
        <v>5</v>
      </c>
      <c r="D105" s="63" t="str">
        <f t="shared" si="3"/>
        <v>25</v>
      </c>
      <c r="E105" s="63">
        <v>31</v>
      </c>
      <c r="F105" s="63">
        <f t="shared" si="4"/>
        <v>168</v>
      </c>
      <c r="G105" s="342">
        <v>3000</v>
      </c>
    </row>
    <row r="106" spans="2:12">
      <c r="B106" s="63">
        <v>3</v>
      </c>
      <c r="C106" s="339">
        <v>5</v>
      </c>
      <c r="D106" s="63" t="str">
        <f t="shared" si="3"/>
        <v>35</v>
      </c>
      <c r="E106" s="63">
        <v>31</v>
      </c>
      <c r="F106" s="63">
        <f t="shared" si="4"/>
        <v>168</v>
      </c>
      <c r="G106" s="342">
        <v>3000</v>
      </c>
    </row>
    <row r="107" spans="2:12">
      <c r="B107" s="63">
        <v>4</v>
      </c>
      <c r="C107" s="339">
        <v>5</v>
      </c>
      <c r="D107" s="63" t="str">
        <f t="shared" si="3"/>
        <v>45</v>
      </c>
      <c r="E107" s="63">
        <v>31</v>
      </c>
      <c r="F107" s="63">
        <f t="shared" si="4"/>
        <v>168</v>
      </c>
      <c r="G107" s="342">
        <v>3000</v>
      </c>
    </row>
    <row r="108" spans="2:12">
      <c r="B108" s="65" t="s">
        <v>36</v>
      </c>
      <c r="C108" s="339">
        <v>5</v>
      </c>
      <c r="D108" s="63" t="str">
        <f t="shared" si="3"/>
        <v>5D5</v>
      </c>
      <c r="E108" s="63">
        <v>31</v>
      </c>
      <c r="F108" s="63">
        <f t="shared" si="4"/>
        <v>168</v>
      </c>
      <c r="G108" s="342">
        <v>3000</v>
      </c>
    </row>
    <row r="112" spans="2:12">
      <c r="C112" s="374" t="s">
        <v>253</v>
      </c>
      <c r="D112" s="373">
        <v>1</v>
      </c>
      <c r="E112" s="373">
        <v>2</v>
      </c>
      <c r="F112" s="373">
        <v>3</v>
      </c>
      <c r="G112" s="373">
        <v>4</v>
      </c>
      <c r="H112" s="373">
        <v>5</v>
      </c>
      <c r="I112" s="373">
        <v>6</v>
      </c>
      <c r="J112" s="373">
        <v>7</v>
      </c>
      <c r="K112" s="373">
        <v>8</v>
      </c>
      <c r="L112" s="373">
        <v>9</v>
      </c>
    </row>
    <row r="113" spans="2:12">
      <c r="C113" s="374" t="s">
        <v>65</v>
      </c>
      <c r="D113" s="375">
        <v>1</v>
      </c>
      <c r="E113" s="375">
        <v>2</v>
      </c>
      <c r="F113" s="375">
        <v>3</v>
      </c>
      <c r="G113" s="375">
        <v>4</v>
      </c>
      <c r="H113" s="375" t="s">
        <v>33</v>
      </c>
      <c r="I113" s="375" t="s">
        <v>34</v>
      </c>
      <c r="J113" s="375" t="s">
        <v>35</v>
      </c>
      <c r="K113" s="375" t="s">
        <v>36</v>
      </c>
      <c r="L113" s="375" t="s">
        <v>252</v>
      </c>
    </row>
    <row r="114" spans="2:12">
      <c r="B114" s="567" t="s">
        <v>254</v>
      </c>
      <c r="C114" s="376"/>
      <c r="D114" s="63">
        <v>0</v>
      </c>
      <c r="E114" s="63">
        <v>0</v>
      </c>
      <c r="F114" s="63">
        <v>0</v>
      </c>
      <c r="G114" s="63">
        <v>0</v>
      </c>
      <c r="H114" s="63">
        <v>0</v>
      </c>
      <c r="I114" s="63">
        <v>1</v>
      </c>
      <c r="J114" s="63">
        <v>3</v>
      </c>
      <c r="K114" s="63">
        <v>5</v>
      </c>
      <c r="L114" s="63">
        <v>0</v>
      </c>
    </row>
    <row r="115" spans="2:12">
      <c r="B115" s="568"/>
      <c r="C115" s="377"/>
      <c r="D115" s="63">
        <v>1</v>
      </c>
      <c r="E115" s="63">
        <v>1</v>
      </c>
      <c r="F115" s="63">
        <v>1</v>
      </c>
      <c r="G115" s="63">
        <v>1</v>
      </c>
      <c r="H115" s="63"/>
      <c r="I115" s="63">
        <v>2</v>
      </c>
      <c r="J115" s="63">
        <v>4</v>
      </c>
      <c r="K115" s="63"/>
      <c r="L115" s="63"/>
    </row>
    <row r="116" spans="2:12">
      <c r="B116" s="568"/>
      <c r="C116" s="377"/>
      <c r="D116" s="63">
        <v>2</v>
      </c>
      <c r="E116" s="63">
        <v>2</v>
      </c>
      <c r="F116" s="63">
        <v>2</v>
      </c>
      <c r="G116" s="63">
        <v>2</v>
      </c>
      <c r="H116" s="63"/>
      <c r="I116" s="63"/>
      <c r="J116" s="63"/>
      <c r="K116" s="63"/>
      <c r="L116" s="63"/>
    </row>
    <row r="117" spans="2:12">
      <c r="B117" s="568"/>
      <c r="C117" s="377"/>
      <c r="D117" s="63">
        <v>3</v>
      </c>
      <c r="E117" s="63">
        <v>3</v>
      </c>
      <c r="F117" s="63">
        <v>3</v>
      </c>
      <c r="G117" s="63">
        <v>3</v>
      </c>
      <c r="H117" s="63"/>
      <c r="I117" s="63"/>
      <c r="J117" s="63"/>
      <c r="K117" s="63"/>
      <c r="L117" s="63"/>
    </row>
    <row r="118" spans="2:12">
      <c r="B118" s="568"/>
      <c r="C118" s="377"/>
      <c r="D118" s="63">
        <v>4</v>
      </c>
      <c r="E118" s="63">
        <v>4</v>
      </c>
      <c r="F118" s="63">
        <v>4</v>
      </c>
      <c r="G118" s="63">
        <v>4</v>
      </c>
      <c r="H118" s="63"/>
      <c r="I118" s="63"/>
      <c r="J118" s="63"/>
      <c r="K118" s="63"/>
      <c r="L118" s="63"/>
    </row>
    <row r="119" spans="2:12">
      <c r="B119" s="569"/>
      <c r="C119" s="378"/>
      <c r="D119" s="63">
        <v>5</v>
      </c>
      <c r="E119" s="63">
        <v>5</v>
      </c>
      <c r="F119" s="63">
        <v>5</v>
      </c>
      <c r="G119" s="63">
        <v>5</v>
      </c>
      <c r="H119" s="63"/>
      <c r="I119" s="63"/>
      <c r="J119" s="63"/>
      <c r="K119" s="63"/>
      <c r="L119" s="63"/>
    </row>
  </sheetData>
  <sheetProtection password="C8F7" sheet="1" objects="1" scenarios="1"/>
  <mergeCells count="17">
    <mergeCell ref="B114:B119"/>
    <mergeCell ref="C28:D28"/>
    <mergeCell ref="C2:D2"/>
    <mergeCell ref="C1:D1"/>
    <mergeCell ref="A5:E5"/>
    <mergeCell ref="C3:D3"/>
    <mergeCell ref="C25:D25"/>
    <mergeCell ref="C18:D18"/>
    <mergeCell ref="C24:D24"/>
    <mergeCell ref="C12:D12"/>
    <mergeCell ref="C17:D17"/>
    <mergeCell ref="C13:D13"/>
    <mergeCell ref="C14:D14"/>
    <mergeCell ref="C15:D15"/>
    <mergeCell ref="C19:D19"/>
    <mergeCell ref="C16:D16"/>
    <mergeCell ref="C7:G7"/>
  </mergeCells>
  <pageMargins left="0.70866141732283472" right="0.70866141732283472" top="0.74803149606299213" bottom="0.74803149606299213" header="0.31496062992125984" footer="0.31496062992125984"/>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FFC000"/>
  </sheetPr>
  <dimension ref="A1:O41"/>
  <sheetViews>
    <sheetView showGridLines="0" workbookViewId="0">
      <selection activeCell="B5" sqref="B5:B6"/>
    </sheetView>
  </sheetViews>
  <sheetFormatPr baseColWidth="10" defaultColWidth="9.1640625" defaultRowHeight="12" x14ac:dyDescent="0"/>
  <cols>
    <col min="1" max="1" width="4.5" style="18" customWidth="1"/>
    <col min="2" max="2" width="6.5" style="18" customWidth="1"/>
    <col min="3" max="3" width="6.1640625" style="18" customWidth="1"/>
    <col min="4" max="4" width="17.83203125" style="18" customWidth="1"/>
    <col min="5" max="5" width="17.6640625" style="18" customWidth="1"/>
    <col min="6" max="6" width="9.1640625" style="18"/>
    <col min="7" max="7" width="13" style="18" customWidth="1"/>
    <col min="8" max="8" width="12.1640625" style="18" customWidth="1"/>
    <col min="9" max="9" width="11.5" style="18" customWidth="1"/>
    <col min="10" max="10" width="16.5" style="18" customWidth="1"/>
    <col min="11" max="11" width="5.5" style="18" customWidth="1"/>
    <col min="12" max="15" width="11.33203125" style="18" customWidth="1"/>
    <col min="16" max="16384" width="9.1640625" style="18"/>
  </cols>
  <sheetData>
    <row r="1" spans="1:15" ht="21">
      <c r="A1" s="77" t="s">
        <v>150</v>
      </c>
    </row>
    <row r="2" spans="1:15" ht="13">
      <c r="A2" s="78" t="s">
        <v>137</v>
      </c>
      <c r="B2" s="2"/>
      <c r="C2" s="2"/>
      <c r="D2" s="13"/>
      <c r="E2" s="13"/>
      <c r="F2" s="2"/>
      <c r="G2" s="79"/>
      <c r="H2" s="79"/>
      <c r="I2" s="79"/>
    </row>
    <row r="3" spans="1:15" ht="18">
      <c r="A3" s="368" t="s">
        <v>232</v>
      </c>
      <c r="B3" s="2"/>
      <c r="C3" s="2"/>
      <c r="D3" s="13"/>
      <c r="E3" s="13"/>
      <c r="F3" s="2"/>
      <c r="G3" s="79"/>
      <c r="H3" s="79"/>
      <c r="I3" s="79"/>
    </row>
    <row r="4" spans="1:15" ht="13">
      <c r="D4" s="2"/>
      <c r="E4" s="2"/>
      <c r="F4" s="2"/>
      <c r="G4" s="13"/>
      <c r="H4" s="13"/>
      <c r="I4" s="13"/>
      <c r="J4" s="80"/>
      <c r="K4" s="80"/>
      <c r="L4" s="5"/>
      <c r="M4" s="5"/>
      <c r="N4" s="5"/>
      <c r="O4" s="5"/>
    </row>
    <row r="5" spans="1:15" ht="25.5" customHeight="1">
      <c r="A5" s="579" t="s">
        <v>151</v>
      </c>
      <c r="B5" s="579" t="s">
        <v>152</v>
      </c>
      <c r="C5" s="579" t="s">
        <v>153</v>
      </c>
      <c r="D5" s="579" t="s">
        <v>138</v>
      </c>
      <c r="E5" s="579" t="s">
        <v>139</v>
      </c>
      <c r="F5" s="579" t="s">
        <v>140</v>
      </c>
      <c r="G5" s="581" t="s">
        <v>141</v>
      </c>
      <c r="H5" s="581" t="s">
        <v>155</v>
      </c>
      <c r="I5" s="581" t="s">
        <v>156</v>
      </c>
      <c r="J5" s="583" t="s">
        <v>157</v>
      </c>
      <c r="K5" s="579" t="s">
        <v>158</v>
      </c>
      <c r="L5" s="573" t="s">
        <v>166</v>
      </c>
      <c r="M5" s="574"/>
      <c r="N5" s="574" t="s">
        <v>159</v>
      </c>
      <c r="O5" s="575"/>
    </row>
    <row r="6" spans="1:15">
      <c r="A6" s="580"/>
      <c r="B6" s="580"/>
      <c r="C6" s="580"/>
      <c r="D6" s="580"/>
      <c r="E6" s="580"/>
      <c r="F6" s="580"/>
      <c r="G6" s="582"/>
      <c r="H6" s="582"/>
      <c r="I6" s="582"/>
      <c r="J6" s="584"/>
      <c r="K6" s="580"/>
      <c r="L6" s="81" t="s">
        <v>142</v>
      </c>
      <c r="M6" s="82" t="s">
        <v>142</v>
      </c>
      <c r="N6" s="82" t="s">
        <v>134</v>
      </c>
      <c r="O6" s="391" t="s">
        <v>134</v>
      </c>
    </row>
    <row r="7" spans="1:15" ht="13">
      <c r="A7" s="83">
        <v>1</v>
      </c>
      <c r="B7" s="84" t="s">
        <v>133</v>
      </c>
      <c r="C7" s="84" t="s">
        <v>154</v>
      </c>
      <c r="D7" s="85"/>
      <c r="E7" s="85"/>
      <c r="F7" s="86">
        <f>'Page 1'!M9</f>
        <v>60001</v>
      </c>
      <c r="G7" s="87">
        <f>SUMIF('Page 2'!$K$9:$K$41,$F7,'Page 2'!E$9:E$41)</f>
        <v>0</v>
      </c>
      <c r="H7" s="87"/>
      <c r="I7" s="87"/>
      <c r="J7" s="88">
        <f>SUMIF('Page 2'!$K$9:$K$41,$F7,'Page 2'!F$9:F$41)</f>
        <v>0</v>
      </c>
      <c r="K7" s="84" t="s">
        <v>154</v>
      </c>
      <c r="L7" s="89"/>
      <c r="M7" s="89"/>
      <c r="N7" s="89"/>
      <c r="O7" s="89"/>
    </row>
    <row r="8" spans="1:15" ht="13">
      <c r="A8" s="83">
        <f>A7+1</f>
        <v>2</v>
      </c>
      <c r="B8" s="84" t="s">
        <v>133</v>
      </c>
      <c r="C8" s="84" t="s">
        <v>154</v>
      </c>
      <c r="D8" s="85"/>
      <c r="E8" s="85"/>
      <c r="F8" s="90" t="s">
        <v>184</v>
      </c>
      <c r="G8" s="87">
        <f>SUMIF('Page 2'!$K$9:$K$41,$F8,'Page 2'!E$9:E$41)</f>
        <v>0</v>
      </c>
      <c r="H8" s="87"/>
      <c r="I8" s="87"/>
      <c r="J8" s="88">
        <f>SUMIF('Page 2'!$K$9:$K$41,$F8,'Page 2'!F$9:F$41)</f>
        <v>0</v>
      </c>
      <c r="K8" s="84" t="s">
        <v>154</v>
      </c>
      <c r="L8" s="89"/>
      <c r="M8" s="89"/>
      <c r="N8" s="89"/>
      <c r="O8" s="89"/>
    </row>
    <row r="9" spans="1:15" ht="13">
      <c r="A9" s="83">
        <f>A8+1</f>
        <v>3</v>
      </c>
      <c r="B9" s="84" t="s">
        <v>133</v>
      </c>
      <c r="C9" s="84" t="s">
        <v>154</v>
      </c>
      <c r="D9" s="85"/>
      <c r="E9" s="85"/>
      <c r="F9" s="90" t="s">
        <v>185</v>
      </c>
      <c r="G9" s="87">
        <f>SUMIF('Page 2'!$K$9:$K$41,$F9,'Page 2'!E$9:E$41)</f>
        <v>0</v>
      </c>
      <c r="H9" s="87"/>
      <c r="I9" s="87"/>
      <c r="J9" s="88">
        <f>SUMIF('Page 2'!$K$9:$K$41,$F9,'Page 2'!F$9:F$41)</f>
        <v>0</v>
      </c>
      <c r="K9" s="84" t="s">
        <v>154</v>
      </c>
      <c r="L9" s="90"/>
      <c r="M9" s="90"/>
      <c r="N9" s="90"/>
      <c r="O9" s="90"/>
    </row>
    <row r="10" spans="1:15" ht="13">
      <c r="A10" s="83">
        <f>A9+1</f>
        <v>4</v>
      </c>
      <c r="B10" s="84" t="s">
        <v>133</v>
      </c>
      <c r="C10" s="84" t="s">
        <v>154</v>
      </c>
      <c r="D10" s="85"/>
      <c r="E10" s="85"/>
      <c r="F10" s="90">
        <v>69101</v>
      </c>
      <c r="G10" s="87">
        <f>SUMIF('Page 2'!$K$9:$K$41,$F10,'Page 2'!E$9:E$41)</f>
        <v>1883.1342358830398</v>
      </c>
      <c r="H10" s="87"/>
      <c r="I10" s="87"/>
      <c r="J10" s="88">
        <f>SUMIF('Page 2'!$K$9:$K$41,$F10,'Page 2'!F$9:F$41)</f>
        <v>22597.640160324481</v>
      </c>
      <c r="K10" s="84" t="s">
        <v>154</v>
      </c>
      <c r="L10" s="2"/>
      <c r="M10" s="2"/>
      <c r="N10" s="2"/>
      <c r="O10" s="2"/>
    </row>
    <row r="11" spans="1:15" s="97" customFormat="1" ht="13">
      <c r="A11" s="91" t="s">
        <v>160</v>
      </c>
      <c r="B11" s="92"/>
      <c r="C11" s="92"/>
      <c r="D11" s="92"/>
      <c r="E11" s="92"/>
      <c r="F11" s="93"/>
      <c r="G11" s="94">
        <f t="shared" ref="G11:I11" si="0">SUM(G7:G10)</f>
        <v>1883.1342358830398</v>
      </c>
      <c r="H11" s="94">
        <f t="shared" si="0"/>
        <v>0</v>
      </c>
      <c r="I11" s="94">
        <f t="shared" si="0"/>
        <v>0</v>
      </c>
      <c r="J11" s="94">
        <f>SUM(J7:J10)</f>
        <v>22597.640160324481</v>
      </c>
      <c r="K11" s="95"/>
      <c r="L11" s="96"/>
      <c r="M11" s="96"/>
      <c r="N11" s="96"/>
      <c r="O11" s="96"/>
    </row>
    <row r="12" spans="1:15" ht="13">
      <c r="D12" s="2"/>
      <c r="E12" s="2"/>
      <c r="F12" s="2"/>
      <c r="G12" s="13"/>
      <c r="H12" s="13"/>
      <c r="I12" s="13"/>
      <c r="J12" s="13"/>
      <c r="K12" s="13"/>
      <c r="L12" s="2"/>
      <c r="M12" s="2"/>
      <c r="N12" s="2"/>
      <c r="O12" s="2"/>
    </row>
    <row r="13" spans="1:15" ht="13">
      <c r="D13" s="2"/>
      <c r="E13" s="2"/>
      <c r="F13" s="2"/>
      <c r="G13" s="13"/>
      <c r="H13" s="13"/>
      <c r="I13" s="13"/>
      <c r="J13" s="13"/>
      <c r="K13" s="13"/>
      <c r="L13" s="2"/>
      <c r="M13" s="2"/>
      <c r="N13" s="2"/>
      <c r="O13" s="2"/>
    </row>
    <row r="14" spans="1:15" ht="13">
      <c r="A14" s="2"/>
      <c r="B14" s="2"/>
      <c r="C14" s="2"/>
      <c r="D14" s="98" t="s">
        <v>142</v>
      </c>
      <c r="E14" s="98" t="s">
        <v>134</v>
      </c>
      <c r="F14" s="13"/>
      <c r="G14" s="13"/>
      <c r="H14" s="13"/>
      <c r="I14" s="13"/>
      <c r="J14" s="2"/>
      <c r="K14" s="2"/>
      <c r="L14" s="79"/>
      <c r="M14" s="79"/>
      <c r="N14" s="79"/>
      <c r="O14" s="79"/>
    </row>
    <row r="15" spans="1:15" ht="13">
      <c r="A15" s="576" t="s">
        <v>143</v>
      </c>
      <c r="B15" s="577"/>
      <c r="C15" s="578"/>
      <c r="D15" s="89"/>
      <c r="E15" s="89"/>
      <c r="F15" s="13"/>
      <c r="G15" s="13"/>
      <c r="H15" s="13"/>
      <c r="I15" s="13"/>
      <c r="J15" s="2"/>
      <c r="K15" s="2"/>
      <c r="L15" s="79"/>
      <c r="M15" s="79"/>
      <c r="N15" s="79"/>
      <c r="O15" s="79"/>
    </row>
    <row r="16" spans="1:15" ht="13">
      <c r="A16" s="576" t="s">
        <v>144</v>
      </c>
      <c r="B16" s="577"/>
      <c r="C16" s="578"/>
      <c r="D16" s="90"/>
      <c r="E16" s="90"/>
      <c r="F16" s="13"/>
      <c r="G16" s="13"/>
      <c r="H16" s="13"/>
      <c r="I16" s="13"/>
      <c r="J16" s="2"/>
      <c r="K16" s="2"/>
      <c r="L16" s="79"/>
      <c r="M16" s="79"/>
      <c r="N16" s="79"/>
      <c r="O16" s="79"/>
    </row>
    <row r="19" spans="1:6">
      <c r="A19" s="70" t="s">
        <v>186</v>
      </c>
    </row>
    <row r="20" spans="1:6">
      <c r="A20" s="19" t="s">
        <v>187</v>
      </c>
      <c r="F20" s="379" t="s">
        <v>258</v>
      </c>
    </row>
    <row r="21" spans="1:6">
      <c r="A21" s="19" t="s">
        <v>188</v>
      </c>
    </row>
    <row r="41" spans="8:8">
      <c r="H41" s="19"/>
    </row>
  </sheetData>
  <sheetProtection password="C8F7" sheet="1" objects="1" scenarios="1"/>
  <mergeCells count="15">
    <mergeCell ref="L5:M5"/>
    <mergeCell ref="N5:O5"/>
    <mergeCell ref="A15:C15"/>
    <mergeCell ref="A16:C16"/>
    <mergeCell ref="A5:A6"/>
    <mergeCell ref="B5:B6"/>
    <mergeCell ref="C5:C6"/>
    <mergeCell ref="D5:D6"/>
    <mergeCell ref="E5:E6"/>
    <mergeCell ref="F5:F6"/>
    <mergeCell ref="G5:G6"/>
    <mergeCell ref="H5:H6"/>
    <mergeCell ref="I5:I6"/>
    <mergeCell ref="J5:J6"/>
    <mergeCell ref="K5:K6"/>
  </mergeCells>
  <pageMargins left="0.7" right="0.7" top="0.75" bottom="0.75" header="0.3" footer="0.3"/>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Page 1</vt:lpstr>
      <vt:lpstr>Page 2</vt:lpstr>
      <vt:lpstr>Page 3</vt:lpstr>
      <vt:lpstr>Page 4</vt:lpstr>
      <vt:lpstr>Page 5</vt:lpstr>
      <vt:lpstr>LOCK_ME_Page 6_Rate Table</vt:lpstr>
      <vt:lpstr>CLBC_Pmt Table</vt:lpstr>
    </vt:vector>
  </TitlesOfParts>
  <Company>Province of British Columbia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Goldberg</dc:creator>
  <cp:lastModifiedBy>Lexi</cp:lastModifiedBy>
  <cp:lastPrinted>2015-03-03T23:36:14Z</cp:lastPrinted>
  <dcterms:created xsi:type="dcterms:W3CDTF">2007-02-20T16:37:34Z</dcterms:created>
  <dcterms:modified xsi:type="dcterms:W3CDTF">2015-07-21T18:25:59Z</dcterms:modified>
</cp:coreProperties>
</file>