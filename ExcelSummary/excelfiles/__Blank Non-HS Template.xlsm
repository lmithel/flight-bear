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workbookProtection workbookPassword="E5B1" lockStructure="1"/>
  <bookViews>
    <workbookView xWindow="-15" yWindow="-15" windowWidth="13605" windowHeight="6330" tabRatio="695" activeTab="5"/>
  </bookViews>
  <sheets>
    <sheet name="Instructions" sheetId="11" r:id="rId1"/>
    <sheet name="Page1" sheetId="29" r:id="rId2"/>
    <sheet name="Page2A" sheetId="10" r:id="rId3"/>
    <sheet name="Page2B" sheetId="27" r:id="rId4"/>
    <sheet name="Page2B - Data" sheetId="28" state="hidden" r:id="rId5"/>
    <sheet name="Page3" sheetId="6" r:id="rId6"/>
    <sheet name="Page4" sheetId="19" r:id="rId7"/>
    <sheet name="Page5" sheetId="9" r:id="rId8"/>
    <sheet name="VPage6A" sheetId="20" r:id="rId9"/>
    <sheet name="OTOPage6B" sheetId="26" r:id="rId10"/>
    <sheet name="PTPage7" sheetId="22" r:id="rId11"/>
    <sheet name="LOCK_ME - Page8" sheetId="18" state="hidden" r:id="rId12"/>
    <sheet name="LOCK_ME - Page9 - RATES" sheetId="15" state="hidden" r:id="rId13"/>
    <sheet name="LOCK_ME - Page10 - Lookups" sheetId="13" state="hidden" r:id="rId14"/>
  </sheets>
  <definedNames>
    <definedName name="Grid">'LOCK_ME - Page10 - Lookups'!$D$10:$D$43</definedName>
    <definedName name="JobList">'LOCK_ME - Page10 - Lookups'!$B$10:$B$43</definedName>
    <definedName name="_xlnm.Print_Area" localSheetId="0">Instructions!$A$1:$M$87</definedName>
    <definedName name="_xlnm.Print_Area" localSheetId="13">'LOCK_ME - Page10 - Lookups'!$A$1:$O$153</definedName>
    <definedName name="_xlnm.Print_Area" localSheetId="11">'LOCK_ME - Page8'!$A$1:$U$40</definedName>
    <definedName name="_xlnm.Print_Area" localSheetId="12">'LOCK_ME - Page9 - RATES'!$B$1:$V$144</definedName>
    <definedName name="_xlnm.Print_Area" localSheetId="9">OTOPage6B!$B$1:$V$635</definedName>
    <definedName name="_xlnm.Print_Area" localSheetId="1">Page1!$A$1:$M$87</definedName>
    <definedName name="_xlnm.Print_Area" localSheetId="2">Page2A!$A$1:$U$55</definedName>
    <definedName name="_xlnm.Print_Area" localSheetId="3">Page2B!$A$1:$O$197</definedName>
    <definedName name="_xlnm.Print_Area" localSheetId="5">Page3!$A$1:$G$118</definedName>
    <definedName name="_xlnm.Print_Area" localSheetId="6">Page4!$A$1:$G$76</definedName>
    <definedName name="_xlnm.Print_Area" localSheetId="7">Page5!$A$1:$Z$52</definedName>
    <definedName name="_xlnm.Print_Area" localSheetId="10">PTPage7!$B$1:$P$126</definedName>
    <definedName name="_xlnm.Print_Area" localSheetId="8">VPage6A!$B$1:$AB$238</definedName>
    <definedName name="_xlnm.Print_Titles" localSheetId="13">'LOCK_ME - Page10 - Lookups'!$1:$5</definedName>
    <definedName name="_xlnm.Print_Titles" localSheetId="9">OTOPage6B!$1:$6</definedName>
    <definedName name="_xlnm.Print_Titles" localSheetId="3">Page2B!$1:$5</definedName>
    <definedName name="_xlnm.Print_Titles" localSheetId="4">'Page2B - Data'!$A:$A,'Page2B - Data'!$1:$4</definedName>
    <definedName name="_xlnm.Print_Titles" localSheetId="5">Page3!$1:$5</definedName>
    <definedName name="_xlnm.Print_Titles" localSheetId="8">VPage6A!$1:$6</definedName>
    <definedName name="PTSL">'LOCK_ME - Page10 - Lookups'!$B$111:$B$117</definedName>
    <definedName name="ServiceLine">'LOCK_ME - Page10 - Lookups'!$B$101:$B$108</definedName>
    <definedName name="Supervisor">'LOCK_ME - Page10 - Lookups'!$H$10</definedName>
    <definedName name="SupervisorGrid">'LOCK_ME - Page10 - Lookups'!$J$10</definedName>
    <definedName name="VariableJobList">'LOCK_ME - Page10 - Lookups'!$B$121:$B$152</definedName>
  </definedNames>
  <calcPr calcId="145621"/>
</workbook>
</file>

<file path=xl/calcChain.xml><?xml version="1.0" encoding="utf-8"?>
<calcChain xmlns="http://schemas.openxmlformats.org/spreadsheetml/2006/main">
  <c r="D49" i="29" l="1"/>
  <c r="B96" i="6" l="1"/>
  <c r="D18" i="22" l="1"/>
  <c r="H25" i="29" l="1"/>
  <c r="F96" i="6"/>
  <c r="E98" i="6"/>
  <c r="B74" i="29" s="1"/>
  <c r="F97" i="6"/>
  <c r="B39" i="29"/>
  <c r="H40" i="29"/>
  <c r="H39" i="29"/>
  <c r="H36" i="29"/>
  <c r="H33" i="29"/>
  <c r="H38" i="29" l="1"/>
  <c r="H35" i="29"/>
  <c r="H32" i="29"/>
  <c r="F95" i="6" l="1"/>
  <c r="F94" i="6"/>
  <c r="N34" i="29" l="1"/>
  <c r="M85" i="13"/>
  <c r="F105" i="15"/>
  <c r="H105" i="15"/>
  <c r="F109" i="15"/>
  <c r="H109" i="15"/>
  <c r="F120" i="15"/>
  <c r="G121" i="15"/>
  <c r="I121" i="15"/>
  <c r="G122" i="15"/>
  <c r="I122" i="15"/>
  <c r="G123" i="15"/>
  <c r="I123" i="15"/>
  <c r="G124" i="15"/>
  <c r="I124" i="15"/>
  <c r="H124" i="15" s="1"/>
  <c r="H120" i="15" s="1"/>
  <c r="F127" i="15"/>
  <c r="H127" i="15"/>
  <c r="F128" i="15"/>
  <c r="H128" i="15"/>
  <c r="F129" i="15"/>
  <c r="H129" i="15"/>
  <c r="F132" i="15"/>
  <c r="G133" i="15"/>
  <c r="I133" i="15"/>
  <c r="G134" i="15"/>
  <c r="I134" i="15"/>
  <c r="G135" i="15"/>
  <c r="I135" i="15"/>
  <c r="G136" i="15"/>
  <c r="H136" i="15"/>
  <c r="H132" i="15" s="1"/>
  <c r="F104" i="15" l="1"/>
  <c r="F119" i="15" s="1"/>
  <c r="M81" i="13"/>
  <c r="M79" i="13"/>
  <c r="M77" i="13"/>
  <c r="M75" i="13"/>
  <c r="M73" i="13"/>
  <c r="M71" i="13"/>
  <c r="M80" i="13"/>
  <c r="M78" i="13"/>
  <c r="M76" i="13"/>
  <c r="M74" i="13"/>
  <c r="M72" i="13"/>
  <c r="G120" i="15"/>
  <c r="I132" i="15"/>
  <c r="H126" i="15"/>
  <c r="H125" i="15" s="1"/>
  <c r="G132" i="15"/>
  <c r="F126" i="15"/>
  <c r="F125" i="15" s="1"/>
  <c r="I120" i="15"/>
  <c r="H104" i="15"/>
  <c r="H119" i="15" s="1"/>
  <c r="A1" i="9" l="1"/>
  <c r="E16" i="18" l="1"/>
  <c r="F17" i="18" l="1"/>
  <c r="E17" i="18"/>
  <c r="F16" i="18"/>
  <c r="L5" i="18"/>
  <c r="E5" i="18"/>
  <c r="G96" i="13"/>
  <c r="F96" i="13"/>
  <c r="G90" i="13"/>
  <c r="F90" i="13"/>
  <c r="B4" i="26"/>
  <c r="AA3" i="26"/>
  <c r="AA2" i="26"/>
  <c r="AA1" i="26"/>
  <c r="AA5" i="26"/>
  <c r="B5" i="26"/>
  <c r="AE1" i="20"/>
  <c r="AE5" i="20"/>
  <c r="Y18" i="20" s="1"/>
  <c r="C5" i="20"/>
  <c r="C4" i="20"/>
  <c r="AE3" i="20"/>
  <c r="AE2" i="20"/>
  <c r="AC1" i="9"/>
  <c r="W43" i="9"/>
  <c r="L42" i="9"/>
  <c r="G95" i="13" s="1"/>
  <c r="W42" i="9"/>
  <c r="S5" i="9"/>
  <c r="F5" i="9"/>
  <c r="AC2" i="9"/>
  <c r="C5" i="19"/>
  <c r="C4" i="19"/>
  <c r="J1" i="6"/>
  <c r="C5" i="6"/>
  <c r="J4" i="6"/>
  <c r="D49" i="6" s="1"/>
  <c r="C4" i="6"/>
  <c r="J3" i="6"/>
  <c r="J2" i="6"/>
  <c r="A4" i="27"/>
  <c r="A5" i="27"/>
  <c r="AD2" i="10"/>
  <c r="AD1" i="10"/>
  <c r="I5" i="10"/>
  <c r="I4" i="10"/>
  <c r="AD3" i="10"/>
  <c r="D64" i="29"/>
  <c r="N62" i="29"/>
  <c r="N37" i="29"/>
  <c r="N85" i="13" s="1"/>
  <c r="N31" i="29"/>
  <c r="N13" i="29"/>
  <c r="N15" i="29" s="1"/>
  <c r="A2" i="29"/>
  <c r="A1" i="29"/>
  <c r="D50" i="6" l="1"/>
  <c r="AA20" i="26"/>
  <c r="K49" i="6"/>
  <c r="AE29" i="20"/>
  <c r="R20" i="26"/>
  <c r="M69" i="13"/>
  <c r="M67" i="13"/>
  <c r="M65" i="13"/>
  <c r="M63" i="13"/>
  <c r="M61" i="13"/>
  <c r="M59" i="13"/>
  <c r="M57" i="13"/>
  <c r="M55" i="13"/>
  <c r="M51" i="13"/>
  <c r="M70" i="13"/>
  <c r="M68" i="13"/>
  <c r="M66" i="13"/>
  <c r="M64" i="13"/>
  <c r="M62" i="13"/>
  <c r="M60" i="13"/>
  <c r="M58" i="13"/>
  <c r="M56" i="13"/>
  <c r="M54" i="13"/>
  <c r="M52" i="13"/>
  <c r="M50" i="13"/>
  <c r="M48" i="13"/>
  <c r="M53" i="13"/>
  <c r="M49" i="13"/>
  <c r="G91" i="13"/>
  <c r="G97" i="13"/>
  <c r="Y20" i="20"/>
  <c r="R18" i="26"/>
  <c r="G89" i="13"/>
  <c r="C50" i="10"/>
  <c r="C48" i="10"/>
  <c r="C46" i="10"/>
  <c r="C44" i="10"/>
  <c r="C42" i="10"/>
  <c r="C40" i="10"/>
  <c r="C38" i="10"/>
  <c r="C36" i="10"/>
  <c r="C34" i="10"/>
  <c r="C32" i="10"/>
  <c r="C30" i="10"/>
  <c r="C28" i="10"/>
  <c r="C26" i="10"/>
  <c r="C24" i="10"/>
  <c r="C22" i="10"/>
  <c r="B131" i="22" l="1"/>
  <c r="B133" i="22" s="1"/>
  <c r="B136" i="22" s="1"/>
  <c r="B138" i="22" s="1"/>
  <c r="B140" i="22" s="1"/>
  <c r="B142" i="22" s="1"/>
  <c r="AD612" i="26"/>
  <c r="G626" i="26" s="1"/>
  <c r="AD610" i="26"/>
  <c r="AD609" i="26"/>
  <c r="AD579" i="26"/>
  <c r="G593" i="26" s="1"/>
  <c r="AD577" i="26"/>
  <c r="AD576" i="26"/>
  <c r="AD546" i="26"/>
  <c r="G560" i="26" s="1"/>
  <c r="AD544" i="26"/>
  <c r="AD543" i="26"/>
  <c r="AD513" i="26"/>
  <c r="G527" i="26" s="1"/>
  <c r="AD511" i="26"/>
  <c r="AD510" i="26"/>
  <c r="AD480" i="26"/>
  <c r="G494" i="26" s="1"/>
  <c r="AD478" i="26"/>
  <c r="AD477" i="26"/>
  <c r="AD447" i="26"/>
  <c r="G461" i="26" s="1"/>
  <c r="AD445" i="26"/>
  <c r="AD444" i="26"/>
  <c r="AD414" i="26"/>
  <c r="G428" i="26" s="1"/>
  <c r="AD412" i="26"/>
  <c r="AD411" i="26"/>
  <c r="AD379" i="26"/>
  <c r="AD378" i="26"/>
  <c r="AD346" i="26"/>
  <c r="G360" i="26" s="1"/>
  <c r="AD344" i="26"/>
  <c r="AD343" i="26"/>
  <c r="AD313" i="26"/>
  <c r="G327" i="26" s="1"/>
  <c r="AD311" i="26"/>
  <c r="AD310" i="26"/>
  <c r="AD280" i="26"/>
  <c r="G294" i="26" s="1"/>
  <c r="AD278" i="26"/>
  <c r="AD277" i="26"/>
  <c r="AD247" i="26"/>
  <c r="G261" i="26" s="1"/>
  <c r="AD245" i="26"/>
  <c r="AD244" i="26"/>
  <c r="AD214" i="26"/>
  <c r="G228" i="26" s="1"/>
  <c r="AD212" i="26"/>
  <c r="AD211" i="26"/>
  <c r="AD181" i="26"/>
  <c r="G195" i="26" s="1"/>
  <c r="AD179" i="26"/>
  <c r="AD178" i="26"/>
  <c r="AD146" i="26"/>
  <c r="AD145" i="26"/>
  <c r="AD148" i="26" l="1"/>
  <c r="G162" i="26" s="1"/>
  <c r="AD381" i="26"/>
  <c r="G395" i="26" s="1"/>
  <c r="V8" i="22"/>
  <c r="V7" i="22"/>
  <c r="V6" i="22"/>
  <c r="J24" i="26"/>
  <c r="L28" i="20"/>
  <c r="V9" i="22" l="1"/>
  <c r="C10" i="22" s="1"/>
  <c r="M52" i="20" l="1"/>
  <c r="M51" i="20"/>
  <c r="M50" i="20"/>
  <c r="M49" i="20"/>
  <c r="G109" i="20" l="1"/>
  <c r="G110" i="20" s="1"/>
  <c r="G112" i="20"/>
  <c r="G113" i="20" s="1"/>
  <c r="G173" i="20"/>
  <c r="G174" i="20" s="1"/>
  <c r="G176" i="20"/>
  <c r="G177" i="20" s="1"/>
  <c r="G114" i="20" l="1"/>
  <c r="G116" i="20" s="1"/>
  <c r="G107" i="20"/>
  <c r="G171" i="20"/>
  <c r="G178" i="20"/>
  <c r="G180" i="20" s="1"/>
  <c r="G115" i="20" l="1"/>
  <c r="G179" i="20"/>
  <c r="G621" i="26" l="1"/>
  <c r="I611" i="26"/>
  <c r="I613" i="26" s="1"/>
  <c r="G611" i="26"/>
  <c r="G612" i="26" s="1"/>
  <c r="I608" i="26"/>
  <c r="G608" i="26"/>
  <c r="G609" i="26" s="1"/>
  <c r="AA602" i="26"/>
  <c r="AA603" i="26" s="1"/>
  <c r="D598" i="26"/>
  <c r="D597" i="26"/>
  <c r="D596" i="26"/>
  <c r="G588" i="26"/>
  <c r="I578" i="26"/>
  <c r="I580" i="26" s="1"/>
  <c r="G578" i="26"/>
  <c r="G579" i="26" s="1"/>
  <c r="I575" i="26"/>
  <c r="G575" i="26"/>
  <c r="G576" i="26" s="1"/>
  <c r="AA569" i="26"/>
  <c r="AA570" i="26" s="1"/>
  <c r="D565" i="26"/>
  <c r="D564" i="26"/>
  <c r="D563" i="26"/>
  <c r="F473" i="26"/>
  <c r="F440" i="26"/>
  <c r="L440" i="26" s="1"/>
  <c r="G355" i="26"/>
  <c r="Z346" i="26"/>
  <c r="R337" i="26" s="1"/>
  <c r="R330" i="26" s="1"/>
  <c r="I345" i="26"/>
  <c r="I347" i="26" s="1"/>
  <c r="G345" i="26"/>
  <c r="G347" i="26" s="1"/>
  <c r="I342" i="26"/>
  <c r="G342" i="26"/>
  <c r="G343" i="26" s="1"/>
  <c r="AA336" i="26"/>
  <c r="AA337" i="26" s="1"/>
  <c r="D332" i="26"/>
  <c r="D331" i="26"/>
  <c r="D330" i="26"/>
  <c r="I312" i="26"/>
  <c r="I314" i="26" s="1"/>
  <c r="G312" i="26"/>
  <c r="G314" i="26" s="1"/>
  <c r="I309" i="26"/>
  <c r="G309" i="26"/>
  <c r="G310" i="26" s="1"/>
  <c r="AA303" i="26"/>
  <c r="AA304" i="26" s="1"/>
  <c r="AD307" i="26" s="1"/>
  <c r="F207" i="26"/>
  <c r="L207" i="26" s="1"/>
  <c r="F174" i="26"/>
  <c r="L174" i="26" s="1"/>
  <c r="AG18" i="20"/>
  <c r="Q23" i="20"/>
  <c r="M163" i="20"/>
  <c r="AD340" i="26" l="1"/>
  <c r="G337" i="26" s="1"/>
  <c r="AD573" i="26"/>
  <c r="G570" i="26" s="1"/>
  <c r="AD606" i="26"/>
  <c r="G603" i="26" s="1"/>
  <c r="G304" i="26"/>
  <c r="D599" i="26"/>
  <c r="D333" i="26"/>
  <c r="H34" i="20"/>
  <c r="C31" i="20"/>
  <c r="S337" i="26"/>
  <c r="S347" i="26" s="1"/>
  <c r="O337" i="26"/>
  <c r="O347" i="26" s="1"/>
  <c r="Q337" i="26"/>
  <c r="Q347" i="26" s="1"/>
  <c r="D566" i="26"/>
  <c r="G606" i="26"/>
  <c r="I612" i="26"/>
  <c r="G613" i="26"/>
  <c r="G615" i="26" s="1"/>
  <c r="G573" i="26"/>
  <c r="I579" i="26"/>
  <c r="G580" i="26"/>
  <c r="G582" i="26" s="1"/>
  <c r="L473" i="26"/>
  <c r="N337" i="26"/>
  <c r="N330" i="26" s="1"/>
  <c r="P337" i="26"/>
  <c r="P342" i="26" s="1"/>
  <c r="P343" i="26" s="1"/>
  <c r="R342" i="26"/>
  <c r="R343" i="26" s="1"/>
  <c r="G346" i="26"/>
  <c r="R347" i="26"/>
  <c r="R345" i="26"/>
  <c r="R346" i="26" s="1"/>
  <c r="I346" i="26"/>
  <c r="R352" i="26"/>
  <c r="G313" i="26"/>
  <c r="G316" i="26" s="1"/>
  <c r="I313" i="26"/>
  <c r="AJ229" i="20"/>
  <c r="AE229" i="20"/>
  <c r="AF229" i="20" s="1"/>
  <c r="AI229" i="20" s="1"/>
  <c r="N229" i="20"/>
  <c r="P229" i="20" s="1"/>
  <c r="AJ165" i="20"/>
  <c r="AE165" i="20"/>
  <c r="AF165" i="20" s="1"/>
  <c r="AI165" i="20" s="1"/>
  <c r="P165" i="20"/>
  <c r="M165" i="20"/>
  <c r="Q345" i="26" l="1"/>
  <c r="Q346" i="26" s="1"/>
  <c r="Q340" i="26" s="1"/>
  <c r="Q343" i="26" s="1"/>
  <c r="Q342" i="26"/>
  <c r="S342" i="26"/>
  <c r="S345" i="26"/>
  <c r="S346" i="26" s="1"/>
  <c r="S348" i="26" s="1"/>
  <c r="O342" i="26"/>
  <c r="N347" i="26"/>
  <c r="O345" i="26"/>
  <c r="O346" i="26" s="1"/>
  <c r="O340" i="26" s="1"/>
  <c r="N352" i="26"/>
  <c r="N353" i="26" s="1"/>
  <c r="G614" i="26"/>
  <c r="N345" i="26"/>
  <c r="N346" i="26" s="1"/>
  <c r="N342" i="26"/>
  <c r="N343" i="26" s="1"/>
  <c r="I614" i="26"/>
  <c r="I606" i="26"/>
  <c r="I609" i="26" s="1"/>
  <c r="G581" i="26"/>
  <c r="I581" i="26"/>
  <c r="I573" i="26"/>
  <c r="I576" i="26" s="1"/>
  <c r="P345" i="26"/>
  <c r="P346" i="26" s="1"/>
  <c r="P340" i="26" s="1"/>
  <c r="P330" i="26"/>
  <c r="P352" i="26"/>
  <c r="P353" i="26" s="1"/>
  <c r="P347" i="26"/>
  <c r="I348" i="26"/>
  <c r="I340" i="26"/>
  <c r="I343" i="26" s="1"/>
  <c r="R348" i="26"/>
  <c r="R340" i="26"/>
  <c r="G348" i="26"/>
  <c r="G340" i="26"/>
  <c r="Q348" i="26"/>
  <c r="R349" i="26"/>
  <c r="R357" i="26" s="1"/>
  <c r="R331" i="26" s="1"/>
  <c r="G349" i="26"/>
  <c r="R353" i="26"/>
  <c r="R354" i="26" s="1"/>
  <c r="R355" i="26" s="1"/>
  <c r="N340" i="26"/>
  <c r="G315" i="26"/>
  <c r="G307" i="26"/>
  <c r="I315" i="26"/>
  <c r="I307" i="26"/>
  <c r="I310" i="26" s="1"/>
  <c r="R229" i="20"/>
  <c r="R165" i="20"/>
  <c r="O343" i="26" l="1"/>
  <c r="P354" i="26"/>
  <c r="P355" i="26" s="1"/>
  <c r="N348" i="26"/>
  <c r="S340" i="26"/>
  <c r="O348" i="26"/>
  <c r="S343" i="26"/>
  <c r="S349" i="26" s="1"/>
  <c r="N354" i="26"/>
  <c r="N355" i="26" s="1"/>
  <c r="N349" i="26"/>
  <c r="N357" i="26" s="1"/>
  <c r="N331" i="26" s="1"/>
  <c r="P348" i="26"/>
  <c r="I615" i="26"/>
  <c r="G618" i="26"/>
  <c r="I582" i="26"/>
  <c r="G585" i="26"/>
  <c r="P349" i="26"/>
  <c r="P357" i="26" s="1"/>
  <c r="P331" i="26" s="1"/>
  <c r="R350" i="26"/>
  <c r="R358" i="26" s="1"/>
  <c r="Q349" i="26"/>
  <c r="Q350" i="26" s="1"/>
  <c r="Q358" i="26" s="1"/>
  <c r="I349" i="26"/>
  <c r="G352" i="26"/>
  <c r="I316" i="26"/>
  <c r="G319" i="26"/>
  <c r="D297" i="26" s="1"/>
  <c r="Z99" i="20"/>
  <c r="Z101" i="20" s="1"/>
  <c r="O349" i="26" l="1"/>
  <c r="O350" i="26" s="1"/>
  <c r="O358" i="26" s="1"/>
  <c r="S350" i="26"/>
  <c r="S358" i="26" s="1"/>
  <c r="R339" i="26" s="1"/>
  <c r="S357" i="26"/>
  <c r="R332" i="26" s="1"/>
  <c r="R333" i="26" s="1"/>
  <c r="N350" i="26"/>
  <c r="N358" i="26" s="1"/>
  <c r="Q357" i="26"/>
  <c r="P332" i="26" s="1"/>
  <c r="P333" i="26" s="1"/>
  <c r="I623" i="26"/>
  <c r="G619" i="26"/>
  <c r="G620" i="26" s="1"/>
  <c r="G623" i="26" s="1"/>
  <c r="I616" i="26"/>
  <c r="I625" i="26" s="1"/>
  <c r="G616" i="26"/>
  <c r="G625" i="26" s="1"/>
  <c r="M605" i="26" s="1"/>
  <c r="P350" i="26"/>
  <c r="P358" i="26" s="1"/>
  <c r="P339" i="26" s="1"/>
  <c r="I590" i="26"/>
  <c r="G586" i="26"/>
  <c r="G587" i="26" s="1"/>
  <c r="I583" i="26"/>
  <c r="I592" i="26" s="1"/>
  <c r="G590" i="26"/>
  <c r="G583" i="26"/>
  <c r="G592" i="26" s="1"/>
  <c r="M572" i="26" s="1"/>
  <c r="I357" i="26"/>
  <c r="I350" i="26"/>
  <c r="I359" i="26" s="1"/>
  <c r="G353" i="26"/>
  <c r="G354" i="26" s="1"/>
  <c r="G357" i="26" s="1"/>
  <c r="G350" i="26"/>
  <c r="G359" i="26" s="1"/>
  <c r="M339" i="26" s="1"/>
  <c r="I324" i="26"/>
  <c r="D299" i="26" s="1"/>
  <c r="I317" i="26"/>
  <c r="I326" i="26" s="1"/>
  <c r="G320" i="26"/>
  <c r="G321" i="26" s="1"/>
  <c r="G317" i="26"/>
  <c r="AE18" i="20"/>
  <c r="AE20" i="20" s="1"/>
  <c r="AE22" i="20" s="1"/>
  <c r="AE23" i="20" s="1"/>
  <c r="O357" i="26" l="1"/>
  <c r="N332" i="26" s="1"/>
  <c r="N333" i="26" s="1"/>
  <c r="N339" i="26"/>
  <c r="G324" i="26"/>
  <c r="D298" i="26" s="1"/>
  <c r="D300" i="26" s="1"/>
  <c r="G322" i="26"/>
  <c r="G326" i="26" s="1"/>
  <c r="M306" i="26" s="1"/>
  <c r="AE24" i="20"/>
  <c r="AE25" i="20" s="1"/>
  <c r="K47" i="20" s="1"/>
  <c r="I47" i="20"/>
  <c r="AJ228" i="20"/>
  <c r="AJ227" i="20"/>
  <c r="AJ164" i="20"/>
  <c r="AJ163" i="20"/>
  <c r="C166" i="20" l="1"/>
  <c r="C230" i="20"/>
  <c r="M164" i="20"/>
  <c r="N228" i="20"/>
  <c r="P228" i="20" s="1"/>
  <c r="N227" i="20"/>
  <c r="P227" i="20" s="1"/>
  <c r="P164" i="20"/>
  <c r="P163" i="20"/>
  <c r="AE228" i="20"/>
  <c r="AF228" i="20" s="1"/>
  <c r="AE227" i="20"/>
  <c r="AF227" i="20" s="1"/>
  <c r="AI227" i="20" s="1"/>
  <c r="AE164" i="20"/>
  <c r="AF164" i="20" s="1"/>
  <c r="R164" i="20" l="1"/>
  <c r="AI164" i="20"/>
  <c r="R228" i="20"/>
  <c r="AI228" i="20"/>
  <c r="R227" i="20"/>
  <c r="G225" i="20"/>
  <c r="AE163" i="20"/>
  <c r="AF163" i="20" s="1"/>
  <c r="AI163" i="20" s="1"/>
  <c r="AE106" i="20"/>
  <c r="AF106" i="20" s="1"/>
  <c r="AI106" i="20" s="1"/>
  <c r="AA75" i="26"/>
  <c r="AA74" i="26"/>
  <c r="AA73" i="26"/>
  <c r="G18" i="26"/>
  <c r="G20" i="26"/>
  <c r="G23" i="26"/>
  <c r="I20" i="20"/>
  <c r="I18" i="20"/>
  <c r="J80" i="20"/>
  <c r="J83" i="20" s="1"/>
  <c r="H80" i="20"/>
  <c r="J86" i="20"/>
  <c r="J88" i="20" s="1"/>
  <c r="AD50" i="20"/>
  <c r="AD49" i="20"/>
  <c r="AD51" i="20"/>
  <c r="AD52" i="20"/>
  <c r="M48" i="20"/>
  <c r="AE79" i="20" l="1"/>
  <c r="D28" i="20"/>
  <c r="AE80" i="20"/>
  <c r="AE82" i="20" s="1"/>
  <c r="R163" i="20"/>
  <c r="G161" i="20"/>
  <c r="I109" i="20"/>
  <c r="I112" i="20"/>
  <c r="AJ106" i="20"/>
  <c r="AE170" i="20"/>
  <c r="AF170" i="20" s="1"/>
  <c r="AI170" i="20" s="1"/>
  <c r="J87" i="20"/>
  <c r="H83" i="20"/>
  <c r="H84" i="20" s="1"/>
  <c r="H86" i="20"/>
  <c r="H88" i="20" s="1"/>
  <c r="M53" i="20"/>
  <c r="AD48" i="20"/>
  <c r="G555" i="26"/>
  <c r="I113" i="20" l="1"/>
  <c r="I114" i="20"/>
  <c r="G127" i="20"/>
  <c r="G128" i="20" s="1"/>
  <c r="G130" i="20"/>
  <c r="I173" i="20"/>
  <c r="I176" i="20"/>
  <c r="R106" i="20"/>
  <c r="AJ170" i="20"/>
  <c r="AE124" i="20"/>
  <c r="AF124" i="20" s="1"/>
  <c r="AI124" i="20" s="1"/>
  <c r="H87" i="20"/>
  <c r="H81" i="20" s="1"/>
  <c r="J89" i="20"/>
  <c r="J81" i="20"/>
  <c r="J84" i="20" s="1"/>
  <c r="AD53" i="20"/>
  <c r="M66" i="20"/>
  <c r="C24" i="22"/>
  <c r="C25" i="22" s="1"/>
  <c r="A9" i="28"/>
  <c r="I127" i="20" l="1"/>
  <c r="I130" i="20"/>
  <c r="G131" i="20"/>
  <c r="G132" i="20"/>
  <c r="I107" i="20"/>
  <c r="I110" i="20" s="1"/>
  <c r="I115" i="20"/>
  <c r="G191" i="20"/>
  <c r="G192" i="20" s="1"/>
  <c r="G194" i="20"/>
  <c r="I177" i="20"/>
  <c r="I178" i="20"/>
  <c r="AE142" i="20"/>
  <c r="AF142" i="20" s="1"/>
  <c r="AI142" i="20" s="1"/>
  <c r="R170" i="20"/>
  <c r="AJ124" i="20"/>
  <c r="AE188" i="20"/>
  <c r="AF188" i="20" s="1"/>
  <c r="AI188" i="20" s="1"/>
  <c r="H90" i="20"/>
  <c r="J90" i="20"/>
  <c r="H89" i="20"/>
  <c r="H92" i="20"/>
  <c r="E80" i="20" s="1"/>
  <c r="C26" i="22"/>
  <c r="E72" i="6"/>
  <c r="G134" i="20" l="1"/>
  <c r="I116" i="20"/>
  <c r="G118" i="20"/>
  <c r="I131" i="20"/>
  <c r="I132" i="20"/>
  <c r="G125" i="20"/>
  <c r="G133" i="20"/>
  <c r="I171" i="20"/>
  <c r="I174" i="20" s="1"/>
  <c r="I179" i="20"/>
  <c r="I191" i="20"/>
  <c r="I194" i="20"/>
  <c r="G195" i="20"/>
  <c r="G196" i="20"/>
  <c r="G148" i="20"/>
  <c r="G145" i="20"/>
  <c r="G146" i="20" s="1"/>
  <c r="R124" i="20"/>
  <c r="AJ188" i="20"/>
  <c r="E112" i="20"/>
  <c r="J96" i="20"/>
  <c r="E82" i="20" s="1"/>
  <c r="H93" i="20"/>
  <c r="H94" i="20" s="1"/>
  <c r="H96" i="20" s="1"/>
  <c r="G198" i="20" l="1"/>
  <c r="I125" i="20"/>
  <c r="I128" i="20" s="1"/>
  <c r="I133" i="20"/>
  <c r="G119" i="20"/>
  <c r="G120" i="20" s="1"/>
  <c r="G122" i="20" s="1"/>
  <c r="E113" i="20" s="1"/>
  <c r="I122" i="20"/>
  <c r="E114" i="20" s="1"/>
  <c r="G189" i="20"/>
  <c r="G197" i="20"/>
  <c r="I195" i="20"/>
  <c r="I196" i="20"/>
  <c r="I180" i="20"/>
  <c r="G182" i="20"/>
  <c r="E176" i="20" s="1"/>
  <c r="R188" i="20"/>
  <c r="AJ142" i="20"/>
  <c r="C160" i="20" s="1"/>
  <c r="AE206" i="20"/>
  <c r="AF206" i="20" s="1"/>
  <c r="AI206" i="20" s="1"/>
  <c r="G212" i="20"/>
  <c r="G209" i="20"/>
  <c r="G210" i="20" s="1"/>
  <c r="G149" i="20"/>
  <c r="G150" i="20"/>
  <c r="I145" i="20"/>
  <c r="G104" i="20"/>
  <c r="I148" i="20"/>
  <c r="E81" i="20"/>
  <c r="E83" i="20" s="1"/>
  <c r="L80" i="20" s="1"/>
  <c r="O66" i="20" s="1"/>
  <c r="E115" i="20" l="1"/>
  <c r="T66" i="20"/>
  <c r="Q66" i="20"/>
  <c r="I134" i="20"/>
  <c r="G136" i="20"/>
  <c r="E130" i="20" s="1"/>
  <c r="G183" i="20"/>
  <c r="G184" i="20" s="1"/>
  <c r="G186" i="20" s="1"/>
  <c r="E177" i="20" s="1"/>
  <c r="I186" i="20"/>
  <c r="E178" i="20" s="1"/>
  <c r="I197" i="20"/>
  <c r="I189" i="20"/>
  <c r="I192" i="20" s="1"/>
  <c r="R142" i="20"/>
  <c r="AJ206" i="20"/>
  <c r="C224" i="20" s="1"/>
  <c r="G152" i="20"/>
  <c r="G214" i="20"/>
  <c r="G213" i="20"/>
  <c r="G168" i="20"/>
  <c r="I212" i="20"/>
  <c r="I209" i="20"/>
  <c r="I150" i="20"/>
  <c r="I149" i="20"/>
  <c r="G143" i="20"/>
  <c r="G151" i="20"/>
  <c r="E179" i="20" l="1"/>
  <c r="K170" i="20" s="1"/>
  <c r="V66" i="20"/>
  <c r="Y66" i="20" s="1"/>
  <c r="I140" i="20"/>
  <c r="E132" i="20" s="1"/>
  <c r="G137" i="20"/>
  <c r="G138" i="20" s="1"/>
  <c r="G140" i="20" s="1"/>
  <c r="E131" i="20" s="1"/>
  <c r="I198" i="20"/>
  <c r="G200" i="20"/>
  <c r="E194" i="20" s="1"/>
  <c r="R206" i="20"/>
  <c r="G216" i="20"/>
  <c r="I214" i="20"/>
  <c r="I213" i="20"/>
  <c r="G215" i="20"/>
  <c r="G207" i="20"/>
  <c r="I143" i="20"/>
  <c r="I146" i="20" s="1"/>
  <c r="I151" i="20"/>
  <c r="AD112" i="26"/>
  <c r="AA105" i="26"/>
  <c r="I77" i="26"/>
  <c r="G77" i="26"/>
  <c r="AA536" i="26"/>
  <c r="AA537" i="26" s="1"/>
  <c r="AA503" i="26"/>
  <c r="AA504" i="26" s="1"/>
  <c r="AA270" i="26"/>
  <c r="AA271" i="26" s="1"/>
  <c r="AA237" i="26"/>
  <c r="AA238" i="26" s="1"/>
  <c r="G522" i="26"/>
  <c r="AD274" i="26" l="1"/>
  <c r="G271" i="26" s="1"/>
  <c r="AD540" i="26"/>
  <c r="G537" i="26" s="1"/>
  <c r="AD241" i="26"/>
  <c r="G238" i="26" s="1"/>
  <c r="AD507" i="26"/>
  <c r="G504" i="26" s="1"/>
  <c r="E133" i="20"/>
  <c r="I204" i="20"/>
  <c r="E196" i="20" s="1"/>
  <c r="G201" i="20"/>
  <c r="G202" i="20" s="1"/>
  <c r="G204" i="20" s="1"/>
  <c r="E195" i="20" s="1"/>
  <c r="I207" i="20"/>
  <c r="I210" i="20" s="1"/>
  <c r="I215" i="20"/>
  <c r="I152" i="20"/>
  <c r="G154" i="20"/>
  <c r="E148" i="20" s="1"/>
  <c r="AA106" i="26"/>
  <c r="AD109" i="26" s="1"/>
  <c r="E197" i="20" l="1"/>
  <c r="K188" i="20" s="1"/>
  <c r="I216" i="20"/>
  <c r="G218" i="20"/>
  <c r="G155" i="20"/>
  <c r="G156" i="20" s="1"/>
  <c r="G158" i="20" s="1"/>
  <c r="E149" i="20" s="1"/>
  <c r="I158" i="20"/>
  <c r="E150" i="20" s="1"/>
  <c r="AD113" i="26"/>
  <c r="AD115" i="26" s="1"/>
  <c r="G129" i="26" s="1"/>
  <c r="AA138" i="26"/>
  <c r="G106" i="26"/>
  <c r="F407" i="26"/>
  <c r="F374" i="26"/>
  <c r="F141" i="26"/>
  <c r="F108" i="26"/>
  <c r="I222" i="20" l="1"/>
  <c r="E214" i="20" s="1"/>
  <c r="G219" i="20"/>
  <c r="G220" i="20" s="1"/>
  <c r="G222" i="20" s="1"/>
  <c r="E213" i="20" s="1"/>
  <c r="E212" i="20"/>
  <c r="E151" i="20"/>
  <c r="AA139" i="26"/>
  <c r="AD142" i="26" s="1"/>
  <c r="L141" i="26"/>
  <c r="L108" i="26"/>
  <c r="AA371" i="26"/>
  <c r="AA372" i="26" s="1"/>
  <c r="AD375" i="26" s="1"/>
  <c r="AA171" i="26" l="1"/>
  <c r="AA172" i="26" s="1"/>
  <c r="AD175" i="26" s="1"/>
  <c r="G180" i="26"/>
  <c r="G177" i="26"/>
  <c r="G178" i="26" s="1"/>
  <c r="E215" i="20"/>
  <c r="K206" i="20" s="1"/>
  <c r="G139" i="26"/>
  <c r="G172" i="26" l="1"/>
  <c r="G182" i="26"/>
  <c r="G181" i="26"/>
  <c r="I177" i="26"/>
  <c r="I180" i="26"/>
  <c r="G372" i="26"/>
  <c r="AA76" i="26"/>
  <c r="C24" i="26" s="1"/>
  <c r="AD74" i="26"/>
  <c r="AD75" i="26"/>
  <c r="AA77" i="26"/>
  <c r="G184" i="26" l="1"/>
  <c r="I182" i="26"/>
  <c r="I181" i="26"/>
  <c r="AA204" i="26"/>
  <c r="AA205" i="26" s="1"/>
  <c r="AD208" i="26" s="1"/>
  <c r="G213" i="26"/>
  <c r="G210" i="26"/>
  <c r="G211" i="26" s="1"/>
  <c r="G183" i="26"/>
  <c r="G175" i="26"/>
  <c r="AA78" i="26"/>
  <c r="AA79" i="26" s="1"/>
  <c r="Z208" i="26" s="1"/>
  <c r="G205" i="26" l="1"/>
  <c r="Z340" i="26"/>
  <c r="Z307" i="26"/>
  <c r="G215" i="26"/>
  <c r="G214" i="26"/>
  <c r="I210" i="26"/>
  <c r="I213" i="26"/>
  <c r="I183" i="26"/>
  <c r="I175" i="26"/>
  <c r="I178" i="26" s="1"/>
  <c r="Z175" i="26"/>
  <c r="Z109" i="26"/>
  <c r="Z274" i="26"/>
  <c r="AA80" i="26"/>
  <c r="AA81" i="26" s="1"/>
  <c r="Z241" i="26"/>
  <c r="G217" i="26" l="1"/>
  <c r="I184" i="26"/>
  <c r="G187" i="26"/>
  <c r="G208" i="26"/>
  <c r="G216" i="26"/>
  <c r="I215" i="26"/>
  <c r="I214" i="26"/>
  <c r="AA82" i="26"/>
  <c r="AA83" i="26" s="1"/>
  <c r="Z341" i="26" l="1"/>
  <c r="Z343" i="26"/>
  <c r="Z308" i="26"/>
  <c r="Z310" i="26"/>
  <c r="I208" i="26"/>
  <c r="I211" i="26" s="1"/>
  <c r="I216" i="26"/>
  <c r="I192" i="26"/>
  <c r="D167" i="26" s="1"/>
  <c r="G188" i="26"/>
  <c r="G189" i="26" s="1"/>
  <c r="D165" i="26"/>
  <c r="Z209" i="26"/>
  <c r="Z211" i="26"/>
  <c r="Z176" i="26"/>
  <c r="Z178" i="26"/>
  <c r="AA84" i="26"/>
  <c r="Z275" i="26"/>
  <c r="Z242" i="26"/>
  <c r="Z244" i="26"/>
  <c r="Z277" i="26"/>
  <c r="D74" i="22"/>
  <c r="R3" i="22"/>
  <c r="R2" i="22"/>
  <c r="R1" i="22"/>
  <c r="U3" i="22" s="1"/>
  <c r="I545" i="26"/>
  <c r="I547" i="26" s="1"/>
  <c r="G545" i="26"/>
  <c r="G547" i="26" s="1"/>
  <c r="I542" i="26"/>
  <c r="G542" i="26"/>
  <c r="G543" i="26" s="1"/>
  <c r="I246" i="26"/>
  <c r="I248" i="26" s="1"/>
  <c r="G246" i="26"/>
  <c r="G248" i="26" s="1"/>
  <c r="I243" i="26"/>
  <c r="G243" i="26"/>
  <c r="G244" i="26" s="1"/>
  <c r="I217" i="26" l="1"/>
  <c r="G220" i="26"/>
  <c r="G192" i="26"/>
  <c r="D166" i="26" s="1"/>
  <c r="D168" i="26" s="1"/>
  <c r="AA85" i="26"/>
  <c r="AA86" i="26"/>
  <c r="R5" i="22"/>
  <c r="U2" i="22"/>
  <c r="C8" i="22" s="1"/>
  <c r="R4" i="22"/>
  <c r="I546" i="26"/>
  <c r="G546" i="26"/>
  <c r="G549" i="26" s="1"/>
  <c r="I247" i="26"/>
  <c r="G247" i="26"/>
  <c r="G250" i="26" s="1"/>
  <c r="V115" i="22" l="1"/>
  <c r="V91" i="22"/>
  <c r="V60" i="22"/>
  <c r="V35" i="22"/>
  <c r="V116" i="22"/>
  <c r="V90" i="22"/>
  <c r="V61" i="22"/>
  <c r="V34" i="22"/>
  <c r="Z309" i="26"/>
  <c r="Z342" i="26"/>
  <c r="Z345" i="26"/>
  <c r="Z344" i="26"/>
  <c r="Z312" i="26"/>
  <c r="Z311" i="26"/>
  <c r="I225" i="26"/>
  <c r="D200" i="26" s="1"/>
  <c r="G221" i="26"/>
  <c r="G222" i="26" s="1"/>
  <c r="G225" i="26" s="1"/>
  <c r="D199" i="26" s="1"/>
  <c r="D198" i="26"/>
  <c r="Z213" i="26"/>
  <c r="Z212" i="26"/>
  <c r="Z177" i="26"/>
  <c r="Z210" i="26"/>
  <c r="Z180" i="26"/>
  <c r="Z179" i="26"/>
  <c r="R6" i="22"/>
  <c r="R7" i="22" s="1"/>
  <c r="R8" i="22" s="1"/>
  <c r="Z114" i="26"/>
  <c r="Z279" i="26"/>
  <c r="Z246" i="26"/>
  <c r="Z245" i="26"/>
  <c r="Z278" i="26"/>
  <c r="Z243" i="26"/>
  <c r="Z276" i="26"/>
  <c r="I548" i="26"/>
  <c r="I540" i="26"/>
  <c r="I543" i="26" s="1"/>
  <c r="G548" i="26"/>
  <c r="G540" i="26"/>
  <c r="G249" i="26"/>
  <c r="G241" i="26"/>
  <c r="I249" i="26"/>
  <c r="I241" i="26"/>
  <c r="I244" i="26" s="1"/>
  <c r="V37" i="22" l="1"/>
  <c r="C37" i="22" s="1"/>
  <c r="V93" i="22"/>
  <c r="C93" i="22" s="1"/>
  <c r="V63" i="22"/>
  <c r="C63" i="22" s="1"/>
  <c r="V118" i="22"/>
  <c r="C118" i="22" s="1"/>
  <c r="Z313" i="26"/>
  <c r="S304" i="26" s="1"/>
  <c r="D201" i="26"/>
  <c r="Z181" i="26"/>
  <c r="Z214" i="26"/>
  <c r="S205" i="26" s="1"/>
  <c r="I250" i="26"/>
  <c r="I549" i="26"/>
  <c r="Z247" i="26"/>
  <c r="Z280" i="26"/>
  <c r="G552" i="26"/>
  <c r="G253" i="26"/>
  <c r="N304" i="26" l="1"/>
  <c r="N312" i="26" s="1"/>
  <c r="N313" i="26" s="1"/>
  <c r="R304" i="26"/>
  <c r="R297" i="26" s="1"/>
  <c r="R205" i="26"/>
  <c r="R210" i="26" s="1"/>
  <c r="R211" i="26" s="1"/>
  <c r="Q304" i="26"/>
  <c r="Q312" i="26" s="1"/>
  <c r="Q313" i="26" s="1"/>
  <c r="P304" i="26"/>
  <c r="P312" i="26" s="1"/>
  <c r="P313" i="26" s="1"/>
  <c r="P307" i="26" s="1"/>
  <c r="O304" i="26"/>
  <c r="O309" i="26" s="1"/>
  <c r="N309" i="26"/>
  <c r="N310" i="26" s="1"/>
  <c r="S314" i="26"/>
  <c r="S312" i="26"/>
  <c r="S313" i="26" s="1"/>
  <c r="S309" i="26"/>
  <c r="N205" i="26"/>
  <c r="N220" i="26" s="1"/>
  <c r="Q205" i="26"/>
  <c r="Q210" i="26" s="1"/>
  <c r="S172" i="26"/>
  <c r="O172" i="26"/>
  <c r="P172" i="26"/>
  <c r="Q172" i="26"/>
  <c r="R172" i="26"/>
  <c r="N172" i="26"/>
  <c r="P205" i="26"/>
  <c r="P220" i="26" s="1"/>
  <c r="O205" i="26"/>
  <c r="O210" i="26" s="1"/>
  <c r="S210" i="26"/>
  <c r="S213" i="26"/>
  <c r="S214" i="26" s="1"/>
  <c r="R213" i="26"/>
  <c r="R214" i="26" s="1"/>
  <c r="I251" i="26"/>
  <c r="I260" i="26" s="1"/>
  <c r="G251" i="26"/>
  <c r="D530" i="26"/>
  <c r="I550" i="26"/>
  <c r="G550" i="26"/>
  <c r="G559" i="26" s="1"/>
  <c r="M539" i="26" s="1"/>
  <c r="P238" i="26"/>
  <c r="N238" i="26"/>
  <c r="Q238" i="26"/>
  <c r="R238" i="26"/>
  <c r="O238" i="26"/>
  <c r="S238" i="26"/>
  <c r="N271" i="26"/>
  <c r="Q271" i="26"/>
  <c r="O271" i="26"/>
  <c r="R271" i="26"/>
  <c r="S271" i="26"/>
  <c r="P271" i="26"/>
  <c r="I557" i="26"/>
  <c r="D532" i="26" s="1"/>
  <c r="G553" i="26"/>
  <c r="G554" i="26" s="1"/>
  <c r="I559" i="26"/>
  <c r="D231" i="26"/>
  <c r="I258" i="26"/>
  <c r="D233" i="26" s="1"/>
  <c r="G254" i="26"/>
  <c r="P213" i="26" l="1"/>
  <c r="P214" i="26" s="1"/>
  <c r="P208" i="26" s="1"/>
  <c r="P309" i="26"/>
  <c r="P310" i="26" s="1"/>
  <c r="N210" i="26"/>
  <c r="N211" i="26" s="1"/>
  <c r="Q213" i="26"/>
  <c r="Q214" i="26" s="1"/>
  <c r="Q208" i="26" s="1"/>
  <c r="Q211" i="26" s="1"/>
  <c r="Q215" i="26"/>
  <c r="N215" i="26"/>
  <c r="Q314" i="26"/>
  <c r="Q315" i="26" s="1"/>
  <c r="O312" i="26"/>
  <c r="O313" i="26" s="1"/>
  <c r="O307" i="26" s="1"/>
  <c r="O310" i="26" s="1"/>
  <c r="R314" i="26"/>
  <c r="N213" i="26"/>
  <c r="N214" i="26" s="1"/>
  <c r="N216" i="26" s="1"/>
  <c r="N198" i="26"/>
  <c r="P198" i="26"/>
  <c r="Q309" i="26"/>
  <c r="R309" i="26"/>
  <c r="R310" i="26" s="1"/>
  <c r="R312" i="26"/>
  <c r="R313" i="26" s="1"/>
  <c r="R307" i="26" s="1"/>
  <c r="R319" i="26"/>
  <c r="R320" i="26" s="1"/>
  <c r="O215" i="26"/>
  <c r="P215" i="26"/>
  <c r="P210" i="26"/>
  <c r="P211" i="26" s="1"/>
  <c r="P314" i="26"/>
  <c r="P316" i="26" s="1"/>
  <c r="N314" i="26"/>
  <c r="N316" i="26" s="1"/>
  <c r="Q307" i="26"/>
  <c r="N307" i="26"/>
  <c r="S307" i="26"/>
  <c r="S310" i="26" s="1"/>
  <c r="S315" i="26"/>
  <c r="O314" i="26"/>
  <c r="R215" i="26"/>
  <c r="R216" i="26" s="1"/>
  <c r="S215" i="26"/>
  <c r="S216" i="26" s="1"/>
  <c r="O213" i="26"/>
  <c r="O214" i="26" s="1"/>
  <c r="O208" i="26" s="1"/>
  <c r="O211" i="26" s="1"/>
  <c r="R180" i="26"/>
  <c r="R181" i="26" s="1"/>
  <c r="R177" i="26"/>
  <c r="R178" i="26" s="1"/>
  <c r="R182" i="26"/>
  <c r="P180" i="26"/>
  <c r="P181" i="26" s="1"/>
  <c r="P177" i="26"/>
  <c r="P178" i="26" s="1"/>
  <c r="P182" i="26"/>
  <c r="S177" i="26"/>
  <c r="S180" i="26"/>
  <c r="S181" i="26" s="1"/>
  <c r="N187" i="26"/>
  <c r="N177" i="26"/>
  <c r="N178" i="26" s="1"/>
  <c r="N180" i="26"/>
  <c r="N181" i="26" s="1"/>
  <c r="N182" i="26"/>
  <c r="N165" i="26"/>
  <c r="Q180" i="26"/>
  <c r="Q181" i="26" s="1"/>
  <c r="Q177" i="26"/>
  <c r="O182" i="26"/>
  <c r="O180" i="26"/>
  <c r="O181" i="26" s="1"/>
  <c r="O177" i="26"/>
  <c r="R208" i="26"/>
  <c r="P221" i="26"/>
  <c r="N221" i="26"/>
  <c r="S208" i="26"/>
  <c r="S211" i="26" s="1"/>
  <c r="G256" i="26"/>
  <c r="G255" i="26"/>
  <c r="G258" i="26" s="1"/>
  <c r="D232" i="26" s="1"/>
  <c r="D234" i="26" s="1"/>
  <c r="S243" i="26"/>
  <c r="R243" i="26"/>
  <c r="R244" i="26" s="1"/>
  <c r="S246" i="26"/>
  <c r="S247" i="26" s="1"/>
  <c r="R246" i="26"/>
  <c r="R247" i="26" s="1"/>
  <c r="R276" i="26"/>
  <c r="R277" i="26" s="1"/>
  <c r="R279" i="26"/>
  <c r="S279" i="26"/>
  <c r="S280" i="26" s="1"/>
  <c r="S276" i="26"/>
  <c r="S281" i="26"/>
  <c r="G557" i="26"/>
  <c r="D531" i="26" s="1"/>
  <c r="D533" i="26" s="1"/>
  <c r="G260" i="26"/>
  <c r="M240" i="26" s="1"/>
  <c r="G114" i="26"/>
  <c r="G116" i="26" s="1"/>
  <c r="G111" i="26"/>
  <c r="G112" i="26" s="1"/>
  <c r="I80" i="26"/>
  <c r="R315" i="26" l="1"/>
  <c r="N208" i="26"/>
  <c r="Q216" i="26"/>
  <c r="P222" i="26"/>
  <c r="P216" i="26"/>
  <c r="N217" i="26"/>
  <c r="N225" i="26" s="1"/>
  <c r="N199" i="26" s="1"/>
  <c r="N222" i="26"/>
  <c r="R316" i="26"/>
  <c r="R317" i="26" s="1"/>
  <c r="R217" i="26"/>
  <c r="O315" i="26"/>
  <c r="Q310" i="26"/>
  <c r="Q316" i="26" s="1"/>
  <c r="S217" i="26"/>
  <c r="O216" i="26"/>
  <c r="O217" i="26" s="1"/>
  <c r="O225" i="26" s="1"/>
  <c r="N200" i="26" s="1"/>
  <c r="R321" i="26"/>
  <c r="R322" i="26" s="1"/>
  <c r="P315" i="26"/>
  <c r="R324" i="26"/>
  <c r="R298" i="26" s="1"/>
  <c r="P217" i="26"/>
  <c r="P225" i="26" s="1"/>
  <c r="P199" i="26" s="1"/>
  <c r="N315" i="26"/>
  <c r="P297" i="26"/>
  <c r="P319" i="26"/>
  <c r="S316" i="26"/>
  <c r="O316" i="26"/>
  <c r="N319" i="26"/>
  <c r="N297" i="26"/>
  <c r="R198" i="26"/>
  <c r="R220" i="26"/>
  <c r="R221" i="26" s="1"/>
  <c r="R222" i="26" s="1"/>
  <c r="S182" i="26"/>
  <c r="S183" i="26" s="1"/>
  <c r="Q182" i="26"/>
  <c r="Q183" i="26" s="1"/>
  <c r="R184" i="26"/>
  <c r="O175" i="26"/>
  <c r="O178" i="26" s="1"/>
  <c r="O183" i="26"/>
  <c r="S175" i="26"/>
  <c r="S178" i="26" s="1"/>
  <c r="R187" i="26" s="1"/>
  <c r="R188" i="26" s="1"/>
  <c r="R189" i="26" s="1"/>
  <c r="R175" i="26"/>
  <c r="R183" i="26"/>
  <c r="N184" i="26"/>
  <c r="N192" i="26" s="1"/>
  <c r="N166" i="26" s="1"/>
  <c r="P184" i="26"/>
  <c r="Q175" i="26"/>
  <c r="Q178" i="26" s="1"/>
  <c r="N183" i="26"/>
  <c r="N175" i="26"/>
  <c r="N188" i="26"/>
  <c r="N189" i="26" s="1"/>
  <c r="P175" i="26"/>
  <c r="P183" i="26"/>
  <c r="Q217" i="26"/>
  <c r="R281" i="26"/>
  <c r="R280" i="26"/>
  <c r="R274" i="26" s="1"/>
  <c r="R264" i="26"/>
  <c r="S241" i="26"/>
  <c r="S244" i="26" s="1"/>
  <c r="R241" i="26"/>
  <c r="R248" i="26"/>
  <c r="R249" i="26" s="1"/>
  <c r="S248" i="26"/>
  <c r="S249" i="26" s="1"/>
  <c r="S282" i="26"/>
  <c r="S274" i="26"/>
  <c r="S277" i="26" s="1"/>
  <c r="I114" i="26"/>
  <c r="G115" i="26"/>
  <c r="G118" i="26" s="1"/>
  <c r="G83" i="26"/>
  <c r="G80" i="26"/>
  <c r="G81" i="26" s="1"/>
  <c r="I83" i="26"/>
  <c r="N201" i="26" l="1"/>
  <c r="Q184" i="26"/>
  <c r="R325" i="26"/>
  <c r="R225" i="26"/>
  <c r="R199" i="26" s="1"/>
  <c r="P320" i="26"/>
  <c r="P321" i="26" s="1"/>
  <c r="P322" i="26" s="1"/>
  <c r="P317" i="26"/>
  <c r="P324" i="26"/>
  <c r="P298" i="26" s="1"/>
  <c r="N320" i="26"/>
  <c r="N321" i="26" s="1"/>
  <c r="N322" i="26" s="1"/>
  <c r="O317" i="26"/>
  <c r="O325" i="26" s="1"/>
  <c r="N317" i="26"/>
  <c r="O324" i="26"/>
  <c r="N299" i="26" s="1"/>
  <c r="N324" i="26"/>
  <c r="N298" i="26" s="1"/>
  <c r="S317" i="26"/>
  <c r="S325" i="26" s="1"/>
  <c r="R306" i="26" s="1"/>
  <c r="S324" i="26"/>
  <c r="R299" i="26" s="1"/>
  <c r="R300" i="26" s="1"/>
  <c r="Q324" i="26"/>
  <c r="P299" i="26" s="1"/>
  <c r="P300" i="26" s="1"/>
  <c r="Q317" i="26"/>
  <c r="Q325" i="26" s="1"/>
  <c r="S225" i="26"/>
  <c r="R200" i="26" s="1"/>
  <c r="R192" i="26"/>
  <c r="R166" i="26" s="1"/>
  <c r="R165" i="26"/>
  <c r="S184" i="26"/>
  <c r="S192" i="26" s="1"/>
  <c r="R167" i="26" s="1"/>
  <c r="P187" i="26"/>
  <c r="P188" i="26" s="1"/>
  <c r="P189" i="26" s="1"/>
  <c r="P165" i="26"/>
  <c r="O184" i="26"/>
  <c r="Q225" i="26"/>
  <c r="P200" i="26" s="1"/>
  <c r="P201" i="26" s="1"/>
  <c r="S250" i="26"/>
  <c r="R282" i="26"/>
  <c r="R283" i="26"/>
  <c r="S283" i="26"/>
  <c r="R250" i="26"/>
  <c r="R286" i="26"/>
  <c r="R231" i="26"/>
  <c r="R253" i="26"/>
  <c r="G144" i="26"/>
  <c r="G145" i="26" s="1"/>
  <c r="G147" i="26"/>
  <c r="G149" i="26" s="1"/>
  <c r="N243" i="26"/>
  <c r="N244" i="26" s="1"/>
  <c r="N246" i="26"/>
  <c r="N247" i="26" s="1"/>
  <c r="I111" i="26"/>
  <c r="I116" i="26"/>
  <c r="I115" i="26"/>
  <c r="I109" i="26" s="1"/>
  <c r="G117" i="26"/>
  <c r="G109" i="26"/>
  <c r="I84" i="26"/>
  <c r="I85" i="26"/>
  <c r="G84" i="26"/>
  <c r="G85" i="26"/>
  <c r="R201" i="26" l="1"/>
  <c r="N300" i="26"/>
  <c r="P325" i="26"/>
  <c r="P306" i="26" s="1"/>
  <c r="N325" i="26"/>
  <c r="N306" i="26" s="1"/>
  <c r="R168" i="26"/>
  <c r="Q192" i="26"/>
  <c r="P167" i="26" s="1"/>
  <c r="P192" i="26"/>
  <c r="P166" i="26" s="1"/>
  <c r="O192" i="26"/>
  <c r="N167" i="26" s="1"/>
  <c r="N168" i="26" s="1"/>
  <c r="G87" i="26"/>
  <c r="R284" i="26"/>
  <c r="S291" i="26"/>
  <c r="R266" i="26" s="1"/>
  <c r="R291" i="26"/>
  <c r="R265" i="26" s="1"/>
  <c r="R287" i="26"/>
  <c r="S284" i="26"/>
  <c r="S292" i="26" s="1"/>
  <c r="R254" i="26"/>
  <c r="S251" i="26"/>
  <c r="S259" i="26" s="1"/>
  <c r="S258" i="26"/>
  <c r="R233" i="26" s="1"/>
  <c r="R258" i="26"/>
  <c r="R232" i="26" s="1"/>
  <c r="R251" i="26"/>
  <c r="Z142" i="26"/>
  <c r="Z143" i="26"/>
  <c r="G148" i="26"/>
  <c r="G150" i="26" s="1"/>
  <c r="N248" i="26"/>
  <c r="N250" i="26" s="1"/>
  <c r="N241" i="26"/>
  <c r="O243" i="26"/>
  <c r="O246" i="26"/>
  <c r="O247" i="26" s="1"/>
  <c r="O241" i="26" s="1"/>
  <c r="I112" i="26"/>
  <c r="I117" i="26"/>
  <c r="G78" i="26"/>
  <c r="G86" i="26"/>
  <c r="I78" i="26"/>
  <c r="I81" i="26" s="1"/>
  <c r="I86" i="26"/>
  <c r="P168" i="26" l="1"/>
  <c r="I87" i="26"/>
  <c r="G121" i="26"/>
  <c r="D99" i="26" s="1"/>
  <c r="I118" i="26"/>
  <c r="G151" i="26"/>
  <c r="R288" i="26"/>
  <c r="R289" i="26" s="1"/>
  <c r="R292" i="26" s="1"/>
  <c r="R273" i="26" s="1"/>
  <c r="R255" i="26"/>
  <c r="R256" i="26" s="1"/>
  <c r="R259" i="26" s="1"/>
  <c r="R240" i="26" s="1"/>
  <c r="R267" i="26"/>
  <c r="R234" i="26"/>
  <c r="Z144" i="26"/>
  <c r="I144" i="26"/>
  <c r="Z145" i="26"/>
  <c r="Z147" i="26"/>
  <c r="Z146" i="26"/>
  <c r="I147" i="26"/>
  <c r="I149" i="26" s="1"/>
  <c r="G142" i="26"/>
  <c r="O244" i="26"/>
  <c r="N249" i="26"/>
  <c r="O248" i="26"/>
  <c r="O249" i="26" s="1"/>
  <c r="G89" i="26"/>
  <c r="G122" i="26" l="1"/>
  <c r="G123" i="26" s="1"/>
  <c r="G126" i="26" s="1"/>
  <c r="D100" i="26" s="1"/>
  <c r="N253" i="26"/>
  <c r="N251" i="26" s="1"/>
  <c r="O250" i="26"/>
  <c r="I126" i="26"/>
  <c r="D101" i="26" s="1"/>
  <c r="G90" i="26"/>
  <c r="G91" i="26" s="1"/>
  <c r="G93" i="26" s="1"/>
  <c r="E78" i="26" s="1"/>
  <c r="E77" i="26"/>
  <c r="Z148" i="26"/>
  <c r="I148" i="26"/>
  <c r="N231" i="26"/>
  <c r="I93" i="26"/>
  <c r="E79" i="26" s="1"/>
  <c r="N254" i="26" l="1"/>
  <c r="N258" i="26"/>
  <c r="N232" i="26" s="1"/>
  <c r="D102" i="26"/>
  <c r="O258" i="26"/>
  <c r="N233" i="26" s="1"/>
  <c r="N255" i="26"/>
  <c r="N256" i="26" s="1"/>
  <c r="N259" i="26" s="1"/>
  <c r="R139" i="26"/>
  <c r="R147" i="26" s="1"/>
  <c r="R148" i="26" s="1"/>
  <c r="P139" i="26"/>
  <c r="S139" i="26"/>
  <c r="Q139" i="26"/>
  <c r="O139" i="26"/>
  <c r="N139" i="26"/>
  <c r="I142" i="26"/>
  <c r="I150" i="26"/>
  <c r="O251" i="26"/>
  <c r="O259" i="26" s="1"/>
  <c r="I145" i="26" l="1"/>
  <c r="G154" i="26" s="1"/>
  <c r="N234" i="26"/>
  <c r="I151" i="26"/>
  <c r="R144" i="26"/>
  <c r="R145" i="26" s="1"/>
  <c r="R149" i="26"/>
  <c r="O144" i="26"/>
  <c r="O147" i="26"/>
  <c r="N147" i="26"/>
  <c r="N144" i="26"/>
  <c r="N145" i="26" s="1"/>
  <c r="S147" i="26"/>
  <c r="S144" i="26"/>
  <c r="N240" i="26"/>
  <c r="R142" i="26"/>
  <c r="R151" i="26" l="1"/>
  <c r="S149" i="26"/>
  <c r="S148" i="26"/>
  <c r="S142" i="26" s="1"/>
  <c r="S145" i="26" s="1"/>
  <c r="R150" i="26"/>
  <c r="N149" i="26"/>
  <c r="N148" i="26"/>
  <c r="O149" i="26"/>
  <c r="O148" i="26"/>
  <c r="I159" i="26"/>
  <c r="D134" i="26" s="1"/>
  <c r="D132" i="26"/>
  <c r="G155" i="26"/>
  <c r="N151" i="26" l="1"/>
  <c r="G156" i="26"/>
  <c r="G159" i="26" s="1"/>
  <c r="D133" i="26" s="1"/>
  <c r="D135" i="26" s="1"/>
  <c r="R132" i="26"/>
  <c r="R154" i="26"/>
  <c r="R159" i="26" s="1"/>
  <c r="R133" i="26" s="1"/>
  <c r="S150" i="26"/>
  <c r="S151" i="26" s="1"/>
  <c r="O142" i="26"/>
  <c r="O145" i="26" s="1"/>
  <c r="O150" i="26"/>
  <c r="N150" i="26"/>
  <c r="N142" i="26"/>
  <c r="K91" i="13"/>
  <c r="K90" i="13"/>
  <c r="K89" i="13"/>
  <c r="O151" i="26" l="1"/>
  <c r="R155" i="26"/>
  <c r="R156" i="26" s="1"/>
  <c r="S159" i="26"/>
  <c r="R134" i="26" s="1"/>
  <c r="R135" i="26" s="1"/>
  <c r="N132" i="26"/>
  <c r="N154" i="26"/>
  <c r="E105" i="6"/>
  <c r="N155" i="26" l="1"/>
  <c r="O159" i="26"/>
  <c r="N134" i="26" s="1"/>
  <c r="N159" i="26" l="1"/>
  <c r="N133" i="26" s="1"/>
  <c r="N135" i="26" s="1"/>
  <c r="N156" i="26"/>
  <c r="AA404" i="26" l="1"/>
  <c r="AA405" i="26" s="1"/>
  <c r="AD408" i="26" s="1"/>
  <c r="AA437" i="26" l="1"/>
  <c r="AA438" i="26" s="1"/>
  <c r="AD441" i="26" s="1"/>
  <c r="G443" i="26"/>
  <c r="G444" i="26" s="1"/>
  <c r="G446" i="26"/>
  <c r="G405" i="26"/>
  <c r="G410" i="26"/>
  <c r="G411" i="26" s="1"/>
  <c r="G413" i="26"/>
  <c r="G415" i="26" s="1"/>
  <c r="I410" i="26"/>
  <c r="Q19" i="22"/>
  <c r="G438" i="26" l="1"/>
  <c r="I446" i="26"/>
  <c r="I443" i="26"/>
  <c r="G448" i="26"/>
  <c r="G447" i="26"/>
  <c r="G414" i="26"/>
  <c r="G416" i="26" s="1"/>
  <c r="I413" i="26"/>
  <c r="I414" i="26" s="1"/>
  <c r="I408" i="26" s="1"/>
  <c r="I411" i="26" s="1"/>
  <c r="Q45" i="22"/>
  <c r="R9" i="22"/>
  <c r="I512" i="26"/>
  <c r="I514" i="26" s="1"/>
  <c r="G512" i="26"/>
  <c r="G514" i="26" s="1"/>
  <c r="I509" i="26"/>
  <c r="G509" i="26"/>
  <c r="G510" i="26" s="1"/>
  <c r="I380" i="26"/>
  <c r="I382" i="26" s="1"/>
  <c r="G380" i="26"/>
  <c r="G382" i="26" s="1"/>
  <c r="I377" i="26"/>
  <c r="G377" i="26"/>
  <c r="G378" i="26" s="1"/>
  <c r="I279" i="26"/>
  <c r="I281" i="26" s="1"/>
  <c r="G279" i="26"/>
  <c r="G281" i="26" s="1"/>
  <c r="I276" i="26"/>
  <c r="G276" i="26"/>
  <c r="G277" i="26" s="1"/>
  <c r="G450" i="26" l="1"/>
  <c r="G479" i="26"/>
  <c r="G476" i="26"/>
  <c r="G477" i="26" s="1"/>
  <c r="AA470" i="26"/>
  <c r="AA471" i="26" s="1"/>
  <c r="AD474" i="26" s="1"/>
  <c r="G449" i="26"/>
  <c r="G441" i="26"/>
  <c r="I447" i="26"/>
  <c r="I448" i="26"/>
  <c r="G417" i="26"/>
  <c r="G408" i="26"/>
  <c r="I415" i="26"/>
  <c r="I416" i="26" s="1"/>
  <c r="I417" i="26" s="1"/>
  <c r="R10" i="22"/>
  <c r="R11" i="22" s="1"/>
  <c r="R12" i="22" s="1"/>
  <c r="R14" i="22" s="1"/>
  <c r="G420" i="26"/>
  <c r="D398" i="26" s="1"/>
  <c r="G513" i="26"/>
  <c r="G516" i="26" s="1"/>
  <c r="I513" i="26"/>
  <c r="I381" i="26"/>
  <c r="G381" i="26"/>
  <c r="G384" i="26" s="1"/>
  <c r="I280" i="26"/>
  <c r="G280" i="26"/>
  <c r="G283" i="26" s="1"/>
  <c r="G471" i="26" l="1"/>
  <c r="I441" i="26"/>
  <c r="I444" i="26" s="1"/>
  <c r="I449" i="26"/>
  <c r="I479" i="26"/>
  <c r="I476" i="26"/>
  <c r="G481" i="26"/>
  <c r="G480" i="26"/>
  <c r="Q46" i="22"/>
  <c r="Q20" i="22"/>
  <c r="Q48" i="22"/>
  <c r="Q22" i="22"/>
  <c r="I425" i="26"/>
  <c r="D400" i="26" s="1"/>
  <c r="G421" i="26"/>
  <c r="I515" i="26"/>
  <c r="I507" i="26"/>
  <c r="I510" i="26" s="1"/>
  <c r="G515" i="26"/>
  <c r="G507" i="26"/>
  <c r="G383" i="26"/>
  <c r="G375" i="26"/>
  <c r="I383" i="26"/>
  <c r="I375" i="26"/>
  <c r="I378" i="26" s="1"/>
  <c r="G282" i="26"/>
  <c r="G274" i="26"/>
  <c r="I274" i="26"/>
  <c r="I277" i="26" s="1"/>
  <c r="I282" i="26"/>
  <c r="I384" i="26" l="1"/>
  <c r="G483" i="26"/>
  <c r="I481" i="26"/>
  <c r="I480" i="26"/>
  <c r="I450" i="26"/>
  <c r="G453" i="26"/>
  <c r="G474" i="26"/>
  <c r="G482" i="26"/>
  <c r="I516" i="26"/>
  <c r="I283" i="26"/>
  <c r="G422" i="26"/>
  <c r="G425" i="26" s="1"/>
  <c r="D399" i="26" s="1"/>
  <c r="D401" i="26" s="1"/>
  <c r="R13" i="22"/>
  <c r="G519" i="26"/>
  <c r="G387" i="26"/>
  <c r="D365" i="26" s="1"/>
  <c r="G286" i="26"/>
  <c r="G454" i="26" l="1"/>
  <c r="G455" i="26" s="1"/>
  <c r="I458" i="26"/>
  <c r="D433" i="26" s="1"/>
  <c r="G458" i="26"/>
  <c r="D432" i="26" s="1"/>
  <c r="D431" i="26"/>
  <c r="I474" i="26"/>
  <c r="I477" i="26" s="1"/>
  <c r="I482" i="26"/>
  <c r="G284" i="26"/>
  <c r="I284" i="26"/>
  <c r="I293" i="26" s="1"/>
  <c r="D497" i="26"/>
  <c r="I517" i="26"/>
  <c r="I526" i="26" s="1"/>
  <c r="G517" i="26"/>
  <c r="Q50" i="22"/>
  <c r="Q24" i="22"/>
  <c r="Q23" i="22"/>
  <c r="Q49" i="22"/>
  <c r="Q47" i="22"/>
  <c r="Q21" i="22"/>
  <c r="I524" i="26"/>
  <c r="D499" i="26" s="1"/>
  <c r="G520" i="26"/>
  <c r="G521" i="26" s="1"/>
  <c r="I392" i="26"/>
  <c r="D367" i="26" s="1"/>
  <c r="G388" i="26"/>
  <c r="G389" i="26" s="1"/>
  <c r="D264" i="26"/>
  <c r="I291" i="26"/>
  <c r="D266" i="26" s="1"/>
  <c r="G287" i="26"/>
  <c r="D434" i="26" l="1"/>
  <c r="I483" i="26"/>
  <c r="G486" i="26"/>
  <c r="G288" i="26"/>
  <c r="G291" i="26" s="1"/>
  <c r="D265" i="26" s="1"/>
  <c r="D267" i="26" s="1"/>
  <c r="G392" i="26"/>
  <c r="D366" i="26" s="1"/>
  <c r="D368" i="26" s="1"/>
  <c r="G524" i="26"/>
  <c r="D498" i="26" s="1"/>
  <c r="D500" i="26" s="1"/>
  <c r="G526" i="26"/>
  <c r="M506" i="26" s="1"/>
  <c r="G487" i="26" l="1"/>
  <c r="G488" i="26" s="1"/>
  <c r="G491" i="26" s="1"/>
  <c r="D465" i="26" s="1"/>
  <c r="I491" i="26"/>
  <c r="D466" i="26" s="1"/>
  <c r="D464" i="26"/>
  <c r="G289" i="26"/>
  <c r="G293" i="26" s="1"/>
  <c r="M273" i="26" s="1"/>
  <c r="A2" i="28"/>
  <c r="A1" i="28"/>
  <c r="AS30" i="28"/>
  <c r="AR30" i="28"/>
  <c r="AL30" i="28"/>
  <c r="AK30" i="28"/>
  <c r="AE30" i="28"/>
  <c r="AD30" i="28"/>
  <c r="X30" i="28"/>
  <c r="W30" i="28"/>
  <c r="Q30" i="28"/>
  <c r="P30" i="28"/>
  <c r="J30" i="28"/>
  <c r="I30" i="28"/>
  <c r="C30" i="28"/>
  <c r="B30" i="28"/>
  <c r="AS29" i="28"/>
  <c r="AR29" i="28"/>
  <c r="AL29" i="28"/>
  <c r="AK29" i="28"/>
  <c r="AE29" i="28"/>
  <c r="AD29" i="28"/>
  <c r="X29" i="28"/>
  <c r="W29" i="28"/>
  <c r="Q29" i="28"/>
  <c r="P29" i="28"/>
  <c r="J29" i="28"/>
  <c r="I29" i="28"/>
  <c r="C29" i="28"/>
  <c r="B29" i="28"/>
  <c r="AS28" i="28"/>
  <c r="AR28" i="28"/>
  <c r="AL28" i="28"/>
  <c r="AK28" i="28"/>
  <c r="AE28" i="28"/>
  <c r="AD28" i="28"/>
  <c r="X28" i="28"/>
  <c r="W28" i="28"/>
  <c r="Q28" i="28"/>
  <c r="P28" i="28"/>
  <c r="J28" i="28"/>
  <c r="I28" i="28"/>
  <c r="C28" i="28"/>
  <c r="B28" i="28"/>
  <c r="AS27" i="28"/>
  <c r="AR27" i="28"/>
  <c r="AL27" i="28"/>
  <c r="AK27" i="28"/>
  <c r="AE27" i="28"/>
  <c r="AD27" i="28"/>
  <c r="X27" i="28"/>
  <c r="W27" i="28"/>
  <c r="Q27" i="28"/>
  <c r="P27" i="28"/>
  <c r="J27" i="28"/>
  <c r="I27" i="28"/>
  <c r="C27" i="28"/>
  <c r="B27" i="28"/>
  <c r="AS26" i="28"/>
  <c r="AR26" i="28"/>
  <c r="AL26" i="28"/>
  <c r="AK26" i="28"/>
  <c r="AE26" i="28"/>
  <c r="AD26" i="28"/>
  <c r="X26" i="28"/>
  <c r="W26" i="28"/>
  <c r="Q26" i="28"/>
  <c r="P26" i="28"/>
  <c r="J26" i="28"/>
  <c r="I26" i="28"/>
  <c r="C26" i="28"/>
  <c r="B26" i="28"/>
  <c r="AS25" i="28"/>
  <c r="AR25" i="28"/>
  <c r="AL25" i="28"/>
  <c r="AK25" i="28"/>
  <c r="AE25" i="28"/>
  <c r="AD25" i="28"/>
  <c r="X25" i="28"/>
  <c r="W25" i="28"/>
  <c r="Q25" i="28"/>
  <c r="P25" i="28"/>
  <c r="J25" i="28"/>
  <c r="I25" i="28"/>
  <c r="C25" i="28"/>
  <c r="B25" i="28"/>
  <c r="AS24" i="28"/>
  <c r="AR24" i="28"/>
  <c r="AL24" i="28"/>
  <c r="AK24" i="28"/>
  <c r="AE24" i="28"/>
  <c r="AD24" i="28"/>
  <c r="X24" i="28"/>
  <c r="W24" i="28"/>
  <c r="Q24" i="28"/>
  <c r="P24" i="28"/>
  <c r="J24" i="28"/>
  <c r="I24" i="28"/>
  <c r="C24" i="28"/>
  <c r="B24" i="28"/>
  <c r="AS23" i="28"/>
  <c r="AR23" i="28"/>
  <c r="AL23" i="28"/>
  <c r="AK23" i="28"/>
  <c r="AE23" i="28"/>
  <c r="AD23" i="28"/>
  <c r="X23" i="28"/>
  <c r="W23" i="28"/>
  <c r="Q23" i="28"/>
  <c r="P23" i="28"/>
  <c r="J23" i="28"/>
  <c r="I23" i="28"/>
  <c r="C23" i="28"/>
  <c r="B23" i="28"/>
  <c r="AS22" i="28"/>
  <c r="AR22" i="28"/>
  <c r="AL22" i="28"/>
  <c r="AK22" i="28"/>
  <c r="AE22" i="28"/>
  <c r="AD22" i="28"/>
  <c r="X22" i="28"/>
  <c r="W22" i="28"/>
  <c r="Q22" i="28"/>
  <c r="P22" i="28"/>
  <c r="J22" i="28"/>
  <c r="I22" i="28"/>
  <c r="C22" i="28"/>
  <c r="B22" i="28"/>
  <c r="AS21" i="28"/>
  <c r="AR21" i="28"/>
  <c r="AL21" i="28"/>
  <c r="AK21" i="28"/>
  <c r="AE21" i="28"/>
  <c r="AD21" i="28"/>
  <c r="X21" i="28"/>
  <c r="W21" i="28"/>
  <c r="Q21" i="28"/>
  <c r="P21" i="28"/>
  <c r="J21" i="28"/>
  <c r="I21" i="28"/>
  <c r="C21" i="28"/>
  <c r="B21" i="28"/>
  <c r="AS20" i="28"/>
  <c r="AR20" i="28"/>
  <c r="AL20" i="28"/>
  <c r="AK20" i="28"/>
  <c r="AE20" i="28"/>
  <c r="AD20" i="28"/>
  <c r="X20" i="28"/>
  <c r="W20" i="28"/>
  <c r="Q20" i="28"/>
  <c r="P20" i="28"/>
  <c r="J20" i="28"/>
  <c r="I20" i="28"/>
  <c r="C20" i="28"/>
  <c r="B20" i="28"/>
  <c r="AS19" i="28"/>
  <c r="AR19" i="28"/>
  <c r="AL19" i="28"/>
  <c r="AK19" i="28"/>
  <c r="AE19" i="28"/>
  <c r="AD19" i="28"/>
  <c r="X19" i="28"/>
  <c r="W19" i="28"/>
  <c r="Q19" i="28"/>
  <c r="P19" i="28"/>
  <c r="J19" i="28"/>
  <c r="I19" i="28"/>
  <c r="C19" i="28"/>
  <c r="B19" i="28"/>
  <c r="AS18" i="28"/>
  <c r="AR18" i="28"/>
  <c r="AL18" i="28"/>
  <c r="AK18" i="28"/>
  <c r="AE18" i="28"/>
  <c r="AD18" i="28"/>
  <c r="X18" i="28"/>
  <c r="W18" i="28"/>
  <c r="Q18" i="28"/>
  <c r="P18" i="28"/>
  <c r="J18" i="28"/>
  <c r="I18" i="28"/>
  <c r="C18" i="28"/>
  <c r="B18" i="28"/>
  <c r="AS17" i="28"/>
  <c r="AR17" i="28"/>
  <c r="AL17" i="28"/>
  <c r="AK17" i="28"/>
  <c r="AE17" i="28"/>
  <c r="AD17" i="28"/>
  <c r="X17" i="28"/>
  <c r="W17" i="28"/>
  <c r="Q17" i="28"/>
  <c r="P17" i="28"/>
  <c r="J17" i="28"/>
  <c r="I17" i="28"/>
  <c r="C17" i="28"/>
  <c r="B17" i="28"/>
  <c r="AS16" i="28"/>
  <c r="AR16" i="28"/>
  <c r="AL16" i="28"/>
  <c r="AK16" i="28"/>
  <c r="AE16" i="28"/>
  <c r="AD16" i="28"/>
  <c r="X16" i="28"/>
  <c r="W16" i="28"/>
  <c r="Q16" i="28"/>
  <c r="P16" i="28"/>
  <c r="J16" i="28"/>
  <c r="I16" i="28"/>
  <c r="C16" i="28"/>
  <c r="B16" i="28"/>
  <c r="AS15" i="28"/>
  <c r="AR15" i="28"/>
  <c r="AL15" i="28"/>
  <c r="AK15" i="28"/>
  <c r="AE15" i="28"/>
  <c r="AD15" i="28"/>
  <c r="X15" i="28"/>
  <c r="W15" i="28"/>
  <c r="Q15" i="28"/>
  <c r="P15" i="28"/>
  <c r="J15" i="28"/>
  <c r="I15" i="28"/>
  <c r="C15" i="28"/>
  <c r="B15" i="28"/>
  <c r="AS14" i="28"/>
  <c r="AR14" i="28"/>
  <c r="AL14" i="28"/>
  <c r="AK14" i="28"/>
  <c r="AE14" i="28"/>
  <c r="AD14" i="28"/>
  <c r="X14" i="28"/>
  <c r="W14" i="28"/>
  <c r="Q14" i="28"/>
  <c r="P14" i="28"/>
  <c r="J14" i="28"/>
  <c r="I14" i="28"/>
  <c r="C14" i="28"/>
  <c r="B14" i="28"/>
  <c r="AS13" i="28"/>
  <c r="AR13" i="28"/>
  <c r="AL13" i="28"/>
  <c r="AK13" i="28"/>
  <c r="AE13" i="28"/>
  <c r="AD13" i="28"/>
  <c r="X13" i="28"/>
  <c r="W13" i="28"/>
  <c r="Q13" i="28"/>
  <c r="P13" i="28"/>
  <c r="J13" i="28"/>
  <c r="I13" i="28"/>
  <c r="C13" i="28"/>
  <c r="B13" i="28"/>
  <c r="AS12" i="28"/>
  <c r="AR12" i="28"/>
  <c r="AL12" i="28"/>
  <c r="AK12" i="28"/>
  <c r="AE12" i="28"/>
  <c r="AD12" i="28"/>
  <c r="X12" i="28"/>
  <c r="W12" i="28"/>
  <c r="Q12" i="28"/>
  <c r="P12" i="28"/>
  <c r="J12" i="28"/>
  <c r="I12" i="28"/>
  <c r="C12" i="28"/>
  <c r="B12" i="28"/>
  <c r="AS11" i="28"/>
  <c r="AR11" i="28"/>
  <c r="AL11" i="28"/>
  <c r="AK11" i="28"/>
  <c r="AE11" i="28"/>
  <c r="AD11" i="28"/>
  <c r="X11" i="28"/>
  <c r="W11" i="28"/>
  <c r="Q11" i="28"/>
  <c r="P11" i="28"/>
  <c r="J11" i="28"/>
  <c r="I11" i="28"/>
  <c r="C11" i="28"/>
  <c r="B11" i="28"/>
  <c r="AS10" i="28"/>
  <c r="AR10" i="28"/>
  <c r="AL10" i="28"/>
  <c r="AK10" i="28"/>
  <c r="AE10" i="28"/>
  <c r="AD10" i="28"/>
  <c r="X10" i="28"/>
  <c r="W10" i="28"/>
  <c r="Q10" i="28"/>
  <c r="P10" i="28"/>
  <c r="J10" i="28"/>
  <c r="I10" i="28"/>
  <c r="C10" i="28"/>
  <c r="B10" i="28"/>
  <c r="AS9" i="28"/>
  <c r="AR9" i="28"/>
  <c r="AL9" i="28"/>
  <c r="AK9" i="28"/>
  <c r="AE9" i="28"/>
  <c r="AD9" i="28"/>
  <c r="X9" i="28"/>
  <c r="W9" i="28"/>
  <c r="Q9" i="28"/>
  <c r="P9" i="28"/>
  <c r="J9" i="28"/>
  <c r="I9" i="28"/>
  <c r="C9" i="28"/>
  <c r="B9" i="28"/>
  <c r="D467" i="26" l="1"/>
  <c r="L9" i="28"/>
  <c r="Z9" i="28"/>
  <c r="AN9" i="28"/>
  <c r="F10" i="28"/>
  <c r="O10" i="28" s="1"/>
  <c r="K10" i="28" s="1"/>
  <c r="M10" i="28"/>
  <c r="V10" i="28" s="1"/>
  <c r="R10" i="28" s="1"/>
  <c r="S10" i="28"/>
  <c r="AA10" i="28"/>
  <c r="AJ10" i="28" s="1"/>
  <c r="AF10" i="28" s="1"/>
  <c r="AG10" i="28"/>
  <c r="AO10" i="28"/>
  <c r="AX10" i="28" s="1"/>
  <c r="AT10" i="28" s="1"/>
  <c r="AU10" i="28"/>
  <c r="L11" i="28"/>
  <c r="Z11" i="28"/>
  <c r="AN11" i="28"/>
  <c r="F12" i="28"/>
  <c r="O12" i="28" s="1"/>
  <c r="K12" i="28" s="1"/>
  <c r="M12" i="28"/>
  <c r="V12" i="28" s="1"/>
  <c r="R12" i="28" s="1"/>
  <c r="T12" i="28"/>
  <c r="AC12" i="28" s="1"/>
  <c r="Y12" i="28" s="1"/>
  <c r="AA12" i="28"/>
  <c r="AJ12" i="28" s="1"/>
  <c r="AF12" i="28" s="1"/>
  <c r="AH12" i="28"/>
  <c r="AQ12" i="28" s="1"/>
  <c r="AM12" i="28" s="1"/>
  <c r="AO12" i="28"/>
  <c r="AX12" i="28" s="1"/>
  <c r="AT12" i="28" s="1"/>
  <c r="AV12" i="28"/>
  <c r="H12" i="28" s="1"/>
  <c r="D12" i="28" s="1"/>
  <c r="L13" i="28"/>
  <c r="Z13" i="28"/>
  <c r="AN13" i="28"/>
  <c r="F14" i="28"/>
  <c r="O14" i="28" s="1"/>
  <c r="K14" i="28" s="1"/>
  <c r="M14" i="28"/>
  <c r="V14" i="28" s="1"/>
  <c r="R14" i="28" s="1"/>
  <c r="T14" i="28"/>
  <c r="AC14" i="28" s="1"/>
  <c r="Y14" i="28" s="1"/>
  <c r="AA14" i="28"/>
  <c r="AJ14" i="28" s="1"/>
  <c r="AF14" i="28" s="1"/>
  <c r="AH14" i="28"/>
  <c r="AQ14" i="28" s="1"/>
  <c r="AM14" i="28" s="1"/>
  <c r="AO14" i="28"/>
  <c r="AX14" i="28" s="1"/>
  <c r="AT14" i="28" s="1"/>
  <c r="AV14" i="28"/>
  <c r="H14" i="28" s="1"/>
  <c r="D14" i="28" s="1"/>
  <c r="L17" i="28"/>
  <c r="Z17" i="28"/>
  <c r="AN17" i="28"/>
  <c r="F18" i="28"/>
  <c r="O18" i="28" s="1"/>
  <c r="K18" i="28" s="1"/>
  <c r="M18" i="28"/>
  <c r="V18" i="28" s="1"/>
  <c r="R18" i="28" s="1"/>
  <c r="T18" i="28"/>
  <c r="AC18" i="28" s="1"/>
  <c r="Y18" i="28" s="1"/>
  <c r="AA18" i="28"/>
  <c r="AJ18" i="28" s="1"/>
  <c r="AF18" i="28" s="1"/>
  <c r="AH18" i="28"/>
  <c r="AQ18" i="28" s="1"/>
  <c r="AM18" i="28" s="1"/>
  <c r="AO18" i="28"/>
  <c r="AX18" i="28" s="1"/>
  <c r="AT18" i="28" s="1"/>
  <c r="AV18" i="28"/>
  <c r="H18" i="28" s="1"/>
  <c r="D18" i="28" s="1"/>
  <c r="L19" i="28"/>
  <c r="Z19" i="28"/>
  <c r="AN19" i="28"/>
  <c r="F20" i="28"/>
  <c r="O20" i="28" s="1"/>
  <c r="K20" i="28" s="1"/>
  <c r="M20" i="28"/>
  <c r="V20" i="28" s="1"/>
  <c r="R20" i="28" s="1"/>
  <c r="T20" i="28"/>
  <c r="AC20" i="28" s="1"/>
  <c r="Y20" i="28" s="1"/>
  <c r="AA20" i="28"/>
  <c r="AJ20" i="28" s="1"/>
  <c r="AF20" i="28" s="1"/>
  <c r="AH20" i="28"/>
  <c r="AQ20" i="28" s="1"/>
  <c r="AM20" i="28" s="1"/>
  <c r="AO20" i="28"/>
  <c r="AX20" i="28" s="1"/>
  <c r="AT20" i="28" s="1"/>
  <c r="AV20" i="28"/>
  <c r="H20" i="28" s="1"/>
  <c r="D20" i="28" s="1"/>
  <c r="L21" i="28"/>
  <c r="Z21" i="28"/>
  <c r="AN21" i="28"/>
  <c r="F22" i="28"/>
  <c r="O22" i="28" s="1"/>
  <c r="K22" i="28" s="1"/>
  <c r="M22" i="28"/>
  <c r="V22" i="28" s="1"/>
  <c r="R22" i="28" s="1"/>
  <c r="T22" i="28"/>
  <c r="AC22" i="28" s="1"/>
  <c r="Y22" i="28" s="1"/>
  <c r="AA22" i="28"/>
  <c r="AJ22" i="28" s="1"/>
  <c r="AF22" i="28" s="1"/>
  <c r="AH22" i="28"/>
  <c r="AQ22" i="28" s="1"/>
  <c r="AM22" i="28" s="1"/>
  <c r="AO22" i="28"/>
  <c r="AX22" i="28" s="1"/>
  <c r="AT22" i="28" s="1"/>
  <c r="AV22" i="28"/>
  <c r="H22" i="28" s="1"/>
  <c r="D22" i="28" s="1"/>
  <c r="L23" i="28"/>
  <c r="Z23" i="28"/>
  <c r="AN23" i="28"/>
  <c r="F24" i="28"/>
  <c r="O24" i="28" s="1"/>
  <c r="K24" i="28" s="1"/>
  <c r="M24" i="28"/>
  <c r="V24" i="28" s="1"/>
  <c r="R24" i="28" s="1"/>
  <c r="T24" i="28"/>
  <c r="AC24" i="28" s="1"/>
  <c r="Y24" i="28" s="1"/>
  <c r="AA24" i="28"/>
  <c r="AJ24" i="28" s="1"/>
  <c r="AF24" i="28" s="1"/>
  <c r="AH24" i="28"/>
  <c r="AQ24" i="28" s="1"/>
  <c r="AM24" i="28" s="1"/>
  <c r="AO24" i="28"/>
  <c r="AX24" i="28" s="1"/>
  <c r="AT24" i="28" s="1"/>
  <c r="AV24" i="28"/>
  <c r="H24" i="28" s="1"/>
  <c r="D24" i="28" s="1"/>
  <c r="L25" i="28"/>
  <c r="Z25" i="28"/>
  <c r="AN25" i="28"/>
  <c r="F26" i="28"/>
  <c r="O26" i="28" s="1"/>
  <c r="K26" i="28" s="1"/>
  <c r="M26" i="28"/>
  <c r="V26" i="28" s="1"/>
  <c r="R26" i="28" s="1"/>
  <c r="T26" i="28"/>
  <c r="AC26" i="28" s="1"/>
  <c r="Y26" i="28" s="1"/>
  <c r="AA26" i="28"/>
  <c r="AJ26" i="28" s="1"/>
  <c r="AF26" i="28" s="1"/>
  <c r="AH26" i="28"/>
  <c r="AQ26" i="28" s="1"/>
  <c r="AM26" i="28" s="1"/>
  <c r="AO26" i="28"/>
  <c r="AX26" i="28" s="1"/>
  <c r="AT26" i="28" s="1"/>
  <c r="AV26" i="28"/>
  <c r="H26" i="28" s="1"/>
  <c r="D26" i="28" s="1"/>
  <c r="L27" i="28"/>
  <c r="Z27" i="28"/>
  <c r="AN27" i="28"/>
  <c r="F28" i="28"/>
  <c r="O28" i="28" s="1"/>
  <c r="K28" i="28" s="1"/>
  <c r="M28" i="28"/>
  <c r="V28" i="28" s="1"/>
  <c r="R28" i="28" s="1"/>
  <c r="T28" i="28"/>
  <c r="AC28" i="28" s="1"/>
  <c r="Y28" i="28" s="1"/>
  <c r="AA28" i="28"/>
  <c r="AJ28" i="28" s="1"/>
  <c r="AF28" i="28" s="1"/>
  <c r="AH28" i="28"/>
  <c r="AQ28" i="28" s="1"/>
  <c r="AM28" i="28" s="1"/>
  <c r="AO28" i="28"/>
  <c r="AX28" i="28" s="1"/>
  <c r="AT28" i="28" s="1"/>
  <c r="AV28" i="28"/>
  <c r="H28" i="28" s="1"/>
  <c r="D28" i="28" s="1"/>
  <c r="L29" i="28"/>
  <c r="Z29" i="28"/>
  <c r="AN29" i="28"/>
  <c r="F30" i="28"/>
  <c r="O30" i="28" s="1"/>
  <c r="K30" i="28" s="1"/>
  <c r="L30" i="28"/>
  <c r="T30" i="28"/>
  <c r="AC30" i="28" s="1"/>
  <c r="Y30" i="28" s="1"/>
  <c r="Z30" i="28"/>
  <c r="AH30" i="28"/>
  <c r="AQ30" i="28" s="1"/>
  <c r="AM30" i="28" s="1"/>
  <c r="AN30" i="28"/>
  <c r="AV30" i="28"/>
  <c r="H30" i="28" s="1"/>
  <c r="D30" i="28" s="1"/>
  <c r="F9" i="28"/>
  <c r="O9" i="28" s="1"/>
  <c r="K9" i="28" s="1"/>
  <c r="M9" i="28"/>
  <c r="V9" i="28" s="1"/>
  <c r="R9" i="28" s="1"/>
  <c r="T9" i="28"/>
  <c r="AC9" i="28" s="1"/>
  <c r="Y9" i="28" s="1"/>
  <c r="AA9" i="28"/>
  <c r="AJ9" i="28" s="1"/>
  <c r="AF9" i="28" s="1"/>
  <c r="AH9" i="28"/>
  <c r="AQ9" i="28" s="1"/>
  <c r="AM9" i="28" s="1"/>
  <c r="AO9" i="28"/>
  <c r="AX9" i="28" s="1"/>
  <c r="AT9" i="28" s="1"/>
  <c r="AV9" i="28"/>
  <c r="H9" i="28" s="1"/>
  <c r="D9" i="28" s="1"/>
  <c r="L10" i="28"/>
  <c r="Z10" i="28"/>
  <c r="AN10" i="28"/>
  <c r="F11" i="28"/>
  <c r="O11" i="28" s="1"/>
  <c r="K11" i="28" s="1"/>
  <c r="M11" i="28"/>
  <c r="V11" i="28" s="1"/>
  <c r="R11" i="28" s="1"/>
  <c r="T11" i="28"/>
  <c r="AC11" i="28" s="1"/>
  <c r="Y11" i="28" s="1"/>
  <c r="AA11" i="28"/>
  <c r="AJ11" i="28" s="1"/>
  <c r="AF11" i="28" s="1"/>
  <c r="AH11" i="28"/>
  <c r="AQ11" i="28" s="1"/>
  <c r="AM11" i="28" s="1"/>
  <c r="AO11" i="28"/>
  <c r="AX11" i="28" s="1"/>
  <c r="AT11" i="28" s="1"/>
  <c r="AV11" i="28"/>
  <c r="H11" i="28" s="1"/>
  <c r="D11" i="28" s="1"/>
  <c r="L12" i="28"/>
  <c r="Z12" i="28"/>
  <c r="AN12" i="28"/>
  <c r="F13" i="28"/>
  <c r="O13" i="28" s="1"/>
  <c r="K13" i="28" s="1"/>
  <c r="M13" i="28"/>
  <c r="V13" i="28" s="1"/>
  <c r="R13" i="28" s="1"/>
  <c r="T13" i="28"/>
  <c r="AC13" i="28" s="1"/>
  <c r="Y13" i="28" s="1"/>
  <c r="AA13" i="28"/>
  <c r="AJ13" i="28" s="1"/>
  <c r="AF13" i="28" s="1"/>
  <c r="AH13" i="28"/>
  <c r="AQ13" i="28" s="1"/>
  <c r="AM13" i="28" s="1"/>
  <c r="AO13" i="28"/>
  <c r="AX13" i="28" s="1"/>
  <c r="AT13" i="28" s="1"/>
  <c r="AV13" i="28"/>
  <c r="H13" i="28" s="1"/>
  <c r="D13" i="28" s="1"/>
  <c r="L14" i="28"/>
  <c r="Z14" i="28"/>
  <c r="AN14" i="28"/>
  <c r="M15" i="28"/>
  <c r="V15" i="28" s="1"/>
  <c r="R15" i="28" s="1"/>
  <c r="T15" i="28"/>
  <c r="AC15" i="28" s="1"/>
  <c r="Y15" i="28" s="1"/>
  <c r="AA15" i="28"/>
  <c r="AJ15" i="28" s="1"/>
  <c r="AF15" i="28" s="1"/>
  <c r="AH15" i="28"/>
  <c r="AQ15" i="28" s="1"/>
  <c r="AM15" i="28" s="1"/>
  <c r="AO15" i="28"/>
  <c r="AX15" i="28" s="1"/>
  <c r="AT15" i="28" s="1"/>
  <c r="AV15" i="28"/>
  <c r="H15" i="28" s="1"/>
  <c r="D15" i="28" s="1"/>
  <c r="F17" i="28"/>
  <c r="O17" i="28" s="1"/>
  <c r="K17" i="28" s="1"/>
  <c r="M17" i="28"/>
  <c r="V17" i="28" s="1"/>
  <c r="R17" i="28" s="1"/>
  <c r="T17" i="28"/>
  <c r="AC17" i="28" s="1"/>
  <c r="Y17" i="28" s="1"/>
  <c r="AA17" i="28"/>
  <c r="AJ17" i="28" s="1"/>
  <c r="AF17" i="28" s="1"/>
  <c r="AH17" i="28"/>
  <c r="AQ17" i="28" s="1"/>
  <c r="AM17" i="28" s="1"/>
  <c r="AO17" i="28"/>
  <c r="AX17" i="28" s="1"/>
  <c r="AT17" i="28" s="1"/>
  <c r="AV17" i="28"/>
  <c r="H17" i="28" s="1"/>
  <c r="D17" i="28" s="1"/>
  <c r="L18" i="28"/>
  <c r="Z18" i="28"/>
  <c r="AN18" i="28"/>
  <c r="F19" i="28"/>
  <c r="O19" i="28" s="1"/>
  <c r="K19" i="28" s="1"/>
  <c r="M19" i="28"/>
  <c r="V19" i="28" s="1"/>
  <c r="R19" i="28" s="1"/>
  <c r="T19" i="28"/>
  <c r="AC19" i="28" s="1"/>
  <c r="Y19" i="28" s="1"/>
  <c r="AA19" i="28"/>
  <c r="AJ19" i="28" s="1"/>
  <c r="AF19" i="28" s="1"/>
  <c r="AH19" i="28"/>
  <c r="AQ19" i="28" s="1"/>
  <c r="AM19" i="28" s="1"/>
  <c r="AO19" i="28"/>
  <c r="AX19" i="28" s="1"/>
  <c r="AT19" i="28" s="1"/>
  <c r="AV19" i="28"/>
  <c r="H19" i="28" s="1"/>
  <c r="D19" i="28" s="1"/>
  <c r="L20" i="28"/>
  <c r="Z20" i="28"/>
  <c r="AN20" i="28"/>
  <c r="F21" i="28"/>
  <c r="O21" i="28" s="1"/>
  <c r="K21" i="28" s="1"/>
  <c r="M21" i="28"/>
  <c r="V21" i="28" s="1"/>
  <c r="R21" i="28" s="1"/>
  <c r="T21" i="28"/>
  <c r="AC21" i="28" s="1"/>
  <c r="Y21" i="28" s="1"/>
  <c r="AA21" i="28"/>
  <c r="AJ21" i="28" s="1"/>
  <c r="AF21" i="28" s="1"/>
  <c r="AH21" i="28"/>
  <c r="AQ21" i="28" s="1"/>
  <c r="AM21" i="28" s="1"/>
  <c r="AO21" i="28"/>
  <c r="AX21" i="28" s="1"/>
  <c r="AT21" i="28" s="1"/>
  <c r="AV21" i="28"/>
  <c r="H21" i="28" s="1"/>
  <c r="D21" i="28" s="1"/>
  <c r="L22" i="28"/>
  <c r="Z22" i="28"/>
  <c r="AN22" i="28"/>
  <c r="F23" i="28"/>
  <c r="O23" i="28" s="1"/>
  <c r="K23" i="28" s="1"/>
  <c r="M23" i="28"/>
  <c r="V23" i="28" s="1"/>
  <c r="R23" i="28" s="1"/>
  <c r="T23" i="28"/>
  <c r="AC23" i="28" s="1"/>
  <c r="Y23" i="28" s="1"/>
  <c r="AA23" i="28"/>
  <c r="AJ23" i="28" s="1"/>
  <c r="AF23" i="28" s="1"/>
  <c r="AH23" i="28"/>
  <c r="AQ23" i="28" s="1"/>
  <c r="AM23" i="28" s="1"/>
  <c r="AO23" i="28"/>
  <c r="AX23" i="28" s="1"/>
  <c r="AT23" i="28" s="1"/>
  <c r="AV23" i="28"/>
  <c r="H23" i="28" s="1"/>
  <c r="D23" i="28" s="1"/>
  <c r="L24" i="28"/>
  <c r="Z24" i="28"/>
  <c r="AN24" i="28"/>
  <c r="F25" i="28"/>
  <c r="O25" i="28" s="1"/>
  <c r="K25" i="28" s="1"/>
  <c r="M25" i="28"/>
  <c r="V25" i="28" s="1"/>
  <c r="R25" i="28" s="1"/>
  <c r="T25" i="28"/>
  <c r="AC25" i="28" s="1"/>
  <c r="Y25" i="28" s="1"/>
  <c r="AA25" i="28"/>
  <c r="AJ25" i="28" s="1"/>
  <c r="AF25" i="28" s="1"/>
  <c r="AH25" i="28"/>
  <c r="AQ25" i="28" s="1"/>
  <c r="AM25" i="28" s="1"/>
  <c r="AO25" i="28"/>
  <c r="AX25" i="28" s="1"/>
  <c r="AT25" i="28" s="1"/>
  <c r="AV25" i="28"/>
  <c r="H25" i="28" s="1"/>
  <c r="D25" i="28" s="1"/>
  <c r="L26" i="28"/>
  <c r="Z26" i="28"/>
  <c r="AN26" i="28"/>
  <c r="F27" i="28"/>
  <c r="O27" i="28" s="1"/>
  <c r="K27" i="28" s="1"/>
  <c r="M27" i="28"/>
  <c r="V27" i="28" s="1"/>
  <c r="R27" i="28" s="1"/>
  <c r="T27" i="28"/>
  <c r="AC27" i="28" s="1"/>
  <c r="Y27" i="28" s="1"/>
  <c r="AA27" i="28"/>
  <c r="AJ27" i="28" s="1"/>
  <c r="AF27" i="28" s="1"/>
  <c r="AH27" i="28"/>
  <c r="AQ27" i="28" s="1"/>
  <c r="AM27" i="28" s="1"/>
  <c r="AO27" i="28"/>
  <c r="AX27" i="28" s="1"/>
  <c r="AT27" i="28" s="1"/>
  <c r="AV27" i="28"/>
  <c r="H27" i="28" s="1"/>
  <c r="D27" i="28" s="1"/>
  <c r="L28" i="28"/>
  <c r="Z28" i="28"/>
  <c r="AN28" i="28"/>
  <c r="F29" i="28"/>
  <c r="O29" i="28" s="1"/>
  <c r="K29" i="28" s="1"/>
  <c r="M29" i="28"/>
  <c r="V29" i="28" s="1"/>
  <c r="R29" i="28" s="1"/>
  <c r="T29" i="28"/>
  <c r="AC29" i="28" s="1"/>
  <c r="Y29" i="28" s="1"/>
  <c r="AA29" i="28"/>
  <c r="AJ29" i="28" s="1"/>
  <c r="AF29" i="28" s="1"/>
  <c r="AH29" i="28"/>
  <c r="AQ29" i="28" s="1"/>
  <c r="AM29" i="28" s="1"/>
  <c r="AO29" i="28"/>
  <c r="AX29" i="28" s="1"/>
  <c r="AT29" i="28" s="1"/>
  <c r="AV29" i="28"/>
  <c r="H29" i="28" s="1"/>
  <c r="D29" i="28" s="1"/>
  <c r="S30" i="28"/>
  <c r="L16" i="28"/>
  <c r="Z16" i="28"/>
  <c r="AN16" i="28"/>
  <c r="F16" i="28"/>
  <c r="O16" i="28" s="1"/>
  <c r="K16" i="28" s="1"/>
  <c r="M16" i="28"/>
  <c r="V16" i="28" s="1"/>
  <c r="R16" i="28" s="1"/>
  <c r="T16" i="28"/>
  <c r="AC16" i="28" s="1"/>
  <c r="Y16" i="28" s="1"/>
  <c r="AA16" i="28"/>
  <c r="AJ16" i="28" s="1"/>
  <c r="AF16" i="28" s="1"/>
  <c r="AH16" i="28"/>
  <c r="AQ16" i="28" s="1"/>
  <c r="AM16" i="28" s="1"/>
  <c r="AO16" i="28"/>
  <c r="AX16" i="28" s="1"/>
  <c r="AT16" i="28" s="1"/>
  <c r="AV16" i="28"/>
  <c r="H16" i="28" s="1"/>
  <c r="D16" i="28" s="1"/>
  <c r="F15" i="28"/>
  <c r="O15" i="28" s="1"/>
  <c r="K15" i="28" s="1"/>
  <c r="L15" i="28"/>
  <c r="Z15" i="28"/>
  <c r="AN15" i="28"/>
  <c r="T10" i="28"/>
  <c r="AC10" i="28" s="1"/>
  <c r="Y10" i="28" s="1"/>
  <c r="AH10" i="28"/>
  <c r="AQ10" i="28" s="1"/>
  <c r="AM10" i="28" s="1"/>
  <c r="AV10" i="28"/>
  <c r="H10" i="28" s="1"/>
  <c r="D10" i="28" s="1"/>
  <c r="E9" i="28"/>
  <c r="S9" i="28"/>
  <c r="AG9" i="28"/>
  <c r="AU9" i="28"/>
  <c r="E10" i="28"/>
  <c r="E11" i="28"/>
  <c r="S11" i="28"/>
  <c r="AG11" i="28"/>
  <c r="AU11" i="28"/>
  <c r="E12" i="28"/>
  <c r="S12" i="28"/>
  <c r="AG12" i="28"/>
  <c r="AU12" i="28"/>
  <c r="E13" i="28"/>
  <c r="S13" i="28"/>
  <c r="AG13" i="28"/>
  <c r="AU13" i="28"/>
  <c r="E14" i="28"/>
  <c r="S14" i="28"/>
  <c r="AG14" i="28"/>
  <c r="AU14" i="28"/>
  <c r="E15" i="28"/>
  <c r="S15" i="28"/>
  <c r="AG15" i="28"/>
  <c r="AU15" i="28"/>
  <c r="E16" i="28"/>
  <c r="S16" i="28"/>
  <c r="AG16" i="28"/>
  <c r="AU16" i="28"/>
  <c r="E17" i="28"/>
  <c r="S17" i="28"/>
  <c r="AG17" i="28"/>
  <c r="AU17" i="28"/>
  <c r="E18" i="28"/>
  <c r="S18" i="28"/>
  <c r="AG18" i="28"/>
  <c r="AU18" i="28"/>
  <c r="E19" i="28"/>
  <c r="S19" i="28"/>
  <c r="AG19" i="28"/>
  <c r="AU19" i="28"/>
  <c r="E20" i="28"/>
  <c r="S20" i="28"/>
  <c r="AG20" i="28"/>
  <c r="AU20" i="28"/>
  <c r="E21" i="28"/>
  <c r="S21" i="28"/>
  <c r="AG21" i="28"/>
  <c r="AU21" i="28"/>
  <c r="E22" i="28"/>
  <c r="S22" i="28"/>
  <c r="AG22" i="28"/>
  <c r="AU22" i="28"/>
  <c r="E23" i="28"/>
  <c r="S23" i="28"/>
  <c r="AG23" i="28"/>
  <c r="AU23" i="28"/>
  <c r="E24" i="28"/>
  <c r="S24" i="28"/>
  <c r="AG24" i="28"/>
  <c r="AU24" i="28"/>
  <c r="E25" i="28"/>
  <c r="S25" i="28"/>
  <c r="AG25" i="28"/>
  <c r="AU25" i="28"/>
  <c r="E26" i="28"/>
  <c r="S26" i="28"/>
  <c r="AG26" i="28"/>
  <c r="AU26" i="28"/>
  <c r="E27" i="28"/>
  <c r="S27" i="28"/>
  <c r="AG27" i="28"/>
  <c r="AU27" i="28"/>
  <c r="E28" i="28"/>
  <c r="S28" i="28"/>
  <c r="AG28" i="28"/>
  <c r="AU28" i="28"/>
  <c r="E29" i="28"/>
  <c r="S29" i="28"/>
  <c r="AG29" i="28"/>
  <c r="AU29" i="28"/>
  <c r="E30" i="28"/>
  <c r="M30" i="28"/>
  <c r="V30" i="28" s="1"/>
  <c r="R30" i="28" s="1"/>
  <c r="AA30" i="28"/>
  <c r="AJ30" i="28" s="1"/>
  <c r="AF30" i="28" s="1"/>
  <c r="AG30" i="28"/>
  <c r="AO30" i="28"/>
  <c r="AX30" i="28" s="1"/>
  <c r="AT30" i="28" s="1"/>
  <c r="AU30" i="28"/>
  <c r="A2" i="27"/>
  <c r="A1" i="27"/>
  <c r="Z53" i="26" l="1"/>
  <c r="Z55" i="26"/>
  <c r="Z54" i="26"/>
  <c r="Z44" i="26"/>
  <c r="Z45" i="26"/>
  <c r="Z46" i="26"/>
  <c r="Z47" i="26"/>
  <c r="Z43" i="26"/>
  <c r="H67" i="26" s="1"/>
  <c r="H43" i="20"/>
  <c r="H42" i="20"/>
  <c r="AA42" i="20" s="1"/>
  <c r="H41" i="20"/>
  <c r="AA41" i="20" s="1"/>
  <c r="H40" i="20"/>
  <c r="AA40" i="20" s="1"/>
  <c r="H39" i="20"/>
  <c r="AA39" i="20" s="1"/>
  <c r="H38" i="20"/>
  <c r="AA38" i="20" s="1"/>
  <c r="H37" i="20"/>
  <c r="AA37" i="20" s="1"/>
  <c r="H36" i="20"/>
  <c r="H35" i="20"/>
  <c r="B31" i="26"/>
  <c r="G31" i="26"/>
  <c r="AA31" i="26" s="1"/>
  <c r="H31" i="26"/>
  <c r="I31" i="26" l="1"/>
  <c r="J31" i="26" s="1"/>
  <c r="K31" i="26"/>
  <c r="P77" i="26"/>
  <c r="X100" i="20"/>
  <c r="Z56" i="26"/>
  <c r="H56" i="26" s="1"/>
  <c r="Z48" i="26"/>
  <c r="Z31" i="26"/>
  <c r="G30" i="26"/>
  <c r="Z30" i="26" s="1"/>
  <c r="G32" i="26"/>
  <c r="G33" i="26"/>
  <c r="G34" i="26"/>
  <c r="Z34" i="26" s="1"/>
  <c r="G35" i="26"/>
  <c r="G36" i="26"/>
  <c r="Z36" i="26" s="1"/>
  <c r="G37" i="26"/>
  <c r="G38" i="26"/>
  <c r="Z38" i="26" s="1"/>
  <c r="G39" i="26"/>
  <c r="H30" i="26"/>
  <c r="K30" i="26" s="1"/>
  <c r="B44" i="26"/>
  <c r="B45" i="26" s="1"/>
  <c r="B46" i="26" s="1"/>
  <c r="B47" i="26" s="1"/>
  <c r="B48" i="26" s="1"/>
  <c r="B49" i="26" s="1"/>
  <c r="B50" i="26" s="1"/>
  <c r="B53" i="26" s="1"/>
  <c r="T40" i="26"/>
  <c r="H39" i="26"/>
  <c r="K39" i="26" s="1"/>
  <c r="H37" i="26"/>
  <c r="H35" i="26"/>
  <c r="K35" i="26" s="1"/>
  <c r="H34" i="26"/>
  <c r="K34" i="26" s="1"/>
  <c r="H33" i="26"/>
  <c r="K33" i="26" s="1"/>
  <c r="AA32" i="26"/>
  <c r="H32" i="26"/>
  <c r="K32" i="26" s="1"/>
  <c r="B32" i="26"/>
  <c r="B33" i="26" s="1"/>
  <c r="B34" i="26" s="1"/>
  <c r="B35" i="26" s="1"/>
  <c r="B36" i="26" s="1"/>
  <c r="B37" i="26" s="1"/>
  <c r="B38" i="26" s="1"/>
  <c r="B39" i="26" s="1"/>
  <c r="E40" i="26"/>
  <c r="E29" i="26"/>
  <c r="B2" i="26"/>
  <c r="B1" i="26"/>
  <c r="I37" i="26" l="1"/>
  <c r="J37" i="26" s="1"/>
  <c r="K37" i="26"/>
  <c r="L31" i="26"/>
  <c r="AA100" i="20"/>
  <c r="N206" i="20"/>
  <c r="P206" i="20" s="1"/>
  <c r="N170" i="20"/>
  <c r="N188" i="20"/>
  <c r="P147" i="26"/>
  <c r="Z113" i="26"/>
  <c r="AA4" i="26"/>
  <c r="H48" i="26"/>
  <c r="B54" i="26"/>
  <c r="B55" i="26" s="1"/>
  <c r="B56" i="26" s="1"/>
  <c r="B58" i="26" s="1"/>
  <c r="B61" i="26" s="1"/>
  <c r="B67" i="26" s="1"/>
  <c r="B68" i="26" s="1"/>
  <c r="B69" i="26" s="1"/>
  <c r="I33" i="26"/>
  <c r="I35" i="26"/>
  <c r="J35" i="26" s="1"/>
  <c r="I39" i="26"/>
  <c r="I32" i="26"/>
  <c r="J32" i="26" s="1"/>
  <c r="Z32" i="26"/>
  <c r="I34" i="26"/>
  <c r="J34" i="26" s="1"/>
  <c r="U30" i="26"/>
  <c r="AA34" i="26"/>
  <c r="H36" i="26"/>
  <c r="K36" i="26" s="1"/>
  <c r="AA36" i="26"/>
  <c r="H38" i="26"/>
  <c r="K38" i="26" s="1"/>
  <c r="AA38" i="26"/>
  <c r="J33" i="26" l="1"/>
  <c r="L33" i="26" s="1"/>
  <c r="P188" i="20"/>
  <c r="P149" i="26"/>
  <c r="P148" i="26"/>
  <c r="Z110" i="26"/>
  <c r="Z111" i="26"/>
  <c r="Z112" i="26"/>
  <c r="Q147" i="26"/>
  <c r="Q148" i="26" s="1"/>
  <c r="P144" i="26"/>
  <c r="P145" i="26" s="1"/>
  <c r="P243" i="26"/>
  <c r="P244" i="26" s="1"/>
  <c r="P246" i="26"/>
  <c r="P247" i="26" s="1"/>
  <c r="P248" i="26"/>
  <c r="L37" i="26"/>
  <c r="AA44" i="26"/>
  <c r="AB44" i="26" s="1"/>
  <c r="AA46" i="26"/>
  <c r="AB46" i="26" s="1"/>
  <c r="AA43" i="26"/>
  <c r="AB43" i="26" s="1"/>
  <c r="AA45" i="26"/>
  <c r="AB45" i="26" s="1"/>
  <c r="AA47" i="26"/>
  <c r="AB47" i="26" s="1"/>
  <c r="U31" i="26"/>
  <c r="U37" i="26"/>
  <c r="U36" i="26"/>
  <c r="U33" i="26"/>
  <c r="U32" i="26"/>
  <c r="U39" i="26"/>
  <c r="U38" i="26"/>
  <c r="U35" i="26"/>
  <c r="U34" i="26"/>
  <c r="AA39" i="26"/>
  <c r="J39" i="26" s="1"/>
  <c r="Z39" i="26"/>
  <c r="Z35" i="26"/>
  <c r="AA35" i="26"/>
  <c r="H40" i="26"/>
  <c r="H29" i="26"/>
  <c r="AA30" i="26"/>
  <c r="I30" i="26"/>
  <c r="I38" i="26"/>
  <c r="J38" i="26" s="1"/>
  <c r="I36" i="26"/>
  <c r="J36" i="26" s="1"/>
  <c r="AA37" i="26"/>
  <c r="Z37" i="26"/>
  <c r="Z33" i="26"/>
  <c r="AA33" i="26"/>
  <c r="L39" i="26" l="1"/>
  <c r="J30" i="26"/>
  <c r="P150" i="26"/>
  <c r="P151" i="26"/>
  <c r="P250" i="26"/>
  <c r="Q144" i="26"/>
  <c r="Z115" i="26"/>
  <c r="P142" i="26"/>
  <c r="Q243" i="26"/>
  <c r="Q246" i="26"/>
  <c r="P241" i="26"/>
  <c r="P249" i="26"/>
  <c r="Q149" i="26"/>
  <c r="Q150" i="26" s="1"/>
  <c r="Q142" i="26"/>
  <c r="L32" i="26"/>
  <c r="L35" i="26"/>
  <c r="L34" i="26"/>
  <c r="AA48" i="26"/>
  <c r="U40" i="26"/>
  <c r="I40" i="26"/>
  <c r="I29" i="26"/>
  <c r="F109" i="6"/>
  <c r="Q248" i="26" l="1"/>
  <c r="Q247" i="26"/>
  <c r="Q106" i="26"/>
  <c r="Q114" i="26" s="1"/>
  <c r="Q115" i="26" s="1"/>
  <c r="O106" i="26"/>
  <c r="P106" i="26"/>
  <c r="P114" i="26" s="1"/>
  <c r="P115" i="26" s="1"/>
  <c r="N106" i="26"/>
  <c r="Q145" i="26"/>
  <c r="Q151" i="26" s="1"/>
  <c r="S106" i="26"/>
  <c r="S114" i="26" s="1"/>
  <c r="S115" i="26" s="1"/>
  <c r="R106" i="26"/>
  <c r="R114" i="26" s="1"/>
  <c r="R115" i="26" s="1"/>
  <c r="Q241" i="26"/>
  <c r="Q244" i="26" s="1"/>
  <c r="P154" i="26"/>
  <c r="L38" i="26"/>
  <c r="L36" i="26"/>
  <c r="H49" i="26"/>
  <c r="H50" i="26" s="1"/>
  <c r="AB48" i="26"/>
  <c r="K40" i="26"/>
  <c r="Q249" i="26" l="1"/>
  <c r="Q250" i="26" s="1"/>
  <c r="P132" i="26"/>
  <c r="P109" i="26"/>
  <c r="P111" i="26"/>
  <c r="P112" i="26" s="1"/>
  <c r="P116" i="26"/>
  <c r="Q111" i="26"/>
  <c r="Q116" i="26"/>
  <c r="N114" i="26"/>
  <c r="N115" i="26" s="1"/>
  <c r="N109" i="26" s="1"/>
  <c r="N111" i="26"/>
  <c r="N112" i="26" s="1"/>
  <c r="O111" i="26"/>
  <c r="O114" i="26"/>
  <c r="S111" i="26"/>
  <c r="S116" i="26"/>
  <c r="R111" i="26"/>
  <c r="R112" i="26" s="1"/>
  <c r="R116" i="26"/>
  <c r="P231" i="26"/>
  <c r="P253" i="26"/>
  <c r="P155" i="26"/>
  <c r="Q159" i="26"/>
  <c r="P134" i="26" s="1"/>
  <c r="R118" i="26" l="1"/>
  <c r="P118" i="26"/>
  <c r="P159" i="26"/>
  <c r="P133" i="26" s="1"/>
  <c r="P135" i="26" s="1"/>
  <c r="P156" i="26"/>
  <c r="P117" i="26"/>
  <c r="Q109" i="26"/>
  <c r="Q112" i="26" s="1"/>
  <c r="N116" i="26"/>
  <c r="N117" i="26" s="1"/>
  <c r="O116" i="26"/>
  <c r="O115" i="26"/>
  <c r="Q258" i="26"/>
  <c r="P233" i="26" s="1"/>
  <c r="S117" i="26"/>
  <c r="R117" i="26"/>
  <c r="R109" i="26"/>
  <c r="Q251" i="26"/>
  <c r="Q259" i="26" s="1"/>
  <c r="P254" i="26"/>
  <c r="P258" i="26"/>
  <c r="P232" i="26" s="1"/>
  <c r="P251" i="26"/>
  <c r="N118" i="26" l="1"/>
  <c r="P255" i="26"/>
  <c r="P256" i="26" s="1"/>
  <c r="P259" i="26" s="1"/>
  <c r="P240" i="26" s="1"/>
  <c r="P121" i="26"/>
  <c r="P126" i="26" s="1"/>
  <c r="P100" i="26" s="1"/>
  <c r="P99" i="26"/>
  <c r="Q117" i="26"/>
  <c r="Q118" i="26" s="1"/>
  <c r="O109" i="26"/>
  <c r="O112" i="26" s="1"/>
  <c r="O117" i="26"/>
  <c r="P234" i="26"/>
  <c r="S109" i="26"/>
  <c r="S112" i="26" s="1"/>
  <c r="S118" i="26" s="1"/>
  <c r="P279" i="26"/>
  <c r="P276" i="26"/>
  <c r="P277" i="26" s="1"/>
  <c r="Q276" i="26"/>
  <c r="Q279" i="26"/>
  <c r="N279" i="26"/>
  <c r="N280" i="26" s="1"/>
  <c r="N276" i="26"/>
  <c r="N277" i="26" s="1"/>
  <c r="O276" i="26"/>
  <c r="O279" i="26"/>
  <c r="O280" i="26" s="1"/>
  <c r="E50" i="13"/>
  <c r="E11" i="10"/>
  <c r="O118" i="26" l="1"/>
  <c r="P281" i="26"/>
  <c r="P280" i="26"/>
  <c r="Q281" i="26"/>
  <c r="Q280" i="26"/>
  <c r="Q126" i="26"/>
  <c r="P101" i="26" s="1"/>
  <c r="P102" i="26" s="1"/>
  <c r="P122" i="26"/>
  <c r="P123" i="26" s="1"/>
  <c r="N121" i="26"/>
  <c r="N126" i="26" s="1"/>
  <c r="N99" i="26"/>
  <c r="R99" i="26"/>
  <c r="R121" i="26"/>
  <c r="N281" i="26"/>
  <c r="N283" i="26" s="1"/>
  <c r="P274" i="26"/>
  <c r="O281" i="26"/>
  <c r="O282" i="26" s="1"/>
  <c r="O274" i="26"/>
  <c r="O277" i="26" s="1"/>
  <c r="N274" i="26"/>
  <c r="P283" i="26" l="1"/>
  <c r="O283" i="26"/>
  <c r="O126" i="26"/>
  <c r="N101" i="26" s="1"/>
  <c r="N100" i="26"/>
  <c r="N122" i="26"/>
  <c r="N123" i="26" s="1"/>
  <c r="N282" i="26"/>
  <c r="R122" i="26"/>
  <c r="R123" i="26" s="1"/>
  <c r="R126" i="26"/>
  <c r="R100" i="26" s="1"/>
  <c r="S126" i="26"/>
  <c r="R101" i="26" s="1"/>
  <c r="P282" i="26"/>
  <c r="N286" i="26"/>
  <c r="N264" i="26"/>
  <c r="Q274" i="26"/>
  <c r="Q277" i="26" s="1"/>
  <c r="Q282" i="26"/>
  <c r="D105" i="22"/>
  <c r="D107" i="22" s="1"/>
  <c r="C105" i="22"/>
  <c r="C107" i="22" s="1"/>
  <c r="D77" i="22"/>
  <c r="D102" i="22"/>
  <c r="C102" i="22"/>
  <c r="C103" i="22" s="1"/>
  <c r="Q283" i="26" l="1"/>
  <c r="N102" i="26"/>
  <c r="N287" i="26"/>
  <c r="R102" i="26"/>
  <c r="N291" i="26"/>
  <c r="N265" i="26" s="1"/>
  <c r="N284" i="26"/>
  <c r="P286" i="26"/>
  <c r="P264" i="26"/>
  <c r="O291" i="26"/>
  <c r="N266" i="26" s="1"/>
  <c r="O284" i="26"/>
  <c r="O292" i="26" s="1"/>
  <c r="C80" i="22"/>
  <c r="C81" i="22" s="1"/>
  <c r="C77" i="22"/>
  <c r="C78" i="22" s="1"/>
  <c r="D80" i="22"/>
  <c r="D81" i="22" s="1"/>
  <c r="D75" i="22" s="1"/>
  <c r="D78" i="22" s="1"/>
  <c r="D106" i="22"/>
  <c r="C106" i="22"/>
  <c r="C109" i="22" s="1"/>
  <c r="B2" i="22"/>
  <c r="B1" i="22"/>
  <c r="N288" i="26" l="1"/>
  <c r="N289" i="26" s="1"/>
  <c r="N292" i="26" s="1"/>
  <c r="N273" i="26" s="1"/>
  <c r="N267" i="26"/>
  <c r="P287" i="26"/>
  <c r="Q284" i="26"/>
  <c r="Q292" i="26" s="1"/>
  <c r="P284" i="26"/>
  <c r="P291" i="26"/>
  <c r="P265" i="26" s="1"/>
  <c r="Q291" i="26"/>
  <c r="P266" i="26" s="1"/>
  <c r="C87" i="22"/>
  <c r="E70" i="22"/>
  <c r="C108" i="22"/>
  <c r="C100" i="22"/>
  <c r="D108" i="22"/>
  <c r="D100" i="22"/>
  <c r="D103" i="22" s="1"/>
  <c r="D50" i="22"/>
  <c r="D52" i="22" s="1"/>
  <c r="C50" i="22"/>
  <c r="C52" i="22" s="1"/>
  <c r="D47" i="22"/>
  <c r="C47" i="22"/>
  <c r="C48" i="22" s="1"/>
  <c r="P288" i="26" l="1"/>
  <c r="P289" i="26" s="1"/>
  <c r="P292" i="26" s="1"/>
  <c r="P273" i="26" s="1"/>
  <c r="D109" i="22"/>
  <c r="C88" i="22"/>
  <c r="C89" i="22" s="1"/>
  <c r="P267" i="26"/>
  <c r="E95" i="22"/>
  <c r="C112" i="22"/>
  <c r="D24" i="22"/>
  <c r="D21" i="22"/>
  <c r="D51" i="22"/>
  <c r="C21" i="22"/>
  <c r="C22" i="22" s="1"/>
  <c r="C28" i="22" s="1"/>
  <c r="C51" i="22"/>
  <c r="C54" i="22" s="1"/>
  <c r="D25" i="22" l="1"/>
  <c r="D26" i="22"/>
  <c r="D110" i="22"/>
  <c r="D117" i="22" s="1"/>
  <c r="C110" i="22"/>
  <c r="C113" i="22"/>
  <c r="C53" i="22"/>
  <c r="C45" i="22"/>
  <c r="D53" i="22"/>
  <c r="D45" i="22"/>
  <c r="D48" i="22" s="1"/>
  <c r="D54" i="22" l="1"/>
  <c r="D27" i="22"/>
  <c r="D19" i="22"/>
  <c r="D22" i="22" s="1"/>
  <c r="E14" i="22" s="1"/>
  <c r="C115" i="22"/>
  <c r="C117" i="22" s="1"/>
  <c r="G99" i="22" s="1"/>
  <c r="C114" i="22"/>
  <c r="E40" i="22"/>
  <c r="C57" i="22"/>
  <c r="C27" i="22"/>
  <c r="C19" i="22"/>
  <c r="D28" i="22" l="1"/>
  <c r="C31" i="22"/>
  <c r="C32" i="22" s="1"/>
  <c r="C33" i="22" s="1"/>
  <c r="C55" i="22"/>
  <c r="D55" i="22"/>
  <c r="D62" i="22" s="1"/>
  <c r="C58" i="22"/>
  <c r="C59" i="22" l="1"/>
  <c r="C60" i="22" s="1"/>
  <c r="C62" i="22" s="1"/>
  <c r="G44" i="22" s="1"/>
  <c r="Q51" i="22" l="1"/>
  <c r="K42" i="22" s="1"/>
  <c r="Q25" i="22"/>
  <c r="J16" i="22" s="1"/>
  <c r="D82" i="22"/>
  <c r="C82" i="22"/>
  <c r="C84" i="22" s="1"/>
  <c r="J21" i="22" l="1"/>
  <c r="J24" i="22"/>
  <c r="J25" i="22" s="1"/>
  <c r="M16" i="22"/>
  <c r="M21" i="22" s="1"/>
  <c r="K16" i="22"/>
  <c r="K24" i="22" s="1"/>
  <c r="K25" i="22" s="1"/>
  <c r="L16" i="22"/>
  <c r="L24" i="22" s="1"/>
  <c r="N42" i="22"/>
  <c r="N47" i="22" s="1"/>
  <c r="N48" i="22" s="1"/>
  <c r="L42" i="22"/>
  <c r="L47" i="22" s="1"/>
  <c r="L48" i="22" s="1"/>
  <c r="O16" i="22"/>
  <c r="O24" i="22" s="1"/>
  <c r="N16" i="22"/>
  <c r="M42" i="22"/>
  <c r="M47" i="22" s="1"/>
  <c r="J42" i="22"/>
  <c r="J47" i="22" s="1"/>
  <c r="J48" i="22" s="1"/>
  <c r="O42" i="22"/>
  <c r="O47" i="22" s="1"/>
  <c r="K50" i="22"/>
  <c r="K47" i="22"/>
  <c r="C75" i="22"/>
  <c r="C83" i="22"/>
  <c r="D83" i="22"/>
  <c r="D84" i="22" s="1"/>
  <c r="E45" i="6"/>
  <c r="L50" i="22" l="1"/>
  <c r="L51" i="22" s="1"/>
  <c r="L52" i="22"/>
  <c r="O26" i="22"/>
  <c r="O25" i="22"/>
  <c r="O19" i="22" s="1"/>
  <c r="L26" i="22"/>
  <c r="L25" i="22"/>
  <c r="L19" i="22" s="1"/>
  <c r="L21" i="22"/>
  <c r="L22" i="22" s="1"/>
  <c r="N24" i="22"/>
  <c r="N21" i="22"/>
  <c r="N22" i="22" s="1"/>
  <c r="N50" i="22"/>
  <c r="O50" i="22"/>
  <c r="O21" i="22"/>
  <c r="M50" i="22"/>
  <c r="K21" i="22"/>
  <c r="M24" i="22"/>
  <c r="J22" i="22"/>
  <c r="J50" i="22"/>
  <c r="J51" i="22" s="1"/>
  <c r="J26" i="22"/>
  <c r="J27" i="22" s="1"/>
  <c r="K52" i="22"/>
  <c r="K51" i="22"/>
  <c r="K26" i="22"/>
  <c r="K27" i="22" s="1"/>
  <c r="K19" i="22"/>
  <c r="J19" i="22"/>
  <c r="B16" i="9"/>
  <c r="L54" i="22" l="1"/>
  <c r="L53" i="22"/>
  <c r="J28" i="22"/>
  <c r="M52" i="22"/>
  <c r="M51" i="22"/>
  <c r="M45" i="22" s="1"/>
  <c r="M48" i="22" s="1"/>
  <c r="O52" i="22"/>
  <c r="O51" i="22"/>
  <c r="O45" i="22" s="1"/>
  <c r="O48" i="22" s="1"/>
  <c r="N40" i="22" s="1"/>
  <c r="N52" i="22"/>
  <c r="N51" i="22"/>
  <c r="N45" i="22" s="1"/>
  <c r="L40" i="22"/>
  <c r="N26" i="22"/>
  <c r="N25" i="22"/>
  <c r="N19" i="22" s="1"/>
  <c r="L28" i="22"/>
  <c r="M26" i="22"/>
  <c r="M25" i="22"/>
  <c r="K22" i="22"/>
  <c r="K28" i="22" s="1"/>
  <c r="O22" i="22"/>
  <c r="J52" i="22"/>
  <c r="J54" i="22" s="1"/>
  <c r="L45" i="22"/>
  <c r="O27" i="22"/>
  <c r="N57" i="22"/>
  <c r="J45" i="22"/>
  <c r="K53" i="22"/>
  <c r="K45" i="22"/>
  <c r="K48" i="22" s="1"/>
  <c r="L57" i="22"/>
  <c r="N31" i="22"/>
  <c r="L27" i="22"/>
  <c r="N53" i="22" l="1"/>
  <c r="O53" i="22"/>
  <c r="O54" i="22" s="1"/>
  <c r="O55" i="22" s="1"/>
  <c r="O61" i="22" s="1"/>
  <c r="M53" i="22"/>
  <c r="M54" i="22" s="1"/>
  <c r="M55" i="22" s="1"/>
  <c r="M61" i="22" s="1"/>
  <c r="O28" i="22"/>
  <c r="K54" i="22"/>
  <c r="N54" i="22"/>
  <c r="N55" i="22" s="1"/>
  <c r="M27" i="22"/>
  <c r="N28" i="22"/>
  <c r="N27" i="22"/>
  <c r="M19" i="22"/>
  <c r="M22" i="22" s="1"/>
  <c r="N14" i="22"/>
  <c r="J31" i="22"/>
  <c r="J32" i="22" s="1"/>
  <c r="J33" i="22" s="1"/>
  <c r="J53" i="22"/>
  <c r="J14" i="22"/>
  <c r="N58" i="22"/>
  <c r="L58" i="22"/>
  <c r="L55" i="22"/>
  <c r="J57" i="22"/>
  <c r="J40" i="22"/>
  <c r="N32" i="22"/>
  <c r="N33" i="22" s="1"/>
  <c r="D96" i="13"/>
  <c r="E90" i="13"/>
  <c r="E89" i="13"/>
  <c r="D90" i="13"/>
  <c r="E96" i="13" l="1"/>
  <c r="M28" i="22"/>
  <c r="N59" i="22"/>
  <c r="N60" i="22" s="1"/>
  <c r="N61" i="22" s="1"/>
  <c r="N44" i="22" s="1"/>
  <c r="N65" i="22" s="1"/>
  <c r="L59" i="22"/>
  <c r="L60" i="22" s="1"/>
  <c r="L61" i="22" s="1"/>
  <c r="L44" i="22" s="1"/>
  <c r="L65" i="22" s="1"/>
  <c r="L14" i="22"/>
  <c r="L31" i="22"/>
  <c r="L32" i="22" s="1"/>
  <c r="L33" i="22" s="1"/>
  <c r="J58" i="22"/>
  <c r="J55" i="22"/>
  <c r="K55" i="22"/>
  <c r="K61" i="22" s="1"/>
  <c r="E95" i="13"/>
  <c r="J69" i="13"/>
  <c r="K69" i="13" s="1"/>
  <c r="E69" i="13"/>
  <c r="G69" i="13" s="1"/>
  <c r="D69" i="13"/>
  <c r="J59" i="22" l="1"/>
  <c r="J60" i="22" s="1"/>
  <c r="J61" i="22" s="1"/>
  <c r="J44" i="22" s="1"/>
  <c r="J65" i="22" s="1"/>
  <c r="F69" i="13"/>
  <c r="E85" i="13" l="1"/>
  <c r="D85" i="13"/>
  <c r="E80" i="13"/>
  <c r="G80" i="13" s="1"/>
  <c r="D80" i="13"/>
  <c r="J80" i="13"/>
  <c r="K80" i="13" s="1"/>
  <c r="F80" i="13" l="1"/>
  <c r="X44" i="20" l="1"/>
  <c r="C35" i="20" l="1"/>
  <c r="C36" i="20" s="1"/>
  <c r="C37" i="20" s="1"/>
  <c r="C38" i="20" s="1"/>
  <c r="C39" i="20" s="1"/>
  <c r="C40" i="20" s="1"/>
  <c r="C41" i="20" s="1"/>
  <c r="C42" i="20" s="1"/>
  <c r="C43" i="20" s="1"/>
  <c r="I43" i="20"/>
  <c r="K43" i="20"/>
  <c r="N43" i="20" s="1"/>
  <c r="I42" i="20"/>
  <c r="M42" i="20" s="1"/>
  <c r="I41" i="20"/>
  <c r="M41" i="20" s="1"/>
  <c r="K41" i="20"/>
  <c r="N41" i="20" s="1"/>
  <c r="I40" i="20"/>
  <c r="M40" i="20" s="1"/>
  <c r="I39" i="20"/>
  <c r="M39" i="20" s="1"/>
  <c r="K39" i="20"/>
  <c r="N39" i="20" s="1"/>
  <c r="I38" i="20"/>
  <c r="M38" i="20" s="1"/>
  <c r="L39" i="20" l="1"/>
  <c r="L41" i="20"/>
  <c r="L43" i="20"/>
  <c r="K38" i="20"/>
  <c r="N38" i="20" s="1"/>
  <c r="K40" i="20"/>
  <c r="N40" i="20" s="1"/>
  <c r="K42" i="20"/>
  <c r="N42" i="20" s="1"/>
  <c r="J38" i="20"/>
  <c r="J39" i="20"/>
  <c r="J40" i="20"/>
  <c r="J41" i="20"/>
  <c r="J42" i="20"/>
  <c r="J43" i="20"/>
  <c r="L42" i="20" l="1"/>
  <c r="L38" i="20"/>
  <c r="L40" i="20"/>
  <c r="AD42" i="20"/>
  <c r="AE42" i="20"/>
  <c r="AD40" i="20"/>
  <c r="AE40" i="20"/>
  <c r="AD38" i="20"/>
  <c r="AE38" i="20"/>
  <c r="AD43" i="20"/>
  <c r="AE43" i="20"/>
  <c r="AD41" i="20"/>
  <c r="AE41" i="20"/>
  <c r="O41" i="20" s="1"/>
  <c r="AD39" i="20"/>
  <c r="AE39" i="20"/>
  <c r="O39" i="20" s="1"/>
  <c r="A2" i="9"/>
  <c r="AC4" i="9"/>
  <c r="B14" i="9"/>
  <c r="A15" i="9"/>
  <c r="B15" i="9"/>
  <c r="A16" i="9"/>
  <c r="A17" i="9" s="1"/>
  <c r="A18" i="9" s="1"/>
  <c r="A19" i="9" s="1"/>
  <c r="A20" i="9" s="1"/>
  <c r="B17" i="9"/>
  <c r="B18" i="9"/>
  <c r="B19" i="9"/>
  <c r="B20" i="9"/>
  <c r="B21" i="9"/>
  <c r="B22" i="9"/>
  <c r="B23" i="9"/>
  <c r="B24" i="9"/>
  <c r="B25" i="9"/>
  <c r="B26" i="9"/>
  <c r="B27" i="9"/>
  <c r="B28" i="9"/>
  <c r="B29" i="9"/>
  <c r="B30" i="9"/>
  <c r="B31" i="9"/>
  <c r="B32" i="9"/>
  <c r="B33" i="9"/>
  <c r="B34" i="9"/>
  <c r="B35" i="9"/>
  <c r="M43" i="20" l="1"/>
  <c r="O43" i="20" s="1"/>
  <c r="E60" i="19"/>
  <c r="E33" i="19"/>
  <c r="Q39" i="20"/>
  <c r="R39" i="20"/>
  <c r="Q41" i="20"/>
  <c r="R41" i="20"/>
  <c r="P41" i="20"/>
  <c r="P39" i="20"/>
  <c r="A21" i="9"/>
  <c r="W44" i="9"/>
  <c r="O40" i="20"/>
  <c r="O42" i="20"/>
  <c r="O38" i="20"/>
  <c r="F91" i="13" l="1"/>
  <c r="F97" i="13"/>
  <c r="E58" i="19"/>
  <c r="E67" i="19"/>
  <c r="F95" i="13"/>
  <c r="H95" i="13" s="1"/>
  <c r="F89" i="13"/>
  <c r="R43" i="20"/>
  <c r="Q43" i="20"/>
  <c r="P43" i="20"/>
  <c r="E31" i="19"/>
  <c r="Q38" i="20"/>
  <c r="R38" i="20"/>
  <c r="Q40" i="20"/>
  <c r="R40" i="20"/>
  <c r="Q42" i="20"/>
  <c r="R42" i="20"/>
  <c r="T39" i="20"/>
  <c r="T41" i="20"/>
  <c r="P38" i="20"/>
  <c r="P40" i="20"/>
  <c r="P42" i="20"/>
  <c r="A22" i="9"/>
  <c r="H90" i="13"/>
  <c r="H96" i="13"/>
  <c r="T43" i="20" l="1"/>
  <c r="H89" i="13"/>
  <c r="K34" i="20"/>
  <c r="T40" i="20"/>
  <c r="T38" i="20"/>
  <c r="T42" i="20"/>
  <c r="A23" i="9"/>
  <c r="L34" i="20" l="1"/>
  <c r="N34" i="20"/>
  <c r="A24" i="9"/>
  <c r="S8" i="10"/>
  <c r="A25" i="9" l="1"/>
  <c r="E89" i="6"/>
  <c r="F88" i="6"/>
  <c r="F87" i="6"/>
  <c r="G87" i="6" s="1"/>
  <c r="F86" i="6"/>
  <c r="G86" i="6" s="1"/>
  <c r="F85" i="6"/>
  <c r="G85" i="6" s="1"/>
  <c r="F84" i="6"/>
  <c r="F83" i="6"/>
  <c r="G83" i="6" s="1"/>
  <c r="F82" i="6"/>
  <c r="E77" i="6"/>
  <c r="F76" i="6"/>
  <c r="G76" i="6" s="1"/>
  <c r="F75" i="6"/>
  <c r="F71" i="6"/>
  <c r="G71" i="6" s="1"/>
  <c r="F70" i="6"/>
  <c r="G70" i="6" s="1"/>
  <c r="F69" i="6"/>
  <c r="G69" i="6" s="1"/>
  <c r="F68" i="6"/>
  <c r="G68" i="6" s="1"/>
  <c r="F67" i="6"/>
  <c r="F66" i="6"/>
  <c r="G66" i="6" s="1"/>
  <c r="F65" i="6"/>
  <c r="F64" i="6"/>
  <c r="G64" i="6" s="1"/>
  <c r="F63" i="6"/>
  <c r="F62" i="6"/>
  <c r="G62" i="6" s="1"/>
  <c r="F60" i="6"/>
  <c r="G60" i="6" s="1"/>
  <c r="F59" i="6"/>
  <c r="F56" i="6"/>
  <c r="G56" i="6" s="1"/>
  <c r="F55" i="6"/>
  <c r="F44" i="6"/>
  <c r="G44" i="6" s="1"/>
  <c r="F43" i="6"/>
  <c r="G43" i="6" s="1"/>
  <c r="F42" i="6"/>
  <c r="G42" i="6" s="1"/>
  <c r="F41" i="6"/>
  <c r="G41" i="6" s="1"/>
  <c r="F40" i="6"/>
  <c r="F39" i="6"/>
  <c r="F38" i="6"/>
  <c r="G38" i="6" s="1"/>
  <c r="F37" i="6"/>
  <c r="G37" i="6" s="1"/>
  <c r="F36" i="6"/>
  <c r="G36" i="6" s="1"/>
  <c r="F35" i="6"/>
  <c r="F34" i="6"/>
  <c r="G34" i="6" s="1"/>
  <c r="F33" i="6"/>
  <c r="G33" i="6" s="1"/>
  <c r="F32" i="6"/>
  <c r="F31" i="6"/>
  <c r="F30" i="6"/>
  <c r="G30" i="6" s="1"/>
  <c r="F29" i="6"/>
  <c r="F28" i="6"/>
  <c r="F24" i="6"/>
  <c r="G24" i="6" s="1"/>
  <c r="F23" i="6"/>
  <c r="E22" i="6"/>
  <c r="F22" i="6" s="1"/>
  <c r="G22" i="6" s="1"/>
  <c r="E21" i="6"/>
  <c r="F21" i="6" s="1"/>
  <c r="G21" i="6" s="1"/>
  <c r="F72" i="6" l="1"/>
  <c r="F77" i="6"/>
  <c r="F45" i="6"/>
  <c r="A26" i="9"/>
  <c r="F89" i="6"/>
  <c r="K36" i="20"/>
  <c r="N36" i="20" s="1"/>
  <c r="K37" i="20"/>
  <c r="N37" i="20" s="1"/>
  <c r="K35" i="20"/>
  <c r="N35" i="20" s="1"/>
  <c r="A27" i="9" l="1"/>
  <c r="L37" i="20"/>
  <c r="L36" i="20"/>
  <c r="K33" i="20"/>
  <c r="K44" i="20"/>
  <c r="L35" i="20"/>
  <c r="E68" i="13"/>
  <c r="G68" i="13" s="1"/>
  <c r="D68" i="13"/>
  <c r="E79" i="13"/>
  <c r="G79" i="13" s="1"/>
  <c r="D79" i="13"/>
  <c r="E32" i="13"/>
  <c r="E41" i="13"/>
  <c r="A28" i="9" l="1"/>
  <c r="F68" i="13"/>
  <c r="L33" i="20"/>
  <c r="L44" i="20"/>
  <c r="F79" i="13"/>
  <c r="AE50" i="20" l="1"/>
  <c r="AF50" i="20" s="1"/>
  <c r="AE52" i="20"/>
  <c r="AF52" i="20" s="1"/>
  <c r="AE51" i="20"/>
  <c r="AF51" i="20" s="1"/>
  <c r="AE49" i="20"/>
  <c r="AF49" i="20" s="1"/>
  <c r="AE48" i="20"/>
  <c r="AF48" i="20" s="1"/>
  <c r="Y34" i="20"/>
  <c r="A29" i="9"/>
  <c r="N44" i="20"/>
  <c r="Y42" i="20"/>
  <c r="Y40" i="20"/>
  <c r="Y38" i="20"/>
  <c r="Y36" i="20"/>
  <c r="Y43" i="20"/>
  <c r="Y41" i="20"/>
  <c r="Y39" i="20"/>
  <c r="Y37" i="20"/>
  <c r="Y35" i="20"/>
  <c r="U42" i="20"/>
  <c r="V42" i="20" s="1"/>
  <c r="W42" i="20" s="1"/>
  <c r="U39" i="20"/>
  <c r="V39" i="20" s="1"/>
  <c r="W39" i="20" s="1"/>
  <c r="Z39" i="20" s="1"/>
  <c r="U43" i="20"/>
  <c r="V43" i="20" s="1"/>
  <c r="W43" i="20" s="1"/>
  <c r="U40" i="20"/>
  <c r="V40" i="20" s="1"/>
  <c r="W40" i="20" s="1"/>
  <c r="U38" i="20"/>
  <c r="V38" i="20" s="1"/>
  <c r="W38" i="20" s="1"/>
  <c r="U41" i="20"/>
  <c r="V41" i="20" s="1"/>
  <c r="W41" i="20" s="1"/>
  <c r="G44" i="20"/>
  <c r="G33" i="20"/>
  <c r="P170" i="20" l="1"/>
  <c r="AF53" i="20"/>
  <c r="Z38" i="20"/>
  <c r="Z43" i="20"/>
  <c r="AA43" i="20" s="1"/>
  <c r="Z42" i="20"/>
  <c r="AE53" i="20"/>
  <c r="Z41" i="20"/>
  <c r="Z40" i="20"/>
  <c r="A30" i="9"/>
  <c r="Y44" i="20"/>
  <c r="H44" i="20"/>
  <c r="H33" i="20"/>
  <c r="P80" i="20" s="1"/>
  <c r="Q67" i="20" s="1"/>
  <c r="C2" i="20"/>
  <c r="C1" i="20"/>
  <c r="M54" i="20" l="1"/>
  <c r="M55" i="20" s="1"/>
  <c r="X99" i="20" s="1"/>
  <c r="A31" i="9"/>
  <c r="I34" i="20"/>
  <c r="I37" i="20"/>
  <c r="M37" i="20" s="1"/>
  <c r="I35" i="20"/>
  <c r="I36" i="20"/>
  <c r="C49" i="20"/>
  <c r="C50" i="20" s="1"/>
  <c r="C51" i="20" s="1"/>
  <c r="C52" i="20" s="1"/>
  <c r="C53" i="20" s="1"/>
  <c r="C54" i="20" s="1"/>
  <c r="C55" i="20" s="1"/>
  <c r="C57" i="20" s="1"/>
  <c r="C60" i="20" s="1"/>
  <c r="C66" i="20" s="1"/>
  <c r="C67" i="20" s="1"/>
  <c r="C68" i="20" s="1"/>
  <c r="C70" i="20" s="1"/>
  <c r="C71" i="20" s="1"/>
  <c r="J35" i="20" l="1"/>
  <c r="AE35" i="20" s="1"/>
  <c r="M35" i="20"/>
  <c r="J36" i="20"/>
  <c r="AE36" i="20" s="1"/>
  <c r="M36" i="20"/>
  <c r="J37" i="20"/>
  <c r="AD37" i="20" s="1"/>
  <c r="A32" i="9"/>
  <c r="J34" i="20"/>
  <c r="AD34" i="20" s="1"/>
  <c r="I44" i="20"/>
  <c r="I33" i="20"/>
  <c r="AD36" i="20" l="1"/>
  <c r="X101" i="20"/>
  <c r="AE37" i="20"/>
  <c r="O37" i="20" s="1"/>
  <c r="A33" i="9"/>
  <c r="O36" i="20"/>
  <c r="AE34" i="20"/>
  <c r="M34" i="20" s="1"/>
  <c r="R37" i="20" l="1"/>
  <c r="P37" i="20"/>
  <c r="Q37" i="20"/>
  <c r="Q36" i="20"/>
  <c r="R36" i="20"/>
  <c r="P36" i="20"/>
  <c r="A34" i="9"/>
  <c r="E91" i="13"/>
  <c r="S54" i="10"/>
  <c r="G11" i="10"/>
  <c r="M31" i="26" l="1"/>
  <c r="M37" i="26"/>
  <c r="M39" i="26"/>
  <c r="M34" i="26"/>
  <c r="M38" i="26"/>
  <c r="M33" i="26"/>
  <c r="M32" i="26"/>
  <c r="M35" i="26"/>
  <c r="M36" i="26"/>
  <c r="A35" i="9"/>
  <c r="Q53" i="10"/>
  <c r="O53" i="10"/>
  <c r="M53" i="10"/>
  <c r="K53" i="10"/>
  <c r="I53" i="10"/>
  <c r="G53" i="10"/>
  <c r="E53" i="10"/>
  <c r="Q51" i="10"/>
  <c r="O51" i="10"/>
  <c r="M51" i="10"/>
  <c r="K51" i="10"/>
  <c r="I51" i="10"/>
  <c r="G51" i="10"/>
  <c r="E51" i="10"/>
  <c r="Q49" i="10"/>
  <c r="O49" i="10"/>
  <c r="M49" i="10"/>
  <c r="K49" i="10"/>
  <c r="I49" i="10"/>
  <c r="G49" i="10"/>
  <c r="E49" i="10"/>
  <c r="Q47" i="10"/>
  <c r="O47" i="10"/>
  <c r="M47" i="10"/>
  <c r="K47" i="10"/>
  <c r="I47" i="10"/>
  <c r="G47" i="10"/>
  <c r="E47" i="10"/>
  <c r="Q45" i="10"/>
  <c r="O45" i="10"/>
  <c r="M45" i="10"/>
  <c r="K45" i="10"/>
  <c r="I45" i="10"/>
  <c r="G45" i="10"/>
  <c r="E45" i="10"/>
  <c r="Q43" i="10"/>
  <c r="O43" i="10"/>
  <c r="M43" i="10"/>
  <c r="K43" i="10"/>
  <c r="I43" i="10"/>
  <c r="G43" i="10"/>
  <c r="E43" i="10"/>
  <c r="Q41" i="10"/>
  <c r="O41" i="10"/>
  <c r="M41" i="10"/>
  <c r="K41" i="10"/>
  <c r="I41" i="10"/>
  <c r="G41" i="10"/>
  <c r="E41" i="10"/>
  <c r="Q39" i="10"/>
  <c r="O39" i="10"/>
  <c r="M39" i="10"/>
  <c r="K39" i="10"/>
  <c r="I39" i="10"/>
  <c r="G39" i="10"/>
  <c r="E39" i="10"/>
  <c r="Q37" i="10"/>
  <c r="O37" i="10"/>
  <c r="M37" i="10"/>
  <c r="K37" i="10"/>
  <c r="I37" i="10"/>
  <c r="G37" i="10"/>
  <c r="E37" i="10"/>
  <c r="Q35" i="10"/>
  <c r="O35" i="10"/>
  <c r="M35" i="10"/>
  <c r="K35" i="10"/>
  <c r="I35" i="10"/>
  <c r="G35" i="10"/>
  <c r="E35" i="10"/>
  <c r="Q33" i="10"/>
  <c r="O33" i="10"/>
  <c r="M33" i="10"/>
  <c r="K33" i="10"/>
  <c r="I33" i="10"/>
  <c r="G33" i="10"/>
  <c r="E33" i="10"/>
  <c r="Q31" i="10"/>
  <c r="O31" i="10"/>
  <c r="M31" i="10"/>
  <c r="K31" i="10"/>
  <c r="I31" i="10"/>
  <c r="G31" i="10"/>
  <c r="E31" i="10"/>
  <c r="Q29" i="10"/>
  <c r="O29" i="10"/>
  <c r="M29" i="10"/>
  <c r="K29" i="10"/>
  <c r="I29" i="10"/>
  <c r="G29" i="10"/>
  <c r="E29" i="10"/>
  <c r="Q27" i="10"/>
  <c r="O27" i="10"/>
  <c r="M27" i="10"/>
  <c r="K27" i="10"/>
  <c r="I27" i="10"/>
  <c r="G27" i="10"/>
  <c r="E27" i="10"/>
  <c r="Q25" i="10"/>
  <c r="O25" i="10"/>
  <c r="M25" i="10"/>
  <c r="K25" i="10"/>
  <c r="I25" i="10"/>
  <c r="G25" i="10"/>
  <c r="E25" i="10"/>
  <c r="Q23" i="10"/>
  <c r="O23" i="10"/>
  <c r="M23" i="10"/>
  <c r="K23" i="10"/>
  <c r="I23" i="10"/>
  <c r="G23" i="10"/>
  <c r="E23" i="10"/>
  <c r="Q21" i="10"/>
  <c r="O21" i="10"/>
  <c r="M21" i="10"/>
  <c r="K21" i="10"/>
  <c r="I21" i="10"/>
  <c r="G21" i="10"/>
  <c r="E21" i="10"/>
  <c r="Q19" i="10"/>
  <c r="O19" i="10"/>
  <c r="M19" i="10"/>
  <c r="K19" i="10"/>
  <c r="I19" i="10"/>
  <c r="G19" i="10"/>
  <c r="E19" i="10"/>
  <c r="Q17" i="10"/>
  <c r="O17" i="10"/>
  <c r="M17" i="10"/>
  <c r="K17" i="10"/>
  <c r="I17" i="10"/>
  <c r="G17" i="10"/>
  <c r="E17" i="10"/>
  <c r="Q15" i="10"/>
  <c r="O15" i="10"/>
  <c r="M15" i="10"/>
  <c r="K15" i="10"/>
  <c r="I15" i="10"/>
  <c r="G15" i="10"/>
  <c r="E15" i="10"/>
  <c r="Q13" i="10"/>
  <c r="O13" i="10"/>
  <c r="M13" i="10"/>
  <c r="K13" i="10"/>
  <c r="I13" i="10"/>
  <c r="G13" i="10"/>
  <c r="E13" i="10"/>
  <c r="Q11" i="10"/>
  <c r="O11" i="10"/>
  <c r="M11" i="10"/>
  <c r="K11" i="10"/>
  <c r="I11" i="10"/>
  <c r="T13" i="10" l="1"/>
  <c r="D15" i="9" s="1"/>
  <c r="T17" i="10"/>
  <c r="D17" i="9" s="1"/>
  <c r="T21" i="10"/>
  <c r="D19" i="9" s="1"/>
  <c r="T25" i="10"/>
  <c r="D21" i="9" s="1"/>
  <c r="T29" i="10"/>
  <c r="D23" i="9" s="1"/>
  <c r="T33" i="10"/>
  <c r="D25" i="9" s="1"/>
  <c r="T37" i="10"/>
  <c r="D27" i="9" s="1"/>
  <c r="T41" i="10"/>
  <c r="D29" i="9" s="1"/>
  <c r="T45" i="10"/>
  <c r="D31" i="9" s="1"/>
  <c r="T49" i="10"/>
  <c r="D33" i="9" s="1"/>
  <c r="T53" i="10"/>
  <c r="D35" i="9" s="1"/>
  <c r="T11" i="10"/>
  <c r="D14" i="9" s="1"/>
  <c r="E8" i="10"/>
  <c r="T15" i="10"/>
  <c r="D16" i="9" s="1"/>
  <c r="T19" i="10"/>
  <c r="D18" i="9" s="1"/>
  <c r="T23" i="10"/>
  <c r="D20" i="9" s="1"/>
  <c r="T27" i="10"/>
  <c r="D22" i="9" s="1"/>
  <c r="T31" i="10"/>
  <c r="D24" i="9" s="1"/>
  <c r="T35" i="10"/>
  <c r="D26" i="9" s="1"/>
  <c r="T39" i="10"/>
  <c r="D28" i="9" s="1"/>
  <c r="T43" i="10"/>
  <c r="D30" i="9" s="1"/>
  <c r="T47" i="10"/>
  <c r="D32" i="9" s="1"/>
  <c r="T51" i="10"/>
  <c r="D34" i="9" s="1"/>
  <c r="M8" i="10"/>
  <c r="Q8" i="10"/>
  <c r="O8" i="10"/>
  <c r="K8" i="10"/>
  <c r="I8" i="10"/>
  <c r="D36" i="9" l="1"/>
  <c r="S42" i="9" s="1"/>
  <c r="T8" i="10"/>
  <c r="E54" i="10"/>
  <c r="Q54" i="10"/>
  <c r="O54" i="10"/>
  <c r="M54" i="10"/>
  <c r="K54" i="10"/>
  <c r="E53" i="19"/>
  <c r="F55" i="19" s="1"/>
  <c r="T9" i="10" l="1"/>
  <c r="F61" i="19"/>
  <c r="F59" i="19"/>
  <c r="S43" i="9"/>
  <c r="S44" i="9"/>
  <c r="I43" i="9"/>
  <c r="T55" i="10"/>
  <c r="G54" i="10"/>
  <c r="G8" i="10"/>
  <c r="I54" i="10"/>
  <c r="E26" i="19"/>
  <c r="F28" i="19" s="1"/>
  <c r="A2" i="18"/>
  <c r="A2" i="19"/>
  <c r="A2" i="6"/>
  <c r="A2" i="10"/>
  <c r="C1" i="15"/>
  <c r="B1" i="13"/>
  <c r="A1" i="18"/>
  <c r="D1" i="19"/>
  <c r="A1" i="6"/>
  <c r="A1" i="10"/>
  <c r="F34" i="19" l="1"/>
  <c r="F32" i="19"/>
  <c r="S45" i="9"/>
  <c r="E34" i="13"/>
  <c r="E35" i="13"/>
  <c r="E36" i="13"/>
  <c r="E37" i="13"/>
  <c r="E38" i="13"/>
  <c r="E39" i="13"/>
  <c r="E40" i="13"/>
  <c r="E43" i="13"/>
  <c r="E33" i="13"/>
  <c r="E11" i="13"/>
  <c r="E12" i="13"/>
  <c r="E13" i="13"/>
  <c r="E14" i="13"/>
  <c r="E15" i="13"/>
  <c r="E16" i="13"/>
  <c r="E17" i="13"/>
  <c r="AD35" i="20" s="1"/>
  <c r="E18" i="13"/>
  <c r="E19" i="13"/>
  <c r="E20" i="13"/>
  <c r="E21" i="13"/>
  <c r="E22" i="13"/>
  <c r="E23" i="13"/>
  <c r="E24" i="13"/>
  <c r="E25" i="13"/>
  <c r="E26" i="13"/>
  <c r="E27" i="13"/>
  <c r="E28" i="13"/>
  <c r="E29" i="13"/>
  <c r="E30" i="13"/>
  <c r="E10" i="13"/>
  <c r="J35" i="6" l="1"/>
  <c r="I35" i="6"/>
  <c r="E74" i="13" l="1"/>
  <c r="G74" i="13" s="1"/>
  <c r="E53" i="13"/>
  <c r="G53" i="13" s="1"/>
  <c r="D72" i="13"/>
  <c r="E81" i="13" l="1"/>
  <c r="G81" i="13" s="1"/>
  <c r="D81" i="13"/>
  <c r="E78" i="13"/>
  <c r="G78" i="13" s="1"/>
  <c r="D78" i="13"/>
  <c r="E77" i="13"/>
  <c r="G77" i="13" s="1"/>
  <c r="D77" i="13"/>
  <c r="E76" i="13"/>
  <c r="G76" i="13" s="1"/>
  <c r="D76" i="13"/>
  <c r="E75" i="13"/>
  <c r="G75" i="13" s="1"/>
  <c r="D75" i="13"/>
  <c r="D74" i="13"/>
  <c r="E73" i="13"/>
  <c r="G73" i="13" s="1"/>
  <c r="D73" i="13"/>
  <c r="E72" i="13"/>
  <c r="G72" i="13" s="1"/>
  <c r="E71" i="13"/>
  <c r="G71" i="13" s="1"/>
  <c r="D71" i="13"/>
  <c r="L82" i="15"/>
  <c r="L81" i="15"/>
  <c r="L80" i="15"/>
  <c r="L79" i="15"/>
  <c r="L78" i="15"/>
  <c r="L77" i="15"/>
  <c r="L76" i="15"/>
  <c r="L75" i="15"/>
  <c r="L74" i="15"/>
  <c r="L73" i="15"/>
  <c r="L72" i="15"/>
  <c r="L71" i="15"/>
  <c r="L70" i="15"/>
  <c r="L69" i="15"/>
  <c r="L68" i="15"/>
  <c r="L67" i="15"/>
  <c r="L66" i="15"/>
  <c r="L65" i="15"/>
  <c r="L51" i="15"/>
  <c r="L50" i="15"/>
  <c r="L49" i="15"/>
  <c r="L48" i="15"/>
  <c r="L47" i="15"/>
  <c r="L46" i="15"/>
  <c r="L45" i="15"/>
  <c r="L44" i="15"/>
  <c r="L43" i="15"/>
  <c r="L42" i="15"/>
  <c r="L41" i="15"/>
  <c r="L40" i="15"/>
  <c r="L39" i="15"/>
  <c r="L38" i="15"/>
  <c r="L37" i="15"/>
  <c r="L36" i="15"/>
  <c r="L35" i="15"/>
  <c r="L34" i="15"/>
  <c r="H79" i="13" l="1"/>
  <c r="I79" i="13"/>
  <c r="F71" i="13"/>
  <c r="I71" i="13" s="1"/>
  <c r="F72" i="13"/>
  <c r="I72" i="13" s="1"/>
  <c r="F74" i="13"/>
  <c r="I74" i="13" s="1"/>
  <c r="F76" i="13"/>
  <c r="I76" i="13" s="1"/>
  <c r="F78" i="13"/>
  <c r="I78" i="13" s="1"/>
  <c r="F81" i="13"/>
  <c r="H71" i="13"/>
  <c r="H72" i="13"/>
  <c r="H78" i="13"/>
  <c r="F73" i="13"/>
  <c r="F77" i="13"/>
  <c r="F75" i="13"/>
  <c r="J79" i="13" l="1"/>
  <c r="K79" i="13" s="1"/>
  <c r="L79" i="13" s="1"/>
  <c r="N79" i="13" s="1"/>
  <c r="J81" i="13"/>
  <c r="K81" i="13" s="1"/>
  <c r="L81" i="13" s="1"/>
  <c r="N81" i="13" s="1"/>
  <c r="H76" i="13"/>
  <c r="J76" i="13" s="1"/>
  <c r="K76" i="13" s="1"/>
  <c r="L76" i="13" s="1"/>
  <c r="N76" i="13" s="1"/>
  <c r="H74" i="13"/>
  <c r="J74" i="13" s="1"/>
  <c r="K74" i="13" s="1"/>
  <c r="L74" i="13" s="1"/>
  <c r="N74" i="13" s="1"/>
  <c r="J72" i="13"/>
  <c r="K72" i="13" s="1"/>
  <c r="L72" i="13" s="1"/>
  <c r="N72" i="13" s="1"/>
  <c r="J71" i="13"/>
  <c r="K71" i="13" s="1"/>
  <c r="L71" i="13" s="1"/>
  <c r="N71" i="13" s="1"/>
  <c r="I73" i="13"/>
  <c r="H73" i="13"/>
  <c r="I75" i="13"/>
  <c r="H75" i="13"/>
  <c r="I77" i="13"/>
  <c r="H77" i="13"/>
  <c r="J78" i="13"/>
  <c r="K78" i="13" s="1"/>
  <c r="L78" i="13" s="1"/>
  <c r="N78" i="13" s="1"/>
  <c r="J73" i="13" l="1"/>
  <c r="K73" i="13" s="1"/>
  <c r="L73" i="13" s="1"/>
  <c r="L80" i="13" s="1"/>
  <c r="N80" i="13" s="1"/>
  <c r="J75" i="13"/>
  <c r="K75" i="13" s="1"/>
  <c r="L75" i="13" s="1"/>
  <c r="N75" i="13" s="1"/>
  <c r="J77" i="13"/>
  <c r="K77" i="13" s="1"/>
  <c r="L77" i="13" s="1"/>
  <c r="N77" i="13" s="1"/>
  <c r="G85" i="13"/>
  <c r="E70" i="13"/>
  <c r="G70" i="13" s="1"/>
  <c r="D70" i="13"/>
  <c r="E67" i="13"/>
  <c r="G67" i="13" s="1"/>
  <c r="D67" i="13"/>
  <c r="E66" i="13"/>
  <c r="G66" i="13" s="1"/>
  <c r="D66" i="13"/>
  <c r="E65" i="13"/>
  <c r="G65" i="13" s="1"/>
  <c r="D65" i="13"/>
  <c r="E64" i="13"/>
  <c r="G64" i="13" s="1"/>
  <c r="D64" i="13"/>
  <c r="E63" i="13"/>
  <c r="G63" i="13" s="1"/>
  <c r="D63" i="13"/>
  <c r="E62" i="13"/>
  <c r="G62" i="13" s="1"/>
  <c r="D62" i="13"/>
  <c r="E61" i="13"/>
  <c r="G61" i="13" s="1"/>
  <c r="D61" i="13"/>
  <c r="E60" i="13"/>
  <c r="G60" i="13" s="1"/>
  <c r="D60" i="13"/>
  <c r="E59" i="13"/>
  <c r="G59" i="13" s="1"/>
  <c r="D59" i="13"/>
  <c r="E58" i="13"/>
  <c r="G58" i="13" s="1"/>
  <c r="D58" i="13"/>
  <c r="E57" i="13"/>
  <c r="G57" i="13" s="1"/>
  <c r="D57" i="13"/>
  <c r="E56" i="13"/>
  <c r="G56" i="13" s="1"/>
  <c r="D56" i="13"/>
  <c r="E55" i="13"/>
  <c r="G55" i="13" s="1"/>
  <c r="D55" i="13"/>
  <c r="E54" i="13"/>
  <c r="G54" i="13" s="1"/>
  <c r="D54" i="13"/>
  <c r="D53" i="13"/>
  <c r="E52" i="13"/>
  <c r="G52" i="13" s="1"/>
  <c r="D52" i="13"/>
  <c r="E51" i="13"/>
  <c r="G51" i="13" s="1"/>
  <c r="D51" i="13"/>
  <c r="G50" i="13"/>
  <c r="D50" i="13"/>
  <c r="E49" i="13"/>
  <c r="G49" i="13" s="1"/>
  <c r="D49" i="13"/>
  <c r="D48" i="13"/>
  <c r="E48" i="13"/>
  <c r="G48" i="13" s="1"/>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N73" i="13" l="1"/>
  <c r="H68" i="13"/>
  <c r="I68" i="13"/>
  <c r="F85" i="13"/>
  <c r="H85" i="13" s="1"/>
  <c r="F58" i="13"/>
  <c r="I58" i="13" s="1"/>
  <c r="F59" i="13"/>
  <c r="I59" i="13" s="1"/>
  <c r="F60" i="13"/>
  <c r="I60" i="13" s="1"/>
  <c r="F61" i="13"/>
  <c r="I61" i="13" s="1"/>
  <c r="F62" i="13"/>
  <c r="I62" i="13" s="1"/>
  <c r="F63" i="13"/>
  <c r="I63" i="13" s="1"/>
  <c r="F64" i="13"/>
  <c r="I64" i="13" s="1"/>
  <c r="F65" i="13"/>
  <c r="I65" i="13" s="1"/>
  <c r="F66" i="13"/>
  <c r="I66" i="13" s="1"/>
  <c r="F67" i="13"/>
  <c r="I67" i="13" s="1"/>
  <c r="F70" i="13"/>
  <c r="F50" i="13"/>
  <c r="H50" i="13" s="1"/>
  <c r="F51" i="13"/>
  <c r="H51" i="13" s="1"/>
  <c r="F52" i="13"/>
  <c r="F53" i="13"/>
  <c r="H53" i="13" s="1"/>
  <c r="F54" i="13"/>
  <c r="H54" i="13" s="1"/>
  <c r="F55" i="13"/>
  <c r="H55" i="13" s="1"/>
  <c r="F56" i="13"/>
  <c r="H56" i="13" s="1"/>
  <c r="F57" i="13"/>
  <c r="H57" i="13" s="1"/>
  <c r="F49" i="13"/>
  <c r="H49" i="13" s="1"/>
  <c r="H58" i="13"/>
  <c r="H65" i="13"/>
  <c r="F48" i="13"/>
  <c r="H48" i="13" s="1"/>
  <c r="J68" i="13" l="1"/>
  <c r="K68" i="13" s="1"/>
  <c r="L68" i="13" s="1"/>
  <c r="N68" i="13" s="1"/>
  <c r="H52" i="13"/>
  <c r="I52" i="13"/>
  <c r="I85" i="13"/>
  <c r="I51" i="13"/>
  <c r="H66" i="13"/>
  <c r="H61" i="13"/>
  <c r="H67" i="13"/>
  <c r="H62" i="13"/>
  <c r="H63" i="13"/>
  <c r="H59" i="13"/>
  <c r="I49" i="13"/>
  <c r="I50" i="13"/>
  <c r="I55" i="13"/>
  <c r="I53" i="13"/>
  <c r="H64" i="13"/>
  <c r="H60" i="13"/>
  <c r="I57" i="13"/>
  <c r="I56" i="13"/>
  <c r="I54" i="13"/>
  <c r="I48" i="13"/>
  <c r="J52" i="13" l="1"/>
  <c r="B36" i="18"/>
  <c r="B37" i="18"/>
  <c r="B38" i="18"/>
  <c r="B35" i="18"/>
  <c r="G17" i="18" l="1"/>
  <c r="G16" i="18"/>
  <c r="A17" i="18"/>
  <c r="F35" i="18"/>
  <c r="F37" i="18" l="1"/>
  <c r="F38" i="18"/>
  <c r="F36" i="18"/>
  <c r="A22" i="18"/>
  <c r="A23" i="18" s="1"/>
  <c r="A24" i="18" s="1"/>
  <c r="A25" i="18" s="1"/>
  <c r="A26" i="18" s="1"/>
  <c r="A27" i="18" s="1"/>
  <c r="A28" i="18" s="1"/>
  <c r="A29" i="18" s="1"/>
  <c r="A30" i="18" s="1"/>
  <c r="A31" i="18" s="1"/>
  <c r="A32" i="18" s="1"/>
  <c r="A33" i="18" s="1"/>
  <c r="A34" i="18" s="1"/>
  <c r="A35" i="18" s="1"/>
  <c r="A36" i="18" s="1"/>
  <c r="A37" i="18" s="1"/>
  <c r="A38" i="18" s="1"/>
  <c r="A39" i="18" s="1"/>
  <c r="N31" i="26" l="1"/>
  <c r="N33" i="26"/>
  <c r="N39" i="26"/>
  <c r="N37" i="26"/>
  <c r="N35" i="26"/>
  <c r="N32" i="26"/>
  <c r="N34" i="26"/>
  <c r="N36" i="26"/>
  <c r="N38" i="26"/>
  <c r="H91" i="13"/>
  <c r="H97" i="13"/>
  <c r="T36" i="20" l="1"/>
  <c r="T37" i="20"/>
  <c r="E97" i="13"/>
  <c r="J91" i="13"/>
  <c r="AD4" i="10" l="1"/>
  <c r="J89" i="13"/>
  <c r="J90" i="13"/>
  <c r="K35" i="6"/>
  <c r="U10" i="10"/>
  <c r="U52" i="10"/>
  <c r="V52" i="10" s="1"/>
  <c r="U48" i="10"/>
  <c r="V48" i="10" s="1"/>
  <c r="U42" i="10"/>
  <c r="V42" i="10" s="1"/>
  <c r="U38" i="10"/>
  <c r="V38" i="10" s="1"/>
  <c r="U34" i="10"/>
  <c r="V34" i="10" s="1"/>
  <c r="U30" i="10"/>
  <c r="V30" i="10" s="1"/>
  <c r="U24" i="10"/>
  <c r="V24" i="10" s="1"/>
  <c r="U50" i="10"/>
  <c r="V50" i="10" s="1"/>
  <c r="U46" i="10"/>
  <c r="V46" i="10" s="1"/>
  <c r="U44" i="10"/>
  <c r="V44" i="10" s="1"/>
  <c r="U40" i="10"/>
  <c r="V40" i="10" s="1"/>
  <c r="U36" i="10"/>
  <c r="V36" i="10" s="1"/>
  <c r="U32" i="10"/>
  <c r="V32" i="10" s="1"/>
  <c r="U26" i="10"/>
  <c r="V26" i="10" s="1"/>
  <c r="U28" i="10"/>
  <c r="V28" i="10" s="1"/>
  <c r="U20" i="10"/>
  <c r="U12" i="10"/>
  <c r="U16" i="10"/>
  <c r="U18" i="10"/>
  <c r="U22" i="10"/>
  <c r="V22" i="10" s="1"/>
  <c r="U14" i="10"/>
  <c r="T54" i="10"/>
  <c r="AD10" i="10" l="1"/>
  <c r="AA10" i="10" s="1"/>
  <c r="F105" i="6"/>
  <c r="AD18" i="10"/>
  <c r="AA18" i="10" s="1"/>
  <c r="C23" i="9"/>
  <c r="AD28" i="10"/>
  <c r="AA28" i="10" s="1"/>
  <c r="C25" i="9"/>
  <c r="F25" i="9" s="1"/>
  <c r="V25" i="9" s="1"/>
  <c r="P25" i="9"/>
  <c r="AD32" i="10"/>
  <c r="AA32" i="10" s="1"/>
  <c r="C29" i="9"/>
  <c r="F29" i="9" s="1"/>
  <c r="V29" i="9" s="1"/>
  <c r="AD40" i="10"/>
  <c r="AA40" i="10" s="1"/>
  <c r="C32" i="9"/>
  <c r="F32" i="9" s="1"/>
  <c r="V32" i="9" s="1"/>
  <c r="AD46" i="10"/>
  <c r="AA46" i="10" s="1"/>
  <c r="AD24" i="10"/>
  <c r="AA24" i="10" s="1"/>
  <c r="AD34" i="10"/>
  <c r="AA34" i="10" s="1"/>
  <c r="AD42" i="10"/>
  <c r="AA42" i="10" s="1"/>
  <c r="AD52" i="10"/>
  <c r="AA52" i="10" s="1"/>
  <c r="C20" i="9"/>
  <c r="AD22" i="10"/>
  <c r="AA22" i="10" s="1"/>
  <c r="C19" i="9"/>
  <c r="AD20" i="10"/>
  <c r="AA20" i="10" s="1"/>
  <c r="C22" i="9"/>
  <c r="AD26" i="10"/>
  <c r="AA26" i="10" s="1"/>
  <c r="C27" i="9"/>
  <c r="F27" i="9" s="1"/>
  <c r="V27" i="9" s="1"/>
  <c r="AD36" i="10"/>
  <c r="AA36" i="10" s="1"/>
  <c r="C31" i="9"/>
  <c r="F31" i="9" s="1"/>
  <c r="V31" i="9" s="1"/>
  <c r="AD44" i="10"/>
  <c r="AA44" i="10" s="1"/>
  <c r="C34" i="9"/>
  <c r="F34" i="9" s="1"/>
  <c r="V34" i="9" s="1"/>
  <c r="AD50" i="10"/>
  <c r="AA50" i="10" s="1"/>
  <c r="C24" i="9"/>
  <c r="AD30" i="10"/>
  <c r="AA30" i="10" s="1"/>
  <c r="C28" i="9"/>
  <c r="F28" i="9" s="1"/>
  <c r="V28" i="9" s="1"/>
  <c r="AD38" i="10"/>
  <c r="AA38" i="10" s="1"/>
  <c r="C33" i="9"/>
  <c r="F33" i="9" s="1"/>
  <c r="V33" i="9" s="1"/>
  <c r="AD48" i="10"/>
  <c r="AA48" i="10" s="1"/>
  <c r="W10" i="10"/>
  <c r="AC10" i="10" s="1"/>
  <c r="AD14" i="10"/>
  <c r="AA14" i="10" s="1"/>
  <c r="AD16" i="10"/>
  <c r="AA16" i="10" s="1"/>
  <c r="AD12" i="10"/>
  <c r="AA12" i="10" s="1"/>
  <c r="C17" i="9"/>
  <c r="C16" i="9"/>
  <c r="C15" i="9"/>
  <c r="C14" i="9"/>
  <c r="C18" i="9"/>
  <c r="C21" i="9"/>
  <c r="C26" i="9"/>
  <c r="F26" i="9" s="1"/>
  <c r="V26" i="9" s="1"/>
  <c r="C30" i="9"/>
  <c r="F30" i="9" s="1"/>
  <c r="V30" i="9" s="1"/>
  <c r="C35" i="9"/>
  <c r="W22" i="10"/>
  <c r="W16" i="10"/>
  <c r="W20" i="10"/>
  <c r="W26" i="10"/>
  <c r="W36" i="10"/>
  <c r="W44" i="10"/>
  <c r="W50" i="10"/>
  <c r="W30" i="10"/>
  <c r="W38" i="10"/>
  <c r="W48" i="10"/>
  <c r="U8" i="10"/>
  <c r="W14" i="10"/>
  <c r="AC14" i="10" s="1"/>
  <c r="W18" i="10"/>
  <c r="W12" i="10"/>
  <c r="W28" i="10"/>
  <c r="W32" i="10"/>
  <c r="W40" i="10"/>
  <c r="W46" i="10"/>
  <c r="W24" i="10"/>
  <c r="W34" i="10"/>
  <c r="W42" i="10"/>
  <c r="W52" i="10"/>
  <c r="V14" i="10" l="1"/>
  <c r="P16" i="9" s="1"/>
  <c r="V12" i="10"/>
  <c r="V20" i="10"/>
  <c r="X20" i="10" s="1"/>
  <c r="Y20" i="10" s="1"/>
  <c r="V18" i="10"/>
  <c r="X18" i="10" s="1"/>
  <c r="Y18" i="10" s="1"/>
  <c r="V16" i="10"/>
  <c r="P17" i="9" s="1"/>
  <c r="X12" i="10"/>
  <c r="Y12" i="10" s="1"/>
  <c r="V10" i="10"/>
  <c r="X10" i="10" s="1"/>
  <c r="Y10" i="10" s="1"/>
  <c r="AD21" i="9"/>
  <c r="F21" i="9"/>
  <c r="V21" i="9" s="1"/>
  <c r="AD16" i="9"/>
  <c r="AD22" i="9"/>
  <c r="F22" i="9"/>
  <c r="V22" i="9" s="1"/>
  <c r="AD19" i="9"/>
  <c r="AD20" i="9"/>
  <c r="F20" i="9"/>
  <c r="V20" i="9" s="1"/>
  <c r="AD18" i="9"/>
  <c r="AD15" i="9"/>
  <c r="AD17" i="9"/>
  <c r="AD24" i="9"/>
  <c r="F24" i="9"/>
  <c r="V24" i="9" s="1"/>
  <c r="AD23" i="9"/>
  <c r="F23" i="9"/>
  <c r="V23" i="9" s="1"/>
  <c r="AD35" i="9"/>
  <c r="AD14" i="9"/>
  <c r="AD30" i="9"/>
  <c r="AD33" i="9"/>
  <c r="AD34" i="9"/>
  <c r="AD27" i="9"/>
  <c r="AD29" i="9"/>
  <c r="AD26" i="9"/>
  <c r="AD28" i="9"/>
  <c r="AD31" i="9"/>
  <c r="AD32" i="9"/>
  <c r="AD25" i="9"/>
  <c r="X30" i="10"/>
  <c r="Y30" i="10" s="1"/>
  <c r="X28" i="10"/>
  <c r="Y28" i="10" s="1"/>
  <c r="F74" i="22"/>
  <c r="P22" i="9"/>
  <c r="X52" i="10"/>
  <c r="Y52" i="10" s="1"/>
  <c r="X24" i="10"/>
  <c r="Y24" i="10" s="1"/>
  <c r="X22" i="10"/>
  <c r="Y22" i="10" s="1"/>
  <c r="L30" i="9"/>
  <c r="O28" i="9"/>
  <c r="L28" i="9"/>
  <c r="O34" i="9"/>
  <c r="L34" i="9"/>
  <c r="L27" i="9"/>
  <c r="O32" i="9"/>
  <c r="L32" i="9"/>
  <c r="L25" i="9"/>
  <c r="L26" i="9"/>
  <c r="L33" i="9"/>
  <c r="L31" i="9"/>
  <c r="L29" i="9"/>
  <c r="Z10" i="10"/>
  <c r="O29" i="9"/>
  <c r="G34" i="9"/>
  <c r="AF34" i="9" s="1"/>
  <c r="AH34" i="9" s="1"/>
  <c r="I31" i="9"/>
  <c r="O33" i="9"/>
  <c r="X40" i="10"/>
  <c r="Y40" i="10" s="1"/>
  <c r="I33" i="9"/>
  <c r="O31" i="9"/>
  <c r="I29" i="9"/>
  <c r="X34" i="10"/>
  <c r="Y34" i="10" s="1"/>
  <c r="G28" i="9"/>
  <c r="G27" i="9"/>
  <c r="I27" i="9"/>
  <c r="I25" i="9"/>
  <c r="X48" i="10"/>
  <c r="Y48" i="10" s="1"/>
  <c r="X26" i="10"/>
  <c r="Y26" i="10" s="1"/>
  <c r="G33" i="9"/>
  <c r="G31" i="9"/>
  <c r="AF31" i="9" s="1"/>
  <c r="AH31" i="9" s="1"/>
  <c r="G29" i="9"/>
  <c r="S33" i="9"/>
  <c r="S31" i="9"/>
  <c r="S29" i="9"/>
  <c r="X38" i="10"/>
  <c r="Y38" i="10" s="1"/>
  <c r="X50" i="10"/>
  <c r="Y50" i="10" s="1"/>
  <c r="X44" i="10"/>
  <c r="Y44" i="10" s="1"/>
  <c r="X36" i="10"/>
  <c r="Y36" i="10" s="1"/>
  <c r="X42" i="10"/>
  <c r="Y42" i="10" s="1"/>
  <c r="X46" i="10"/>
  <c r="Y46" i="10" s="1"/>
  <c r="X32" i="10"/>
  <c r="Y32" i="10" s="1"/>
  <c r="S28" i="9"/>
  <c r="S34" i="9"/>
  <c r="O27" i="9"/>
  <c r="S32" i="9"/>
  <c r="O25" i="9"/>
  <c r="G32" i="9"/>
  <c r="G25" i="9"/>
  <c r="AF25" i="9" s="1"/>
  <c r="AH25" i="9" s="1"/>
  <c r="AC14" i="9"/>
  <c r="I28" i="9"/>
  <c r="I34" i="9"/>
  <c r="S27" i="9"/>
  <c r="I32" i="9"/>
  <c r="S25" i="9"/>
  <c r="Z48" i="10"/>
  <c r="AC33" i="9"/>
  <c r="Z30" i="10"/>
  <c r="AC24" i="9"/>
  <c r="Z44" i="10"/>
  <c r="AC31" i="9"/>
  <c r="Z26" i="10"/>
  <c r="AC22" i="9"/>
  <c r="Z22" i="10"/>
  <c r="AC20" i="9"/>
  <c r="Z40" i="10"/>
  <c r="AC29" i="9"/>
  <c r="Z28" i="10"/>
  <c r="AC23" i="9"/>
  <c r="Z38" i="10"/>
  <c r="AC28" i="9"/>
  <c r="Z50" i="10"/>
  <c r="AC34" i="9"/>
  <c r="Z36" i="10"/>
  <c r="AC27" i="9"/>
  <c r="Z20" i="10"/>
  <c r="AC19" i="9"/>
  <c r="Z52" i="10"/>
  <c r="AC35" i="9"/>
  <c r="Z42" i="10"/>
  <c r="AC30" i="9"/>
  <c r="Z34" i="10"/>
  <c r="AC26" i="9"/>
  <c r="Z24" i="10"/>
  <c r="AC21" i="9"/>
  <c r="Z46" i="10"/>
  <c r="AC32" i="9"/>
  <c r="Z32" i="10"/>
  <c r="AC25" i="9"/>
  <c r="Z18" i="10"/>
  <c r="AC18" i="9"/>
  <c r="Z12" i="10"/>
  <c r="Z14" i="10"/>
  <c r="O26" i="9"/>
  <c r="S26" i="9"/>
  <c r="I26" i="9"/>
  <c r="O30" i="9"/>
  <c r="S30" i="9"/>
  <c r="I30" i="9"/>
  <c r="AC16" i="9"/>
  <c r="AC17" i="9"/>
  <c r="Z16" i="10"/>
  <c r="AC15" i="9"/>
  <c r="C36" i="9"/>
  <c r="C10" i="9" s="1"/>
  <c r="AC52" i="10"/>
  <c r="E35" i="9"/>
  <c r="AB35" i="9" s="1"/>
  <c r="F35" i="9" s="1"/>
  <c r="V35" i="9" s="1"/>
  <c r="AC34" i="10"/>
  <c r="E26" i="9"/>
  <c r="AB26" i="9" s="1"/>
  <c r="AC42" i="10"/>
  <c r="E30" i="9"/>
  <c r="AB30" i="9" s="1"/>
  <c r="AC24" i="10"/>
  <c r="E21" i="9"/>
  <c r="AB21" i="9" s="1"/>
  <c r="AC46" i="10"/>
  <c r="E32" i="9"/>
  <c r="AB32" i="9" s="1"/>
  <c r="AC40" i="10"/>
  <c r="E29" i="9"/>
  <c r="AB29" i="9" s="1"/>
  <c r="AC32" i="10"/>
  <c r="E25" i="9"/>
  <c r="AB25" i="9" s="1"/>
  <c r="AC28" i="10"/>
  <c r="E23" i="9"/>
  <c r="AB23" i="9" s="1"/>
  <c r="AC18" i="10"/>
  <c r="E18" i="9"/>
  <c r="AB18" i="9" s="1"/>
  <c r="F18" i="9" s="1"/>
  <c r="V18" i="9" s="1"/>
  <c r="E14" i="9"/>
  <c r="AB14" i="9" s="1"/>
  <c r="AC16" i="10"/>
  <c r="E17" i="9"/>
  <c r="AB17" i="9" s="1"/>
  <c r="AC12" i="10"/>
  <c r="E15" i="9"/>
  <c r="AB15" i="9" s="1"/>
  <c r="E16" i="9"/>
  <c r="AB16" i="9" s="1"/>
  <c r="AC48" i="10"/>
  <c r="E33" i="9"/>
  <c r="AB33" i="9" s="1"/>
  <c r="AC38" i="10"/>
  <c r="E28" i="9"/>
  <c r="AB28" i="9" s="1"/>
  <c r="AC30" i="10"/>
  <c r="E24" i="9"/>
  <c r="AB24" i="9" s="1"/>
  <c r="AC50" i="10"/>
  <c r="E34" i="9"/>
  <c r="AB34" i="9" s="1"/>
  <c r="AC44" i="10"/>
  <c r="E31" i="9"/>
  <c r="AB31" i="9" s="1"/>
  <c r="AC36" i="10"/>
  <c r="E27" i="9"/>
  <c r="AB27" i="9" s="1"/>
  <c r="AC26" i="10"/>
  <c r="E22" i="9"/>
  <c r="AB22" i="9" s="1"/>
  <c r="AC20" i="10"/>
  <c r="E19" i="9"/>
  <c r="AB19" i="9" s="1"/>
  <c r="AC22" i="10"/>
  <c r="E20" i="9"/>
  <c r="AB20" i="9" s="1"/>
  <c r="G30" i="9"/>
  <c r="AF30" i="9" s="1"/>
  <c r="AH30" i="9" s="1"/>
  <c r="G26" i="9"/>
  <c r="AF26" i="9" s="1"/>
  <c r="AH26" i="9" s="1"/>
  <c r="P30" i="9"/>
  <c r="P32" i="9"/>
  <c r="P29" i="9"/>
  <c r="P26" i="9"/>
  <c r="P33" i="9"/>
  <c r="P28" i="9"/>
  <c r="P34" i="9"/>
  <c r="P31" i="9"/>
  <c r="P27" i="9"/>
  <c r="J85" i="13"/>
  <c r="K85" i="13" s="1"/>
  <c r="V10" i="9" l="1"/>
  <c r="AG10" i="9" s="1"/>
  <c r="AI10" i="9" s="1"/>
  <c r="AF32" i="9"/>
  <c r="AH32" i="9" s="1"/>
  <c r="AF29" i="9"/>
  <c r="AH29" i="9" s="1"/>
  <c r="AF33" i="9"/>
  <c r="AH33" i="9" s="1"/>
  <c r="AF28" i="9"/>
  <c r="AH28" i="9" s="1"/>
  <c r="H27" i="9"/>
  <c r="AF27" i="9"/>
  <c r="AH27" i="9" s="1"/>
  <c r="AD38" i="9"/>
  <c r="D69" i="29" s="1"/>
  <c r="F10" i="9"/>
  <c r="D10" i="9"/>
  <c r="P24" i="9"/>
  <c r="X14" i="10"/>
  <c r="Y14" i="10" s="1"/>
  <c r="P23" i="9"/>
  <c r="C90" i="22"/>
  <c r="C85" i="22"/>
  <c r="D85" i="22"/>
  <c r="D92" i="22" s="1"/>
  <c r="O23" i="9"/>
  <c r="L23" i="9"/>
  <c r="G23" i="9"/>
  <c r="S23" i="9"/>
  <c r="J28" i="9"/>
  <c r="K28" i="9" s="1"/>
  <c r="P14" i="9"/>
  <c r="P21" i="9"/>
  <c r="P20" i="9"/>
  <c r="P35" i="9"/>
  <c r="S35" i="9"/>
  <c r="L35" i="9"/>
  <c r="O35" i="9"/>
  <c r="G35" i="9"/>
  <c r="AF35" i="9" s="1"/>
  <c r="AH35" i="9" s="1"/>
  <c r="P19" i="9"/>
  <c r="P18" i="9"/>
  <c r="J27" i="9"/>
  <c r="K27" i="9" s="1"/>
  <c r="H25" i="9"/>
  <c r="H29" i="9"/>
  <c r="J31" i="9"/>
  <c r="K31" i="9" s="1"/>
  <c r="M33" i="9"/>
  <c r="N33" i="9" s="1"/>
  <c r="H28" i="9"/>
  <c r="H34" i="9"/>
  <c r="M32" i="9"/>
  <c r="N32" i="9" s="1"/>
  <c r="M27" i="9"/>
  <c r="N27" i="9" s="1"/>
  <c r="Q34" i="9"/>
  <c r="AG34" i="9" s="1"/>
  <c r="AI34" i="9" s="1"/>
  <c r="J34" i="9"/>
  <c r="K34" i="9" s="1"/>
  <c r="L10" i="9"/>
  <c r="M28" i="9"/>
  <c r="N28" i="9" s="1"/>
  <c r="Q33" i="9"/>
  <c r="AG33" i="9" s="1"/>
  <c r="AI33" i="9" s="1"/>
  <c r="Q29" i="9"/>
  <c r="H33" i="9"/>
  <c r="J32" i="9"/>
  <c r="K32" i="9" s="1"/>
  <c r="J29" i="9"/>
  <c r="K29" i="9" s="1"/>
  <c r="J33" i="9"/>
  <c r="K33" i="9" s="1"/>
  <c r="M34" i="9"/>
  <c r="N34" i="9" s="1"/>
  <c r="Q31" i="9"/>
  <c r="Q28" i="9"/>
  <c r="J25" i="9"/>
  <c r="K25" i="9" s="1"/>
  <c r="Q27" i="9"/>
  <c r="Q32" i="9"/>
  <c r="M29" i="9"/>
  <c r="N29" i="9" s="1"/>
  <c r="M31" i="9"/>
  <c r="N31" i="9" s="1"/>
  <c r="H32" i="9"/>
  <c r="H31" i="9"/>
  <c r="M25" i="9"/>
  <c r="N25" i="9" s="1"/>
  <c r="Q25" i="9"/>
  <c r="P15" i="9"/>
  <c r="X16" i="10"/>
  <c r="Y16" i="10" s="1"/>
  <c r="Z8" i="10"/>
  <c r="Z54" i="10" s="1"/>
  <c r="AA9" i="10"/>
  <c r="AA55" i="10" s="1"/>
  <c r="I42" i="9"/>
  <c r="I44" i="9" s="1"/>
  <c r="I10" i="9" s="1"/>
  <c r="D44" i="9"/>
  <c r="Q26" i="9"/>
  <c r="Q30" i="9"/>
  <c r="H30" i="9"/>
  <c r="M30" i="9"/>
  <c r="N30" i="9" s="1"/>
  <c r="J30" i="9"/>
  <c r="K30" i="9" s="1"/>
  <c r="C12" i="9"/>
  <c r="D42" i="9" s="1"/>
  <c r="M26" i="9"/>
  <c r="N26" i="9" s="1"/>
  <c r="J26" i="9"/>
  <c r="K26" i="9" s="1"/>
  <c r="H26" i="9"/>
  <c r="L85" i="13"/>
  <c r="J29" i="6"/>
  <c r="J30" i="6"/>
  <c r="J31" i="6"/>
  <c r="J32" i="6"/>
  <c r="J33" i="6"/>
  <c r="J34" i="6"/>
  <c r="J36" i="6"/>
  <c r="J37" i="6"/>
  <c r="J38" i="6"/>
  <c r="J39" i="6"/>
  <c r="J40" i="6"/>
  <c r="J28" i="6"/>
  <c r="I40" i="6"/>
  <c r="I29" i="6"/>
  <c r="I30" i="6"/>
  <c r="I31" i="6"/>
  <c r="I32" i="6"/>
  <c r="I33" i="6"/>
  <c r="I34" i="6"/>
  <c r="I36" i="6"/>
  <c r="I37" i="6"/>
  <c r="I38" i="6"/>
  <c r="I39" i="6"/>
  <c r="I28" i="6"/>
  <c r="K28" i="6" s="1"/>
  <c r="G35" i="18"/>
  <c r="A10" i="6"/>
  <c r="H10" i="6" s="1"/>
  <c r="D97" i="13"/>
  <c r="D95" i="13"/>
  <c r="I91" i="13"/>
  <c r="D91" i="13"/>
  <c r="D89" i="13"/>
  <c r="H9" i="6"/>
  <c r="K38" i="6" l="1"/>
  <c r="M38" i="6" s="1"/>
  <c r="N38" i="6" s="1"/>
  <c r="K36" i="6"/>
  <c r="M36" i="6" s="1"/>
  <c r="N36" i="6" s="1"/>
  <c r="K39" i="6"/>
  <c r="M39" i="6" s="1"/>
  <c r="N39" i="6" s="1"/>
  <c r="K37" i="6"/>
  <c r="M37" i="6" s="1"/>
  <c r="N37" i="6" s="1"/>
  <c r="K34" i="6"/>
  <c r="M34" i="6" s="1"/>
  <c r="N34" i="6" s="1"/>
  <c r="D45" i="9"/>
  <c r="O42" i="9"/>
  <c r="AF23" i="9"/>
  <c r="AH23" i="9" s="1"/>
  <c r="W28" i="9"/>
  <c r="X28" i="9" s="1"/>
  <c r="AG28" i="9"/>
  <c r="AI28" i="9" s="1"/>
  <c r="W30" i="9"/>
  <c r="X30" i="9" s="1"/>
  <c r="AG30" i="9"/>
  <c r="AI30" i="9" s="1"/>
  <c r="W25" i="9"/>
  <c r="X25" i="9" s="1"/>
  <c r="AG25" i="9"/>
  <c r="AI25" i="9" s="1"/>
  <c r="W32" i="9"/>
  <c r="X32" i="9" s="1"/>
  <c r="AG32" i="9"/>
  <c r="AI32" i="9" s="1"/>
  <c r="W31" i="9"/>
  <c r="X31" i="9" s="1"/>
  <c r="AG31" i="9"/>
  <c r="AI31" i="9" s="1"/>
  <c r="W29" i="9"/>
  <c r="X29" i="9" s="1"/>
  <c r="AG29" i="9"/>
  <c r="AI29" i="9" s="1"/>
  <c r="W26" i="9"/>
  <c r="X26" i="9" s="1"/>
  <c r="AG26" i="9"/>
  <c r="AI26" i="9" s="1"/>
  <c r="W27" i="9"/>
  <c r="X27" i="9" s="1"/>
  <c r="AG27" i="9"/>
  <c r="AI27" i="9" s="1"/>
  <c r="R34" i="9"/>
  <c r="W34" i="9"/>
  <c r="X34" i="9" s="1"/>
  <c r="R33" i="9"/>
  <c r="W33" i="9"/>
  <c r="X33" i="9" s="1"/>
  <c r="Y9" i="10"/>
  <c r="Y55" i="10" s="1"/>
  <c r="C92" i="22"/>
  <c r="G74" i="22" s="1"/>
  <c r="H23" i="9"/>
  <c r="K33" i="6"/>
  <c r="M33" i="6" s="1"/>
  <c r="N33" i="6" s="1"/>
  <c r="Q23" i="9"/>
  <c r="AG23" i="9" s="1"/>
  <c r="AI23" i="9" s="1"/>
  <c r="M23" i="9"/>
  <c r="N23" i="9" s="1"/>
  <c r="I23" i="9"/>
  <c r="J23" i="9" s="1"/>
  <c r="K23" i="9" s="1"/>
  <c r="Q35" i="9"/>
  <c r="AG35" i="9" s="1"/>
  <c r="AI35" i="9" s="1"/>
  <c r="T34" i="9"/>
  <c r="U34" i="9" s="1"/>
  <c r="H35" i="9"/>
  <c r="M35" i="9"/>
  <c r="N35" i="9" s="1"/>
  <c r="I35" i="9"/>
  <c r="J35" i="9" s="1"/>
  <c r="K35" i="9" s="1"/>
  <c r="T33" i="9"/>
  <c r="U33" i="9" s="1"/>
  <c r="T26" i="9"/>
  <c r="U26" i="9" s="1"/>
  <c r="R25" i="9"/>
  <c r="T32" i="9"/>
  <c r="U32" i="9" s="1"/>
  <c r="R31" i="9"/>
  <c r="T29" i="9"/>
  <c r="U29" i="9" s="1"/>
  <c r="R30" i="9"/>
  <c r="T27" i="9"/>
  <c r="U27" i="9" s="1"/>
  <c r="T28" i="9"/>
  <c r="U28" i="9" s="1"/>
  <c r="R28" i="9"/>
  <c r="R29" i="9"/>
  <c r="T31" i="9"/>
  <c r="U31" i="9" s="1"/>
  <c r="R27" i="9"/>
  <c r="R32" i="9"/>
  <c r="K31" i="6"/>
  <c r="M31" i="6" s="1"/>
  <c r="N31" i="6" s="1"/>
  <c r="K29" i="6"/>
  <c r="M29" i="6" s="1"/>
  <c r="N29" i="6" s="1"/>
  <c r="T25" i="9"/>
  <c r="U25" i="9" s="1"/>
  <c r="X8" i="10"/>
  <c r="X54" i="10" s="1"/>
  <c r="K40" i="6"/>
  <c r="M40" i="6" s="1"/>
  <c r="N40" i="6" s="1"/>
  <c r="R26" i="9"/>
  <c r="T30" i="9"/>
  <c r="U30" i="9" s="1"/>
  <c r="G10" i="9"/>
  <c r="W10" i="9" s="1"/>
  <c r="D12" i="9"/>
  <c r="J70" i="13"/>
  <c r="K70" i="13" s="1"/>
  <c r="L70" i="13" s="1"/>
  <c r="N70" i="13" s="1"/>
  <c r="G38" i="18"/>
  <c r="G36" i="18"/>
  <c r="G37" i="18"/>
  <c r="M28" i="6"/>
  <c r="N28" i="6" s="1"/>
  <c r="A11" i="6"/>
  <c r="A12" i="6" s="1"/>
  <c r="J50" i="13"/>
  <c r="K50" i="13" s="1"/>
  <c r="L50" i="13" s="1"/>
  <c r="N50" i="13" s="1"/>
  <c r="J54" i="13"/>
  <c r="K54" i="13" s="1"/>
  <c r="L54" i="13" s="1"/>
  <c r="N54" i="13" s="1"/>
  <c r="J58" i="13"/>
  <c r="K58" i="13" s="1"/>
  <c r="L58" i="13" s="1"/>
  <c r="N58" i="13" s="1"/>
  <c r="J62" i="13"/>
  <c r="K62" i="13" s="1"/>
  <c r="L62" i="13" s="1"/>
  <c r="N62" i="13" s="1"/>
  <c r="J66" i="13"/>
  <c r="K66" i="13" s="1"/>
  <c r="L66" i="13" s="1"/>
  <c r="N66" i="13" s="1"/>
  <c r="J51" i="13"/>
  <c r="K51" i="13" s="1"/>
  <c r="L51" i="13" s="1"/>
  <c r="N51" i="13" s="1"/>
  <c r="J55" i="13"/>
  <c r="K55" i="13" s="1"/>
  <c r="L55" i="13" s="1"/>
  <c r="L69" i="13" s="1"/>
  <c r="J59" i="13"/>
  <c r="K59" i="13" s="1"/>
  <c r="L59" i="13" s="1"/>
  <c r="N59" i="13" s="1"/>
  <c r="J63" i="13"/>
  <c r="K63" i="13" s="1"/>
  <c r="L63" i="13" s="1"/>
  <c r="N63" i="13" s="1"/>
  <c r="J67" i="13"/>
  <c r="K67" i="13" s="1"/>
  <c r="L67" i="13" s="1"/>
  <c r="N67" i="13" s="1"/>
  <c r="K52" i="13"/>
  <c r="L52" i="13" s="1"/>
  <c r="N52" i="13" s="1"/>
  <c r="J56" i="13"/>
  <c r="K56" i="13" s="1"/>
  <c r="L56" i="13" s="1"/>
  <c r="N56" i="13" s="1"/>
  <c r="J60" i="13"/>
  <c r="K60" i="13" s="1"/>
  <c r="L60" i="13" s="1"/>
  <c r="N60" i="13" s="1"/>
  <c r="J64" i="13"/>
  <c r="K64" i="13" s="1"/>
  <c r="L64" i="13" s="1"/>
  <c r="N64" i="13" s="1"/>
  <c r="J48" i="13"/>
  <c r="J49" i="13"/>
  <c r="J53" i="13"/>
  <c r="K53" i="13" s="1"/>
  <c r="L53" i="13" s="1"/>
  <c r="N53" i="13" s="1"/>
  <c r="J57" i="13"/>
  <c r="K57" i="13" s="1"/>
  <c r="L57" i="13" s="1"/>
  <c r="N57" i="13" s="1"/>
  <c r="J61" i="13"/>
  <c r="K61" i="13" s="1"/>
  <c r="L61" i="13" s="1"/>
  <c r="N61" i="13" s="1"/>
  <c r="J65" i="13"/>
  <c r="K65" i="13" s="1"/>
  <c r="L65" i="13" s="1"/>
  <c r="N65" i="13" s="1"/>
  <c r="N55" i="13" l="1"/>
  <c r="N69" i="13"/>
  <c r="C18" i="10" s="1"/>
  <c r="K48" i="13"/>
  <c r="L48" i="13" s="1"/>
  <c r="N48" i="13" s="1"/>
  <c r="AB9" i="10"/>
  <c r="F78" i="29" s="1"/>
  <c r="C20" i="10"/>
  <c r="F19" i="9"/>
  <c r="V19" i="9" s="1"/>
  <c r="C12" i="10"/>
  <c r="F15" i="9"/>
  <c r="V15" i="9" s="1"/>
  <c r="C52" i="10"/>
  <c r="C14" i="10"/>
  <c r="F16" i="9"/>
  <c r="V16" i="9" s="1"/>
  <c r="C16" i="10"/>
  <c r="AF10" i="9"/>
  <c r="AH10" i="9" s="1"/>
  <c r="F18" i="6" s="1"/>
  <c r="Z34" i="9"/>
  <c r="T23" i="9"/>
  <c r="U23" i="9" s="1"/>
  <c r="W23" i="9"/>
  <c r="X23" i="9" s="1"/>
  <c r="R35" i="9"/>
  <c r="W35" i="9"/>
  <c r="X35" i="9" s="1"/>
  <c r="Z33" i="9"/>
  <c r="T35" i="9"/>
  <c r="U35" i="9" s="1"/>
  <c r="L30" i="26"/>
  <c r="J40" i="26"/>
  <c r="R23" i="9"/>
  <c r="H12" i="6"/>
  <c r="A13" i="6"/>
  <c r="Y34" i="9"/>
  <c r="O35" i="20"/>
  <c r="Z29" i="9"/>
  <c r="Y33" i="9"/>
  <c r="M10" i="9"/>
  <c r="N10" i="9" s="1"/>
  <c r="N12" i="9" s="1"/>
  <c r="Z30" i="9"/>
  <c r="Z31" i="9"/>
  <c r="Z26" i="9"/>
  <c r="Z32" i="9"/>
  <c r="Z25" i="9"/>
  <c r="Z27" i="9"/>
  <c r="Z28" i="9"/>
  <c r="Y28" i="9"/>
  <c r="Y27" i="9"/>
  <c r="Y30" i="9"/>
  <c r="Y29" i="9"/>
  <c r="Y31" i="9"/>
  <c r="Y32" i="9"/>
  <c r="Y25" i="9"/>
  <c r="Y26" i="9"/>
  <c r="F34" i="18"/>
  <c r="O40" i="6"/>
  <c r="G34" i="18" s="1"/>
  <c r="J10" i="9"/>
  <c r="H10" i="9"/>
  <c r="G12" i="9"/>
  <c r="U36" i="20"/>
  <c r="U37" i="20"/>
  <c r="K49" i="13"/>
  <c r="L49" i="13" s="1"/>
  <c r="N49" i="13" s="1"/>
  <c r="M35" i="6"/>
  <c r="N35" i="6" s="1"/>
  <c r="F31" i="18"/>
  <c r="O37" i="6"/>
  <c r="G31" i="18" s="1"/>
  <c r="F25" i="18"/>
  <c r="O31" i="6"/>
  <c r="G25" i="18" s="1"/>
  <c r="F30" i="18"/>
  <c r="O36" i="6"/>
  <c r="G30" i="18" s="1"/>
  <c r="F22" i="18"/>
  <c r="O28" i="6"/>
  <c r="F28" i="18"/>
  <c r="O34" i="6"/>
  <c r="G28" i="18" s="1"/>
  <c r="F33" i="18"/>
  <c r="O39" i="6"/>
  <c r="G33" i="18" s="1"/>
  <c r="F23" i="18"/>
  <c r="O29" i="6"/>
  <c r="G23" i="18" s="1"/>
  <c r="F27" i="18"/>
  <c r="O33" i="6"/>
  <c r="G27" i="18" s="1"/>
  <c r="F32" i="18"/>
  <c r="O38" i="6"/>
  <c r="G32" i="18" s="1"/>
  <c r="H11" i="6"/>
  <c r="U54" i="10"/>
  <c r="F17" i="9" l="1"/>
  <c r="V17" i="9" s="1"/>
  <c r="AB8" i="10"/>
  <c r="AB54" i="10" s="1"/>
  <c r="AB55" i="10"/>
  <c r="E15" i="22"/>
  <c r="J29" i="22" s="1"/>
  <c r="W48" i="9"/>
  <c r="E18" i="6" s="1"/>
  <c r="Y23" i="9"/>
  <c r="Z35" i="9"/>
  <c r="X10" i="9"/>
  <c r="X12" i="9" s="1"/>
  <c r="Y10" i="9"/>
  <c r="Y12" i="9" s="1"/>
  <c r="Z23" i="9"/>
  <c r="C10" i="10"/>
  <c r="F14" i="9"/>
  <c r="Y35" i="9"/>
  <c r="G15" i="9"/>
  <c r="S15" i="9"/>
  <c r="J34" i="22"/>
  <c r="I15" i="9"/>
  <c r="L15" i="9"/>
  <c r="N30" i="26"/>
  <c r="M30" i="26"/>
  <c r="S24" i="9"/>
  <c r="O24" i="9"/>
  <c r="L24" i="9"/>
  <c r="G24" i="9"/>
  <c r="AF24" i="9" s="1"/>
  <c r="AH24" i="9" s="1"/>
  <c r="I24" i="9"/>
  <c r="S22" i="9"/>
  <c r="G22" i="9"/>
  <c r="L22" i="9"/>
  <c r="I22" i="9"/>
  <c r="A14" i="6"/>
  <c r="A15" i="6" s="1"/>
  <c r="H13" i="6"/>
  <c r="L21" i="9"/>
  <c r="G21" i="9"/>
  <c r="S21" i="9"/>
  <c r="I21" i="9"/>
  <c r="G19" i="9"/>
  <c r="L19" i="9"/>
  <c r="S19" i="9"/>
  <c r="I19" i="9"/>
  <c r="L18" i="9"/>
  <c r="S18" i="9"/>
  <c r="G18" i="9"/>
  <c r="I18" i="9"/>
  <c r="S16" i="9"/>
  <c r="G16" i="9"/>
  <c r="AF16" i="9" s="1"/>
  <c r="AH16" i="9" s="1"/>
  <c r="L16" i="9"/>
  <c r="I16" i="9"/>
  <c r="S20" i="9"/>
  <c r="L20" i="9"/>
  <c r="G20" i="9"/>
  <c r="AF20" i="9" s="1"/>
  <c r="AH20" i="9" s="1"/>
  <c r="I20" i="9"/>
  <c r="M12" i="9"/>
  <c r="Q35" i="20"/>
  <c r="R35" i="20"/>
  <c r="W12" i="9"/>
  <c r="P35" i="20"/>
  <c r="G22" i="18"/>
  <c r="M44" i="20"/>
  <c r="O34" i="20"/>
  <c r="J12" i="9"/>
  <c r="K10" i="9"/>
  <c r="K12" i="9" s="1"/>
  <c r="H12" i="9"/>
  <c r="V37" i="20"/>
  <c r="W37" i="20" s="1"/>
  <c r="Z37" i="20" s="1"/>
  <c r="V36" i="20"/>
  <c r="W36" i="20" s="1"/>
  <c r="Z36" i="20" s="1"/>
  <c r="AA36" i="20" s="1"/>
  <c r="F29" i="18"/>
  <c r="O35" i="6"/>
  <c r="S17" i="9" l="1"/>
  <c r="I17" i="9"/>
  <c r="G17" i="9"/>
  <c r="AF17" i="9" s="1"/>
  <c r="AH17" i="9" s="1"/>
  <c r="L17" i="9"/>
  <c r="H15" i="6"/>
  <c r="A16" i="6"/>
  <c r="L34" i="22"/>
  <c r="N34" i="22"/>
  <c r="M29" i="22"/>
  <c r="M35" i="22" s="1"/>
  <c r="L29" i="22"/>
  <c r="N29" i="22"/>
  <c r="O29" i="22"/>
  <c r="O35" i="22" s="1"/>
  <c r="K29" i="22"/>
  <c r="K35" i="22" s="1"/>
  <c r="I14" i="9"/>
  <c r="V14" i="9"/>
  <c r="Z10" i="9"/>
  <c r="Z12" i="9" s="1"/>
  <c r="AF19" i="9"/>
  <c r="AH19" i="9" s="1"/>
  <c r="AF22" i="9"/>
  <c r="AH22" i="9" s="1"/>
  <c r="H15" i="9"/>
  <c r="AF15" i="9"/>
  <c r="AH15" i="9" s="1"/>
  <c r="AF18" i="9"/>
  <c r="AH18" i="9" s="1"/>
  <c r="AF21" i="9"/>
  <c r="AH21" i="9" s="1"/>
  <c r="L14" i="9"/>
  <c r="S14" i="9"/>
  <c r="G14" i="9"/>
  <c r="M15" i="9"/>
  <c r="N15" i="9" s="1"/>
  <c r="J15" i="9"/>
  <c r="K15" i="9" s="1"/>
  <c r="J35" i="22"/>
  <c r="J24" i="9"/>
  <c r="K24" i="9" s="1"/>
  <c r="M40" i="26"/>
  <c r="L40" i="26"/>
  <c r="N40" i="26"/>
  <c r="M24" i="9"/>
  <c r="N24" i="9" s="1"/>
  <c r="H24" i="9"/>
  <c r="Q24" i="9"/>
  <c r="J22" i="9"/>
  <c r="K22" i="9" s="1"/>
  <c r="H22" i="9"/>
  <c r="M22" i="9"/>
  <c r="N22" i="9" s="1"/>
  <c r="H14" i="6"/>
  <c r="J21" i="9"/>
  <c r="K21" i="9" s="1"/>
  <c r="J20" i="9"/>
  <c r="K20" i="9" s="1"/>
  <c r="J16" i="9"/>
  <c r="K16" i="9" s="1"/>
  <c r="J18" i="9"/>
  <c r="K18" i="9" s="1"/>
  <c r="J19" i="9"/>
  <c r="K19" i="9" s="1"/>
  <c r="H20" i="9"/>
  <c r="M20" i="9"/>
  <c r="N20" i="9" s="1"/>
  <c r="M16" i="9"/>
  <c r="N16" i="9" s="1"/>
  <c r="H16" i="9"/>
  <c r="H18" i="9"/>
  <c r="M18" i="9"/>
  <c r="N18" i="9" s="1"/>
  <c r="H19" i="9"/>
  <c r="M19" i="9"/>
  <c r="N19" i="9" s="1"/>
  <c r="M21" i="9"/>
  <c r="N21" i="9" s="1"/>
  <c r="H21" i="9"/>
  <c r="Q34" i="20"/>
  <c r="Q44" i="20" s="1"/>
  <c r="R34" i="20"/>
  <c r="R44" i="20" s="1"/>
  <c r="T35" i="20"/>
  <c r="U35" i="20" s="1"/>
  <c r="P34" i="20"/>
  <c r="P44" i="20" s="1"/>
  <c r="O44" i="20"/>
  <c r="E56" i="19"/>
  <c r="F57" i="19" s="1"/>
  <c r="J5" i="6"/>
  <c r="G29" i="18"/>
  <c r="J17" i="9" l="1"/>
  <c r="K17" i="9" s="1"/>
  <c r="M17" i="9"/>
  <c r="N17" i="9" s="1"/>
  <c r="H17" i="9"/>
  <c r="A17" i="6"/>
  <c r="H16" i="6"/>
  <c r="J18" i="22"/>
  <c r="L35" i="22"/>
  <c r="L18" i="22" s="1"/>
  <c r="N35" i="22"/>
  <c r="N18" i="22" s="1"/>
  <c r="W24" i="9"/>
  <c r="X24" i="9" s="1"/>
  <c r="AG24" i="9"/>
  <c r="AI24" i="9" s="1"/>
  <c r="H14" i="9"/>
  <c r="AD37" i="9" s="1"/>
  <c r="AF14" i="9"/>
  <c r="G36" i="9"/>
  <c r="G37" i="9" s="1"/>
  <c r="M14" i="9"/>
  <c r="N14" i="9" s="1"/>
  <c r="N36" i="9" s="1"/>
  <c r="F12" i="6" s="1"/>
  <c r="J14" i="9"/>
  <c r="K14" i="9" s="1"/>
  <c r="T24" i="9"/>
  <c r="R24" i="9"/>
  <c r="T34" i="20"/>
  <c r="U34" i="20" s="1"/>
  <c r="V34" i="20" s="1"/>
  <c r="H36" i="9"/>
  <c r="H37" i="9" s="1"/>
  <c r="K30" i="6"/>
  <c r="M30" i="6" s="1"/>
  <c r="N30" i="6" s="1"/>
  <c r="K32" i="6"/>
  <c r="M32" i="6" s="1"/>
  <c r="N32" i="6" s="1"/>
  <c r="V35" i="20"/>
  <c r="E29" i="19"/>
  <c r="F30" i="19" s="1"/>
  <c r="F36" i="19" s="1"/>
  <c r="G17" i="19" s="1"/>
  <c r="E65" i="19"/>
  <c r="K36" i="9" l="1"/>
  <c r="K37" i="9" s="1"/>
  <c r="A18" i="6"/>
  <c r="H17" i="6"/>
  <c r="AF36" i="9"/>
  <c r="W49" i="9" s="1"/>
  <c r="E11" i="6" s="1"/>
  <c r="AH14" i="9"/>
  <c r="AH36" i="9" s="1"/>
  <c r="F11" i="6" s="1"/>
  <c r="B69" i="29"/>
  <c r="F69" i="29" s="1"/>
  <c r="M36" i="9"/>
  <c r="M37" i="9" s="1"/>
  <c r="J36" i="9"/>
  <c r="J37" i="9" s="1"/>
  <c r="R40" i="26"/>
  <c r="S40" i="26"/>
  <c r="U24" i="9"/>
  <c r="Z24" i="9" s="1"/>
  <c r="Y24" i="9"/>
  <c r="W34" i="20"/>
  <c r="N37" i="9"/>
  <c r="T44" i="20"/>
  <c r="N45" i="6"/>
  <c r="F24" i="18"/>
  <c r="U44" i="20"/>
  <c r="W35" i="20"/>
  <c r="E9" i="6"/>
  <c r="O30" i="6"/>
  <c r="F26" i="18"/>
  <c r="O32" i="6"/>
  <c r="G26" i="18" s="1"/>
  <c r="A19" i="6" l="1"/>
  <c r="H18" i="6"/>
  <c r="I69" i="29"/>
  <c r="L69" i="29" s="1"/>
  <c r="E12" i="6"/>
  <c r="Z35" i="20"/>
  <c r="AA35" i="20" s="1"/>
  <c r="Z34" i="20"/>
  <c r="O45" i="6"/>
  <c r="F39" i="18"/>
  <c r="G24" i="18"/>
  <c r="G39" i="18" s="1"/>
  <c r="A20" i="6" l="1"/>
  <c r="H19" i="6"/>
  <c r="AA34" i="20"/>
  <c r="AA44" i="20" s="1"/>
  <c r="AE100" i="20"/>
  <c r="V44" i="20"/>
  <c r="W44" i="20"/>
  <c r="A21" i="6" l="1"/>
  <c r="H20" i="6"/>
  <c r="Z44" i="20"/>
  <c r="V99" i="20" s="1"/>
  <c r="T99" i="20" s="1"/>
  <c r="A22" i="6" l="1"/>
  <c r="H21" i="6"/>
  <c r="L77" i="26"/>
  <c r="AE99" i="20"/>
  <c r="M57" i="20"/>
  <c r="F10" i="6"/>
  <c r="E10" i="6"/>
  <c r="F9" i="6"/>
  <c r="A23" i="6" l="1"/>
  <c r="H22" i="6"/>
  <c r="N106" i="20"/>
  <c r="N109" i="20"/>
  <c r="AA99" i="20"/>
  <c r="AA101" i="20" s="1"/>
  <c r="V101" i="20"/>
  <c r="M63" i="20"/>
  <c r="M67" i="20" s="1"/>
  <c r="T67" i="20" s="1"/>
  <c r="V67" i="20" s="1"/>
  <c r="V68" i="20" s="1"/>
  <c r="A24" i="6" l="1"/>
  <c r="H23" i="6"/>
  <c r="K109" i="20"/>
  <c r="K106" i="20" s="1"/>
  <c r="M106" i="20" s="1"/>
  <c r="N145" i="20"/>
  <c r="N142" i="20"/>
  <c r="N127" i="20"/>
  <c r="K127" i="20" s="1"/>
  <c r="K124" i="20" s="1"/>
  <c r="M124" i="20" s="1"/>
  <c r="N124" i="20"/>
  <c r="Y67" i="20"/>
  <c r="Y68" i="20" s="1"/>
  <c r="N80" i="20"/>
  <c r="O67" i="20" s="1"/>
  <c r="M68" i="20"/>
  <c r="M71" i="20"/>
  <c r="H24" i="6" l="1"/>
  <c r="A25" i="6"/>
  <c r="K145" i="20"/>
  <c r="K142" i="20" s="1"/>
  <c r="M142" i="20" s="1"/>
  <c r="P124" i="20"/>
  <c r="P106" i="20"/>
  <c r="A28" i="6" l="1"/>
  <c r="H25" i="6"/>
  <c r="P142" i="20"/>
  <c r="H28" i="6" l="1"/>
  <c r="A29" i="6"/>
  <c r="A30" i="6" l="1"/>
  <c r="H29" i="6"/>
  <c r="H30" i="6" l="1"/>
  <c r="A31" i="6"/>
  <c r="A12" i="10"/>
  <c r="A10" i="28" s="1"/>
  <c r="AE10" i="10"/>
  <c r="A32" i="6" l="1"/>
  <c r="H31" i="6"/>
  <c r="A14" i="10"/>
  <c r="A11" i="28" s="1"/>
  <c r="AE12" i="10"/>
  <c r="H32" i="6" l="1"/>
  <c r="A33" i="6"/>
  <c r="AE14" i="10"/>
  <c r="A16" i="10"/>
  <c r="A12" i="28" s="1"/>
  <c r="H33" i="6" l="1"/>
  <c r="A34" i="6"/>
  <c r="A18" i="10"/>
  <c r="A13" i="28" s="1"/>
  <c r="AE16" i="10"/>
  <c r="A35" i="6" l="1"/>
  <c r="H34" i="6"/>
  <c r="A20" i="10"/>
  <c r="A14" i="28" s="1"/>
  <c r="AE18" i="10"/>
  <c r="A36" i="6" l="1"/>
  <c r="H35" i="6"/>
  <c r="A22" i="10"/>
  <c r="A15" i="28" s="1"/>
  <c r="AE20" i="10"/>
  <c r="A37" i="6" l="1"/>
  <c r="H36" i="6"/>
  <c r="AE22" i="10"/>
  <c r="A24" i="10"/>
  <c r="A16" i="28" s="1"/>
  <c r="A38" i="6" l="1"/>
  <c r="H37" i="6"/>
  <c r="A26" i="10"/>
  <c r="A17" i="28" s="1"/>
  <c r="AE24" i="10"/>
  <c r="A39" i="6" l="1"/>
  <c r="H38" i="6"/>
  <c r="AE26" i="10"/>
  <c r="A28" i="10"/>
  <c r="A18" i="28" s="1"/>
  <c r="A40" i="6" l="1"/>
  <c r="H39" i="6"/>
  <c r="A30" i="10"/>
  <c r="A19" i="28" s="1"/>
  <c r="AE28" i="10"/>
  <c r="A41" i="6" l="1"/>
  <c r="H40" i="6"/>
  <c r="AE30" i="10"/>
  <c r="A32" i="10"/>
  <c r="A20" i="28" s="1"/>
  <c r="A42" i="6" l="1"/>
  <c r="H41" i="6"/>
  <c r="A34" i="10"/>
  <c r="A21" i="28" s="1"/>
  <c r="AE32" i="10"/>
  <c r="A43" i="6" l="1"/>
  <c r="H42" i="6"/>
  <c r="AE34" i="10"/>
  <c r="A36" i="10"/>
  <c r="A22" i="28" s="1"/>
  <c r="A44" i="6" l="1"/>
  <c r="H43" i="6"/>
  <c r="A38" i="10"/>
  <c r="A23" i="28" s="1"/>
  <c r="AE36" i="10"/>
  <c r="A45" i="6" l="1"/>
  <c r="H44" i="6"/>
  <c r="A40" i="10"/>
  <c r="A24" i="28" s="1"/>
  <c r="AE38" i="10"/>
  <c r="H45" i="6" l="1"/>
  <c r="A49" i="6"/>
  <c r="A42" i="10"/>
  <c r="A25" i="28" s="1"/>
  <c r="AE40" i="10"/>
  <c r="A50" i="6" l="1"/>
  <c r="H49" i="6"/>
  <c r="AE42" i="10"/>
  <c r="A44" i="10"/>
  <c r="A26" i="28" s="1"/>
  <c r="H50" i="6" l="1"/>
  <c r="A53" i="6"/>
  <c r="A46" i="10"/>
  <c r="A27" i="28" s="1"/>
  <c r="AE44" i="10"/>
  <c r="A54" i="6" l="1"/>
  <c r="H53" i="6"/>
  <c r="AE46" i="10"/>
  <c r="A48" i="10"/>
  <c r="A28" i="28" s="1"/>
  <c r="A55" i="6" l="1"/>
  <c r="H54" i="6"/>
  <c r="A50" i="10"/>
  <c r="A29" i="28" s="1"/>
  <c r="AE48" i="10"/>
  <c r="H55" i="6" l="1"/>
  <c r="A56" i="6"/>
  <c r="A52" i="10"/>
  <c r="AE50" i="10"/>
  <c r="A57" i="6" l="1"/>
  <c r="H56" i="6"/>
  <c r="AE52" i="10"/>
  <c r="A30" i="28"/>
  <c r="A58" i="6" l="1"/>
  <c r="H57" i="6"/>
  <c r="A59" i="6" l="1"/>
  <c r="H58" i="6"/>
  <c r="A60" i="6" l="1"/>
  <c r="H59" i="6"/>
  <c r="A61" i="6" l="1"/>
  <c r="H60" i="6"/>
  <c r="A62" i="6" l="1"/>
  <c r="H61" i="6"/>
  <c r="A63" i="6" l="1"/>
  <c r="H62" i="6"/>
  <c r="A64" i="6" l="1"/>
  <c r="H63" i="6"/>
  <c r="A65" i="6" l="1"/>
  <c r="H64" i="6"/>
  <c r="A66" i="6" l="1"/>
  <c r="H65" i="6"/>
  <c r="A67" i="6" l="1"/>
  <c r="H66" i="6"/>
  <c r="A68" i="6" l="1"/>
  <c r="H67" i="6"/>
  <c r="E16" i="6"/>
  <c r="A69" i="6" l="1"/>
  <c r="H68" i="6"/>
  <c r="E17" i="6"/>
  <c r="E19" i="6"/>
  <c r="F17" i="6"/>
  <c r="F19" i="6"/>
  <c r="F16" i="6"/>
  <c r="A70" i="6" l="1"/>
  <c r="H69" i="6"/>
  <c r="A71" i="6" l="1"/>
  <c r="H70" i="6"/>
  <c r="A75" i="6" l="1"/>
  <c r="H71" i="6"/>
  <c r="H75" i="6" l="1"/>
  <c r="A76" i="6"/>
  <c r="A82" i="6" l="1"/>
  <c r="H76" i="6"/>
  <c r="H82" i="6" l="1"/>
  <c r="A83" i="6"/>
  <c r="A84" i="6" l="1"/>
  <c r="H83" i="6"/>
  <c r="AE4" i="20"/>
  <c r="I89" i="13"/>
  <c r="A85" i="6" l="1"/>
  <c r="H84" i="6"/>
  <c r="O22" i="9"/>
  <c r="Q22" i="9" s="1"/>
  <c r="W22" i="9" s="1"/>
  <c r="X22" i="9" s="1"/>
  <c r="O31" i="26"/>
  <c r="O37" i="26"/>
  <c r="O33" i="26"/>
  <c r="O39" i="26"/>
  <c r="O32" i="26"/>
  <c r="O35" i="26"/>
  <c r="O34" i="26"/>
  <c r="O38" i="26"/>
  <c r="O36" i="26"/>
  <c r="O30" i="26"/>
  <c r="O18" i="9"/>
  <c r="Q18" i="9" s="1"/>
  <c r="W18" i="9" s="1"/>
  <c r="O16" i="9"/>
  <c r="Q16" i="9" s="1"/>
  <c r="O21" i="9"/>
  <c r="Q21" i="9" s="1"/>
  <c r="O20" i="9"/>
  <c r="Q20" i="9" s="1"/>
  <c r="O15" i="9"/>
  <c r="Q15" i="9" s="1"/>
  <c r="O14" i="9"/>
  <c r="O19" i="9"/>
  <c r="Q19" i="9" s="1"/>
  <c r="I90" i="13"/>
  <c r="O17" i="9"/>
  <c r="Q17" i="9" s="1"/>
  <c r="H85" i="6" l="1"/>
  <c r="A86" i="6"/>
  <c r="R22" i="9"/>
  <c r="AG22" i="9"/>
  <c r="AI22" i="9" s="1"/>
  <c r="T22" i="9"/>
  <c r="U22" i="9" s="1"/>
  <c r="Z22" i="9" s="1"/>
  <c r="O40" i="26"/>
  <c r="P30" i="26"/>
  <c r="Q30" i="26"/>
  <c r="Q38" i="26"/>
  <c r="P38" i="26"/>
  <c r="Q35" i="26"/>
  <c r="P35" i="26"/>
  <c r="Q39" i="26"/>
  <c r="P39" i="26"/>
  <c r="Q37" i="26"/>
  <c r="P37" i="26"/>
  <c r="Q36" i="26"/>
  <c r="P36" i="26"/>
  <c r="Q34" i="26"/>
  <c r="P34" i="26"/>
  <c r="Q32" i="26"/>
  <c r="P32" i="26"/>
  <c r="Q33" i="26"/>
  <c r="P33" i="26"/>
  <c r="Q31" i="26"/>
  <c r="P31" i="26"/>
  <c r="W17" i="9"/>
  <c r="X17" i="9" s="1"/>
  <c r="AG17" i="9"/>
  <c r="AI17" i="9" s="1"/>
  <c r="W19" i="9"/>
  <c r="X19" i="9" s="1"/>
  <c r="AG19" i="9"/>
  <c r="AI19" i="9" s="1"/>
  <c r="W15" i="9"/>
  <c r="X15" i="9" s="1"/>
  <c r="AG15" i="9"/>
  <c r="AI15" i="9" s="1"/>
  <c r="W21" i="9"/>
  <c r="X21" i="9" s="1"/>
  <c r="AG21" i="9"/>
  <c r="AI21" i="9" s="1"/>
  <c r="X18" i="9"/>
  <c r="AG18" i="9"/>
  <c r="AI18" i="9" s="1"/>
  <c r="W20" i="9"/>
  <c r="X20" i="9" s="1"/>
  <c r="AG20" i="9"/>
  <c r="AI20" i="9" s="1"/>
  <c r="W16" i="9"/>
  <c r="X16" i="9" s="1"/>
  <c r="AG16" i="9"/>
  <c r="AI16" i="9" s="1"/>
  <c r="T19" i="9"/>
  <c r="U19" i="9" s="1"/>
  <c r="R19" i="9"/>
  <c r="R21" i="9"/>
  <c r="T21" i="9"/>
  <c r="U21" i="9" s="1"/>
  <c r="E62" i="19"/>
  <c r="F64" i="19" s="1"/>
  <c r="Q14" i="9"/>
  <c r="W14" i="9" s="1"/>
  <c r="R20" i="9"/>
  <c r="T20" i="9"/>
  <c r="U20" i="9" s="1"/>
  <c r="T16" i="9"/>
  <c r="U16" i="9" s="1"/>
  <c r="R16" i="9"/>
  <c r="Y22" i="9"/>
  <c r="T17" i="9"/>
  <c r="U17" i="9" s="1"/>
  <c r="R17" i="9"/>
  <c r="R15" i="9"/>
  <c r="T15" i="9"/>
  <c r="U15" i="9" s="1"/>
  <c r="R18" i="9"/>
  <c r="T18" i="9"/>
  <c r="U18" i="9" s="1"/>
  <c r="H86" i="6" l="1"/>
  <c r="A87" i="6"/>
  <c r="R33" i="26"/>
  <c r="S33" i="26" s="1"/>
  <c r="V33" i="26" s="1"/>
  <c r="R30" i="26"/>
  <c r="S30" i="26" s="1"/>
  <c r="V30" i="26" s="1"/>
  <c r="R31" i="26"/>
  <c r="S31" i="26" s="1"/>
  <c r="V31" i="26" s="1"/>
  <c r="R37" i="26"/>
  <c r="S37" i="26" s="1"/>
  <c r="V37" i="26" s="1"/>
  <c r="R35" i="26"/>
  <c r="S35" i="26" s="1"/>
  <c r="V35" i="26" s="1"/>
  <c r="R38" i="26"/>
  <c r="S38" i="26" s="1"/>
  <c r="V38" i="26" s="1"/>
  <c r="R34" i="26"/>
  <c r="S34" i="26" s="1"/>
  <c r="V34" i="26" s="1"/>
  <c r="R36" i="26"/>
  <c r="S36" i="26" s="1"/>
  <c r="V36" i="26" s="1"/>
  <c r="R32" i="26"/>
  <c r="S32" i="26" s="1"/>
  <c r="V32" i="26" s="1"/>
  <c r="R39" i="26"/>
  <c r="S39" i="26" s="1"/>
  <c r="V39" i="26" s="1"/>
  <c r="Q40" i="26"/>
  <c r="P40" i="26"/>
  <c r="F68" i="19"/>
  <c r="X14" i="9"/>
  <c r="AG14" i="9"/>
  <c r="Y16" i="9"/>
  <c r="Y18" i="9"/>
  <c r="Z20" i="9"/>
  <c r="F66" i="19"/>
  <c r="F70" i="19" s="1"/>
  <c r="Y15" i="9"/>
  <c r="Z18" i="9"/>
  <c r="Z15" i="9"/>
  <c r="Z17" i="9"/>
  <c r="Y17" i="9"/>
  <c r="Z16" i="9"/>
  <c r="Y20" i="9"/>
  <c r="Z21" i="9"/>
  <c r="Z19" i="9"/>
  <c r="Y19" i="9"/>
  <c r="T14" i="9"/>
  <c r="R14" i="9"/>
  <c r="Q36" i="9"/>
  <c r="Y21" i="9"/>
  <c r="H87" i="6" l="1"/>
  <c r="A88" i="6"/>
  <c r="V40" i="26"/>
  <c r="H58" i="26" s="1"/>
  <c r="H63" i="26" s="1"/>
  <c r="H68" i="26" s="1"/>
  <c r="H69" i="26" s="1"/>
  <c r="X36" i="9"/>
  <c r="X37" i="9" s="1"/>
  <c r="W36" i="9"/>
  <c r="W37" i="9" s="1"/>
  <c r="Y14" i="9"/>
  <c r="Y36" i="9" s="1"/>
  <c r="Y37" i="9" s="1"/>
  <c r="G20" i="19"/>
  <c r="AG36" i="9"/>
  <c r="W50" i="9" s="1"/>
  <c r="AI14" i="9"/>
  <c r="AI36" i="9" s="1"/>
  <c r="F15" i="6" s="1"/>
  <c r="R36" i="9"/>
  <c r="Q37" i="9"/>
  <c r="E13" i="6"/>
  <c r="T36" i="9"/>
  <c r="U14" i="9"/>
  <c r="U36" i="9" s="1"/>
  <c r="A89" i="6" l="1"/>
  <c r="A90" i="6" s="1"/>
  <c r="A93" i="6" s="1"/>
  <c r="H88" i="6"/>
  <c r="W51" i="9"/>
  <c r="E15" i="6"/>
  <c r="Z14" i="9"/>
  <c r="Z36" i="9" s="1"/>
  <c r="U37" i="9"/>
  <c r="F14" i="6"/>
  <c r="E14" i="6"/>
  <c r="E20" i="6" s="1"/>
  <c r="E25" i="6" s="1"/>
  <c r="E46" i="6" s="1"/>
  <c r="T37" i="9"/>
  <c r="R37" i="9"/>
  <c r="F13" i="6"/>
  <c r="H93" i="6" l="1"/>
  <c r="A94" i="6"/>
  <c r="Z37" i="9"/>
  <c r="F20" i="6"/>
  <c r="F25" i="6" s="1"/>
  <c r="B78" i="29" s="1"/>
  <c r="L78" i="29" s="1"/>
  <c r="E49" i="6"/>
  <c r="F49" i="6" s="1"/>
  <c r="E50" i="6"/>
  <c r="F50" i="6" s="1"/>
  <c r="H94" i="6" l="1"/>
  <c r="A95" i="6"/>
  <c r="A96" i="6" s="1"/>
  <c r="F46" i="6"/>
  <c r="F78" i="6" s="1"/>
  <c r="E78" i="6"/>
  <c r="E90" i="6" s="1"/>
  <c r="E100" i="6" s="1"/>
  <c r="E106" i="6" s="1"/>
  <c r="G65" i="6" l="1"/>
  <c r="G59" i="6"/>
  <c r="G32" i="6"/>
  <c r="G40" i="6"/>
  <c r="A97" i="6"/>
  <c r="A98" i="6" s="1"/>
  <c r="H96" i="6"/>
  <c r="G50" i="6"/>
  <c r="G39" i="6"/>
  <c r="G35" i="6"/>
  <c r="H95" i="6"/>
  <c r="G63" i="6"/>
  <c r="G18" i="6"/>
  <c r="G15" i="6"/>
  <c r="G23" i="6"/>
  <c r="G12" i="6"/>
  <c r="G19" i="6"/>
  <c r="G67" i="6"/>
  <c r="G31" i="6"/>
  <c r="G55" i="6"/>
  <c r="G11" i="6"/>
  <c r="G75" i="6"/>
  <c r="G77" i="6" s="1"/>
  <c r="G29" i="6"/>
  <c r="G49" i="6"/>
  <c r="G28" i="6"/>
  <c r="G9" i="6"/>
  <c r="G10" i="6"/>
  <c r="G16" i="6"/>
  <c r="G17" i="6"/>
  <c r="G13" i="6"/>
  <c r="G14" i="6"/>
  <c r="F90" i="6"/>
  <c r="H97" i="6" l="1"/>
  <c r="H98" i="6"/>
  <c r="A105" i="6"/>
  <c r="A106" i="6" s="1"/>
  <c r="A107" i="6" s="1"/>
  <c r="A109" i="6" s="1"/>
  <c r="A110" i="6" s="1"/>
  <c r="G72" i="6"/>
  <c r="G45" i="6"/>
  <c r="G84" i="6"/>
  <c r="G20" i="6"/>
  <c r="G25" i="6" s="1"/>
  <c r="G46" i="6" l="1"/>
  <c r="G78" i="6" s="1"/>
  <c r="E80" i="26" l="1"/>
  <c r="K77" i="26" s="1"/>
  <c r="J68" i="26" l="1"/>
  <c r="N77" i="26"/>
  <c r="M77" i="26" s="1"/>
  <c r="O77" i="26"/>
  <c r="K207" i="26" l="1"/>
  <c r="I218" i="26" s="1"/>
  <c r="I227" i="26" s="1"/>
  <c r="K174" i="26"/>
  <c r="G223" i="26"/>
  <c r="N68" i="26"/>
  <c r="P68" i="26" s="1"/>
  <c r="K141" i="26"/>
  <c r="J67" i="26"/>
  <c r="L68" i="26"/>
  <c r="L407" i="26"/>
  <c r="L374" i="26"/>
  <c r="K407" i="26"/>
  <c r="K108" i="26"/>
  <c r="F93" i="6"/>
  <c r="F98" i="6" s="1"/>
  <c r="F100" i="6" l="1"/>
  <c r="D74" i="29"/>
  <c r="N67" i="26"/>
  <c r="K440" i="26"/>
  <c r="K473" i="26"/>
  <c r="G218" i="26"/>
  <c r="G227" i="26" s="1"/>
  <c r="M207" i="26" s="1"/>
  <c r="G185" i="26"/>
  <c r="I185" i="26"/>
  <c r="I194" i="26" s="1"/>
  <c r="G190" i="26"/>
  <c r="E204" i="26"/>
  <c r="E171" i="26"/>
  <c r="E138" i="26"/>
  <c r="R157" i="26" s="1"/>
  <c r="J69" i="26"/>
  <c r="K374" i="26"/>
  <c r="E105" i="26"/>
  <c r="R119" i="26" s="1"/>
  <c r="L69" i="26"/>
  <c r="I119" i="26"/>
  <c r="I128" i="26" s="1"/>
  <c r="G418" i="26"/>
  <c r="G423" i="26"/>
  <c r="I418" i="26"/>
  <c r="I427" i="26" s="1"/>
  <c r="G119" i="26"/>
  <c r="G124" i="26"/>
  <c r="I152" i="26"/>
  <c r="I161" i="26" s="1"/>
  <c r="G152" i="26"/>
  <c r="G157" i="26"/>
  <c r="E107" i="6"/>
  <c r="E110" i="6" s="1"/>
  <c r="G82" i="6" l="1"/>
  <c r="G88" i="6"/>
  <c r="P67" i="26"/>
  <c r="P69" i="26" s="1"/>
  <c r="N69" i="26"/>
  <c r="N152" i="26"/>
  <c r="P157" i="26"/>
  <c r="R152" i="26"/>
  <c r="R160" i="26" s="1"/>
  <c r="N157" i="26"/>
  <c r="S152" i="26"/>
  <c r="S160" i="26" s="1"/>
  <c r="S119" i="26"/>
  <c r="S127" i="26" s="1"/>
  <c r="Q152" i="26"/>
  <c r="Q160" i="26" s="1"/>
  <c r="P152" i="26"/>
  <c r="O152" i="26"/>
  <c r="O160" i="26" s="1"/>
  <c r="G484" i="26"/>
  <c r="I484" i="26"/>
  <c r="I493" i="26" s="1"/>
  <c r="G489" i="26"/>
  <c r="G451" i="26"/>
  <c r="I451" i="26"/>
  <c r="I460" i="26" s="1"/>
  <c r="G456" i="26"/>
  <c r="N185" i="26"/>
  <c r="P185" i="26"/>
  <c r="R185" i="26"/>
  <c r="R190" i="26"/>
  <c r="P190" i="26"/>
  <c r="Q185" i="26"/>
  <c r="Q193" i="26" s="1"/>
  <c r="S185" i="26"/>
  <c r="S193" i="26" s="1"/>
  <c r="N190" i="26"/>
  <c r="O185" i="26"/>
  <c r="O193" i="26" s="1"/>
  <c r="G194" i="26"/>
  <c r="M174" i="26" s="1"/>
  <c r="P218" i="26"/>
  <c r="R223" i="26"/>
  <c r="N223" i="26"/>
  <c r="S218" i="26"/>
  <c r="S226" i="26" s="1"/>
  <c r="N218" i="26"/>
  <c r="R218" i="26"/>
  <c r="R226" i="26" s="1"/>
  <c r="P223" i="26"/>
  <c r="O218" i="26"/>
  <c r="O226" i="26" s="1"/>
  <c r="Q218" i="26"/>
  <c r="Q226" i="26" s="1"/>
  <c r="O119" i="26"/>
  <c r="O127" i="26" s="1"/>
  <c r="P124" i="26"/>
  <c r="N119" i="26"/>
  <c r="Q119" i="26"/>
  <c r="Q127" i="26" s="1"/>
  <c r="P119" i="26"/>
  <c r="N124" i="26"/>
  <c r="R124" i="26"/>
  <c r="R127" i="26" s="1"/>
  <c r="G427" i="26"/>
  <c r="M407" i="26" s="1"/>
  <c r="G128" i="26"/>
  <c r="M108" i="26" s="1"/>
  <c r="G161" i="26"/>
  <c r="M141" i="26" s="1"/>
  <c r="F18" i="22"/>
  <c r="C34" i="22" s="1"/>
  <c r="F106" i="6"/>
  <c r="F107" i="6" s="1"/>
  <c r="F110" i="6" s="1"/>
  <c r="G89" i="6" l="1"/>
  <c r="G90" i="6" s="1"/>
  <c r="N226" i="26"/>
  <c r="N207" i="26" s="1"/>
  <c r="R141" i="26"/>
  <c r="N160" i="26"/>
  <c r="N141" i="26" s="1"/>
  <c r="P160" i="26"/>
  <c r="P141" i="26" s="1"/>
  <c r="R108" i="26"/>
  <c r="G460" i="26"/>
  <c r="M440" i="26" s="1"/>
  <c r="G493" i="26"/>
  <c r="M473" i="26" s="1"/>
  <c r="P193" i="26"/>
  <c r="P226" i="26"/>
  <c r="P207" i="26" s="1"/>
  <c r="R193" i="26"/>
  <c r="R174" i="26" s="1"/>
  <c r="R207" i="26"/>
  <c r="P174" i="26"/>
  <c r="N193" i="26"/>
  <c r="N174" i="26" s="1"/>
  <c r="P127" i="26"/>
  <c r="P108" i="26" s="1"/>
  <c r="N127" i="26"/>
  <c r="N108" i="26" s="1"/>
  <c r="C29" i="22"/>
  <c r="D29" i="22"/>
  <c r="D36" i="22" s="1"/>
  <c r="G390" i="26"/>
  <c r="G385" i="26"/>
  <c r="I385" i="26"/>
  <c r="I394" i="26" s="1"/>
  <c r="C36" i="22" l="1"/>
  <c r="G18" i="22" s="1"/>
  <c r="G394" i="26"/>
  <c r="M374" i="26" s="1"/>
</calcChain>
</file>

<file path=xl/comments1.xml><?xml version="1.0" encoding="utf-8"?>
<comments xmlns="http://schemas.openxmlformats.org/spreadsheetml/2006/main">
  <authors>
    <author>shkumar</author>
    <author>jeshuang</author>
    <author>Carla  Thiesen</author>
  </authors>
  <commentList>
    <comment ref="B7" authorId="0">
      <text>
        <r>
          <rPr>
            <sz val="8"/>
            <color indexed="81"/>
            <rFont val="Century Gothic"/>
            <family val="2"/>
          </rPr>
          <t>Please indicate the name of the vendor (organization) requesting funding from CLBC for services to be provided.</t>
        </r>
      </text>
    </comment>
    <comment ref="H7" authorId="1">
      <text>
        <r>
          <rPr>
            <sz val="8"/>
            <color indexed="81"/>
            <rFont val="Century Gothic"/>
            <family val="2"/>
          </rPr>
          <t xml:space="preserve">Please enter your OCG (Office of the Comptroller General) Number if you know it.  If you do not know, CLBC Staff will enter the number per the MARS database.  Please consult CLBC HQ if this is a new service provider without a current OCG number.
</t>
        </r>
      </text>
    </comment>
    <comment ref="B9" authorId="0">
      <text>
        <r>
          <rPr>
            <sz val="8"/>
            <color indexed="81"/>
            <rFont val="Century Gothic"/>
            <family val="2"/>
          </rPr>
          <t>Please indicate the program in which we are receiving services.</t>
        </r>
      </text>
    </comment>
    <comment ref="H9" authorId="0">
      <text>
        <r>
          <rPr>
            <sz val="8"/>
            <color indexed="81"/>
            <rFont val="Century Gothic"/>
            <family val="2"/>
          </rPr>
          <t xml:space="preserve">Please indicate whether you are a member of CSSEA (Community Social Services Employers' Association) or HEABC (Health Employers Association of BC).  If you are a member of an association other than CSSEA or HEABC, please use the Non-Union / Other Union template, but not this template.  </t>
        </r>
      </text>
    </comment>
    <comment ref="B11" authorId="0">
      <text>
        <r>
          <rPr>
            <sz val="8"/>
            <color indexed="81"/>
            <rFont val="Century Gothic"/>
            <family val="2"/>
          </rPr>
          <t>Please indicate the date of this data submission.</t>
        </r>
      </text>
    </comment>
    <comment ref="H11" authorId="2">
      <text>
        <r>
          <rPr>
            <sz val="8"/>
            <color indexed="81"/>
            <rFont val="Century Gothic"/>
            <family val="2"/>
          </rPr>
          <t>Please enter the number of hours per week that your agency considers full time (e.g. 37.5 or 40) employment.  This should be between 33 to 40 hours.</t>
        </r>
        <r>
          <rPr>
            <sz val="8"/>
            <color indexed="81"/>
            <rFont val="Tahoma"/>
            <family val="2"/>
          </rPr>
          <t xml:space="preserve">
</t>
        </r>
        <r>
          <rPr>
            <sz val="8"/>
            <color indexed="81"/>
            <rFont val="Century Gothic"/>
            <family val="2"/>
          </rPr>
          <t>(The default here is considered to be 37.5 hours unless you specify otherwise).</t>
        </r>
      </text>
    </comment>
    <comment ref="B13" authorId="2">
      <text>
        <r>
          <rPr>
            <sz val="8"/>
            <color indexed="81"/>
            <rFont val="Century Gothic"/>
            <family val="2"/>
          </rPr>
          <t>For new contract submissions: enter "not applicable". 
For Existing contracts: enter contract number.</t>
        </r>
        <r>
          <rPr>
            <sz val="8"/>
            <color indexed="81"/>
            <rFont val="Tahoma"/>
            <family val="2"/>
          </rPr>
          <t xml:space="preserve">
</t>
        </r>
      </text>
    </comment>
    <comment ref="H13" authorId="0">
      <text>
        <r>
          <rPr>
            <sz val="8"/>
            <color indexed="81"/>
            <rFont val="Century Gothic"/>
            <family val="2"/>
          </rPr>
          <t>Please indicate whether the service type is "Residential", "Non-residential", or "Home Based Community Inclusion" by selecting the appropriate choice in the drop-down menu.</t>
        </r>
      </text>
    </comment>
    <comment ref="B15" authorId="2">
      <text>
        <r>
          <rPr>
            <sz val="8"/>
            <color indexed="81"/>
            <rFont val="Century Gothic"/>
            <family val="2"/>
          </rPr>
          <t xml:space="preserve">The maximum number of individuals that can be supported in the program at the same time.  </t>
        </r>
      </text>
    </comment>
    <comment ref="H15" authorId="1">
      <text>
        <r>
          <rPr>
            <sz val="8"/>
            <color indexed="81"/>
            <rFont val="Century Gothic"/>
            <family val="2"/>
          </rPr>
          <t xml:space="preserve">For Non-Residential Programs, please enter the number of days this program is closed during the year. Default is 0 days which assume the program runs for the whole year.  
</t>
        </r>
        <r>
          <rPr>
            <b/>
            <sz val="8"/>
            <color indexed="81"/>
            <rFont val="Century Gothic"/>
            <family val="2"/>
          </rPr>
          <t>DO NOT</t>
        </r>
        <r>
          <rPr>
            <sz val="8"/>
            <color indexed="81"/>
            <rFont val="Century Gothic"/>
            <family val="2"/>
          </rPr>
          <t xml:space="preserve"> enter days closed statutory holidays.
The maximum number of "days closed" you may enter is 36 days.  If the program is closed more than 36 days in a year, you cannot use this template to request funding, please speak with your CLBC rep.
(This is not applicable to residential programs.  If you have a residential program and you enter a value here, it will be ignored in the upcoming template calculations).
</t>
        </r>
      </text>
    </comment>
    <comment ref="N15" authorId="1">
      <text>
        <r>
          <rPr>
            <sz val="9"/>
            <color indexed="81"/>
            <rFont val="Tahoma"/>
            <family val="2"/>
          </rPr>
          <t>Max at 36 days for Non-residential program, otherwise backfill % will become "negative" in Page 2.</t>
        </r>
      </text>
    </comment>
    <comment ref="H17" authorId="1">
      <text>
        <r>
          <rPr>
            <sz val="8"/>
            <color indexed="81"/>
            <rFont val="Century Gothic"/>
            <family val="2"/>
          </rPr>
          <t xml:space="preserve">If you are incorporated as a Person-Centred Society, please indicate "yes" or "no" in the drop-down menu.  (The default position here is "no", not a Person-Centred Society).
</t>
        </r>
      </text>
    </comment>
    <comment ref="A19" authorId="1">
      <text>
        <r>
          <rPr>
            <sz val="8"/>
            <color indexed="81"/>
            <rFont val="Century Gothic"/>
            <family val="2"/>
          </rPr>
          <t>Please note: you should use 1 template for each place of service, they should not be combined into a single submission.</t>
        </r>
      </text>
    </comment>
    <comment ref="B21" authorId="1">
      <text>
        <r>
          <rPr>
            <sz val="8"/>
            <color indexed="81"/>
            <rFont val="Century Gothic"/>
            <family val="2"/>
          </rPr>
          <t>Please choose a name to identify the place of service.  
For your convenience, the place of service name has been defaulted to be the same as the program you entered above.  If this is incorrect (or you have inadvertently deleted the default formula), please simply overwrite this input cell with the correct name.</t>
        </r>
      </text>
    </comment>
    <comment ref="H21" authorId="0">
      <text>
        <r>
          <rPr>
            <sz val="8"/>
            <color indexed="81"/>
            <rFont val="Century Gothic"/>
            <family val="2"/>
          </rPr>
          <t>Please indicate whether funding for this program is through the Developmental Disabilities (DD) or Personalised Supports Initiative (PSI) Eligibility Portfolios.</t>
        </r>
        <r>
          <rPr>
            <sz val="9"/>
            <color indexed="81"/>
            <rFont val="Tahoma"/>
            <family val="2"/>
          </rPr>
          <t xml:space="preserve">
</t>
        </r>
      </text>
    </comment>
    <comment ref="B23" authorId="0">
      <text>
        <r>
          <rPr>
            <sz val="8"/>
            <color indexed="81"/>
            <rFont val="Century Gothic"/>
            <family val="2"/>
          </rPr>
          <t>Please indicate the address of where the service is provided.</t>
        </r>
      </text>
    </comment>
    <comment ref="B25" authorId="0">
      <text>
        <r>
          <rPr>
            <sz val="8"/>
            <color indexed="81"/>
            <rFont val="Century Gothic"/>
            <family val="2"/>
          </rPr>
          <t>Please indicate the name of the city / town where the service is provided.</t>
        </r>
      </text>
    </comment>
    <comment ref="B27" authorId="0">
      <text>
        <r>
          <rPr>
            <sz val="8"/>
            <color indexed="81"/>
            <rFont val="Century Gothic"/>
            <family val="2"/>
          </rPr>
          <t>Please indicate the postal code of the location where the service is provided.</t>
        </r>
      </text>
    </comment>
    <comment ref="B31" authorId="1">
      <text>
        <r>
          <rPr>
            <b/>
            <sz val="8"/>
            <color indexed="81"/>
            <rFont val="Century Gothic"/>
            <family val="2"/>
          </rPr>
          <t>CLBC Rep:</t>
        </r>
        <r>
          <rPr>
            <sz val="8"/>
            <color indexed="81"/>
            <rFont val="Century Gothic"/>
            <family val="2"/>
          </rPr>
          <t xml:space="preserve">  If you are instructed by CLBC/HQ at any point in the future regarding FGT/funding updating, then please select the negotiated wage grid.  There are 2 choices:
A.  The default is (Current) January 1, 2014, reflecting the most recent CLBC/CEO Network negotiation as at the v1Apr13 FGT release.  
B.  At a future time, when instructed, you will select (NEW) Post-January 1, 2014.
</t>
        </r>
      </text>
    </comment>
    <comment ref="H31" authorId="1">
      <text>
        <r>
          <rPr>
            <sz val="8"/>
            <color indexed="81"/>
            <rFont val="Century Gothic"/>
            <family val="2"/>
          </rPr>
          <t xml:space="preserve">If you selected (New) Post-January 1 2014 to the left, please enter the grid % increase as instructed by CLBC/HQ.  
Enter to 2 decimal places only, i.e. x.xx%, not x.xxx%.  If you enter other than as requested, the percentage applied will automatically convert it to 2 decimal places to attain x.xx% in determining all wage calculations used in this FGT.
</t>
        </r>
      </text>
    </comment>
    <comment ref="B34" authorId="1">
      <text>
        <r>
          <rPr>
            <b/>
            <sz val="8"/>
            <color indexed="81"/>
            <rFont val="Century Gothic"/>
            <family val="2"/>
          </rPr>
          <t>CLBC Rep:</t>
        </r>
        <r>
          <rPr>
            <sz val="8"/>
            <color indexed="81"/>
            <rFont val="Century Gothic"/>
            <family val="2"/>
          </rPr>
          <t xml:space="preserve">  If you are instructed by CLBC/HQ at any point in the future regarding FGT/funding updating, then please select the negotiated wage grid.  There are 2 choices:
A.  The default is (Current) January 1, 2014, reflecting the most recent CLBC/CEO Network negotiation as at the v1Apr13 FGT release.  
B.  At a future time, when instructed, you will select (NEW) Post-January 1, 2014.
</t>
        </r>
      </text>
    </comment>
    <comment ref="H34" authorId="1">
      <text>
        <r>
          <rPr>
            <sz val="8"/>
            <color indexed="81"/>
            <rFont val="Century Gothic"/>
            <family val="2"/>
          </rPr>
          <t xml:space="preserve">If you selected (New) Post-January 1 2014 to the left, please enter the grid % increase as instructed by CLBC/HQ.  
Enter to 2 decimal places only, i.e. x.xx%, not x.xxx%.  If you enter other than as requested, the percentage applied will automatically convert it to 2 decimal places to attain x.xx% in determining all wage calculations used in this FGT.
</t>
        </r>
      </text>
    </comment>
    <comment ref="B37" authorId="1">
      <text>
        <r>
          <rPr>
            <b/>
            <sz val="8"/>
            <color indexed="81"/>
            <rFont val="Century Gothic"/>
            <family val="2"/>
          </rPr>
          <t>CLBC Rep:</t>
        </r>
        <r>
          <rPr>
            <sz val="8"/>
            <color indexed="81"/>
            <rFont val="Century Gothic"/>
            <family val="2"/>
          </rPr>
          <t xml:space="preserve">  If you are instructed by CLBC/HQ at any point in the future regarding FGT/funding updating of the Supervisor Wage Rate, then please select the negotiated wage grid.  There are 2 choices:
A.  The default is (Current) January 1, 2014, reflecting the most recent CLBC/CEO Network negotiation as at the v1Apr13 FGT release which remains at $26.57 hourly wage rate.  
B.  At a future time, when instructed, you will select (NEW) Post-January 1, 2014.
</t>
        </r>
      </text>
    </comment>
    <comment ref="H37" authorId="1">
      <text>
        <r>
          <rPr>
            <sz val="8"/>
            <color indexed="81"/>
            <rFont val="Century Gothic"/>
            <family val="2"/>
          </rPr>
          <t>If you selected (New) Post-January 1, 2014 to the left, you must indicate here the New Supervisor Hourly Wage rate as instructed by CLBC/HQ.  
Enter to 2 decimal places only, i.e. $x.xx, not $x.xxx.  If you enter other than as requested, the wage used will automatically convert it to 2 decimal places to attain $x.xx in determining all supervisor wage calculations used in this FGT.</t>
        </r>
        <r>
          <rPr>
            <sz val="9"/>
            <color indexed="81"/>
            <rFont val="Tahoma"/>
            <family val="2"/>
          </rPr>
          <t xml:space="preserve">
</t>
        </r>
      </text>
    </comment>
    <comment ref="B45" authorId="1">
      <text>
        <r>
          <rPr>
            <sz val="8"/>
            <color indexed="81"/>
            <rFont val="Century Gothic"/>
            <family val="2"/>
          </rPr>
          <t>Please enter you Municipal Pension Plan (MPP) Contribution % as noted on your BC Pension Statement.  Please note, this is the MPP contribution % for your overall organization (not the contribution % for employees in this specific location of service).</t>
        </r>
      </text>
    </comment>
    <comment ref="B47" authorId="1">
      <text>
        <r>
          <rPr>
            <sz val="8"/>
            <color indexed="81"/>
            <rFont val="Century Gothic"/>
            <family val="2"/>
          </rPr>
          <t xml:space="preserve">Please enter the % of relevant employees of your organization participating in the Municipal Pension Plan (MPP).  Please note, this is the MPP participation % for your overall organization (not the participation % for employees in this specific location of service).
NOTE:  MPP Participation % methodology differs from previous calculations.  It is applied retroactively to MPP calculations starting July 1, 2012 and first appears in the FGT release of v1Apr13.
</t>
        </r>
        <r>
          <rPr>
            <b/>
            <sz val="8"/>
            <color indexed="81"/>
            <rFont val="Century Gothic"/>
            <family val="2"/>
          </rPr>
          <t xml:space="preserve">Calculation of Participation Rate: </t>
        </r>
        <r>
          <rPr>
            <sz val="8"/>
            <color indexed="81"/>
            <rFont val="Century Gothic"/>
            <family val="2"/>
          </rPr>
          <t xml:space="preserve"> 
(A) # of pensionable FTEs 
</t>
        </r>
        <r>
          <rPr>
            <i/>
            <sz val="8"/>
            <color indexed="81"/>
            <rFont val="Century Gothic"/>
            <family val="2"/>
          </rPr>
          <t xml:space="preserve">divided by </t>
        </r>
        <r>
          <rPr>
            <sz val="8"/>
            <color indexed="81"/>
            <rFont val="Century Gothic"/>
            <family val="2"/>
          </rPr>
          <t xml:space="preserve">
(B) Total FTEs  
(A) # of Pensionable FTEs = Total Pensionable Service as reported to PensionsBC in January of each year divided by 12.
(B) Total FTEs = Total hours paid in the calendar year divided by the standard full-time hours within your organization.
Both (A) and (B) include FT regular, PT and Casual employees.
Please Note:  Total Pensionable Service is readily available from the Service Event Record reported each calendar year to PensionsBC.  It is reported to PensionsBC in terms of the number of "Pensionable Service" months, and dividing that by 12 gives you the number of Pensionable FTEs.  Please also note the above calculation uses Pensionable Service, NOT Contributory Service.</t>
        </r>
      </text>
    </comment>
    <comment ref="B49" authorId="0">
      <text>
        <r>
          <rPr>
            <sz val="8"/>
            <color indexed="81"/>
            <rFont val="Century Gothic"/>
            <family val="2"/>
          </rPr>
          <t>Please enter the % wages you pay for Long-Term Disability (LTD) insurance premiums.  Please note, this is the LTD % for your overall organization (not the % for employees in this specific location of service).</t>
        </r>
      </text>
    </comment>
    <comment ref="B51"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62" authorId="1">
      <text>
        <r>
          <rPr>
            <sz val="8"/>
            <color indexed="81"/>
            <rFont val="Century Gothic"/>
            <family val="2"/>
          </rPr>
          <t xml:space="preserve">Effective April 1, 2013, the administration maximum is 9%.  
This is for </t>
        </r>
        <r>
          <rPr>
            <b/>
            <sz val="8"/>
            <color indexed="81"/>
            <rFont val="Century Gothic"/>
            <family val="2"/>
          </rPr>
          <t>Non-Person-Centred Society</t>
        </r>
        <r>
          <rPr>
            <sz val="8"/>
            <color indexed="81"/>
            <rFont val="Century Gothic"/>
            <family val="2"/>
          </rPr>
          <t xml:space="preserve"> Agency only. Leave blank if you are incorporated as a Person-Centred Society.</t>
        </r>
      </text>
    </comment>
    <comment ref="B64" authorId="1">
      <text>
        <r>
          <rPr>
            <sz val="8"/>
            <color indexed="81"/>
            <rFont val="Century Gothic"/>
            <family val="2"/>
          </rPr>
          <t>The Administration % for Person-Centred Society is set at 3%.</t>
        </r>
      </text>
    </comment>
    <comment ref="B67" authorId="0">
      <text>
        <r>
          <rPr>
            <sz val="8"/>
            <color indexed="81"/>
            <rFont val="Century Gothic"/>
            <family val="2"/>
          </rPr>
          <t xml:space="preserve">FGT Recovery Rate is to assist in Service Level Monitoring recoveries.
</t>
        </r>
      </text>
    </comment>
    <comment ref="B68" authorId="0">
      <text>
        <r>
          <rPr>
            <sz val="8"/>
            <color indexed="81"/>
            <rFont val="Century Gothic"/>
            <family val="2"/>
          </rPr>
          <t xml:space="preserve">Annual Direct Staff wages for all direct staff workers </t>
        </r>
        <r>
          <rPr>
            <i/>
            <sz val="8"/>
            <color indexed="81"/>
            <rFont val="Century Gothic"/>
            <family val="2"/>
          </rPr>
          <t>except</t>
        </r>
        <r>
          <rPr>
            <sz val="8"/>
            <color indexed="81"/>
            <rFont val="Century Gothic"/>
            <family val="2"/>
          </rPr>
          <t xml:space="preserve"> the CSSEA Asleep / Awake Residential Night Workers.
</t>
        </r>
      </text>
    </comment>
    <comment ref="D68" authorId="0">
      <text>
        <r>
          <rPr>
            <sz val="8"/>
            <color indexed="81"/>
            <rFont val="Century Gothic"/>
            <family val="2"/>
          </rPr>
          <t xml:space="preserve">Annual Paid Hours for all direct staff workers </t>
        </r>
        <r>
          <rPr>
            <i/>
            <sz val="8"/>
            <color indexed="81"/>
            <rFont val="Century Gothic"/>
            <family val="2"/>
          </rPr>
          <t>except</t>
        </r>
        <r>
          <rPr>
            <sz val="8"/>
            <color indexed="81"/>
            <rFont val="Century Gothic"/>
            <family val="2"/>
          </rPr>
          <t xml:space="preserve"> the CSSEA Asleep / Awake Residential Night Workers.</t>
        </r>
      </text>
    </comment>
    <comment ref="B71" authorId="0">
      <text>
        <r>
          <rPr>
            <sz val="8"/>
            <color indexed="81"/>
            <rFont val="Century Gothic"/>
            <family val="2"/>
          </rPr>
          <t>The FGT gap per Page 3 is brought forward here.  It is the FGT gap for "fixed ongoing" funding.  
It does not include any FGT gap from variable or OTO funding on Pages 6A and 6B, if applicable.</t>
        </r>
      </text>
    </comment>
    <comment ref="B76" authorId="0">
      <text>
        <r>
          <rPr>
            <sz val="8"/>
            <color indexed="81"/>
            <rFont val="Century Gothic"/>
            <family val="2"/>
          </rPr>
          <t>FGT Unitized Rate is to assist in short-term quick negotiations of service level changes, if desired.</t>
        </r>
      </text>
    </comment>
    <comment ref="B80"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List>
</comments>
</file>

<file path=xl/comments2.xml><?xml version="1.0" encoding="utf-8"?>
<comments xmlns="http://schemas.openxmlformats.org/spreadsheetml/2006/main">
  <authors>
    <author>jeshuang</author>
    <author>shkumar</author>
    <author>Candy  Yeung</author>
  </authors>
  <commentList>
    <comment ref="AC4" authorId="0">
      <text>
        <r>
          <rPr>
            <sz val="9"/>
            <color indexed="81"/>
            <rFont val="Tahoma"/>
            <family val="2"/>
          </rPr>
          <t>See Page8 Rate table calculation on backfill Service Level %. This % is different than backfill wage %.</t>
        </r>
      </text>
    </comment>
    <comment ref="B7" authorId="1">
      <text>
        <r>
          <rPr>
            <sz val="9"/>
            <color indexed="81"/>
            <rFont val="Century Gothic"/>
            <family val="2"/>
          </rPr>
          <t xml:space="preserve">Please choose a Staff Job Classification from this listing - choose the closet match if your classification is different.  Use one line per staff member.
For your information only, when you enter a position that is above CSSEA grid 12 or HEABC grid 8, it will highlight in a </t>
        </r>
        <r>
          <rPr>
            <b/>
            <sz val="9"/>
            <color indexed="81"/>
            <rFont val="Century Gothic"/>
            <family val="2"/>
          </rPr>
          <t>pink colour</t>
        </r>
        <r>
          <rPr>
            <sz val="9"/>
            <color indexed="81"/>
            <rFont val="Century Gothic"/>
            <family val="2"/>
          </rPr>
          <t xml:space="preserve"> in order to draw your attention to higher paid positions.
"Flat Rate" Workers - If you have a worker who is paid a flat rate loaded to include total compensation - wages and benefits, then you are to enter the dollar "monthly" flat rate in lines 15 or 16 ("other") of Page 3.  In this schedule, you are to choose either "CSSEA-Other" or "HEABC-Other" to record their average weekly hours, so that this is included in the "Service Level".  In this situation, please be aware that when you review the dollar amounts of wages and benefits on a staff-by-staff basis on Page 5, you should NOT see any dollars associated with this "flat-rate" worker, as you have entered this amount already on Page 3, and this will allow for not double-counting the dollars.</t>
        </r>
      </text>
    </comment>
    <comment ref="S7" authorId="0">
      <text>
        <r>
          <rPr>
            <sz val="8"/>
            <color indexed="81"/>
            <rFont val="Century Gothic"/>
            <family val="2"/>
          </rPr>
          <t>In this column, you may enter any adjustment hours to regular staff schedules, for any types of exceptions.  It is also a "flexible" type of field for you to enter unusual circumstances.  If you enter hours in these cells, please ensure you indicate a "comment" to the right explaining the situation.
If you enter any "negative" hours which will remain post-negotiation, you will have to ensure you choose a Job Classification on the left to see the wage reductions on pages 3 and 5 accurately.  As well, you will see "positive" adjustments to the backfill / stat holiday etc "reductions", i.e. they will have the opposite impact of a reduction because you have entered a "negative" hourly schedule.  It is recommended that you do NOT leave negative hours in this staffing schedule.</t>
        </r>
      </text>
    </comment>
    <comment ref="T7" authorId="1">
      <text>
        <r>
          <rPr>
            <sz val="8"/>
            <color indexed="81"/>
            <rFont val="Century Gothic"/>
            <family val="2"/>
          </rPr>
          <t xml:space="preserve">Gross Fixed Service Level Hours per week and per year assuming the default 100% backfill for each position.  
The calculations below take the weekly hours, multiplied by 52.25 - (the extra .25 week is added to account for the use of 365 vs. 364 days, plus the additional .25 day occurring for each extra day per leap year i.e. total of 1.25 days per year is equivalent to and extra .25 week based on a 5 days work week).
In the case of a non-residential program, the 52.25 weeks is reduced by the number of statutory holidays converted to weeks as no service is provided on these days. </t>
        </r>
      </text>
    </comment>
    <comment ref="U7" authorId="2">
      <text>
        <r>
          <rPr>
            <sz val="8"/>
            <color indexed="81"/>
            <rFont val="Century Gothic"/>
            <family val="2"/>
          </rPr>
          <t>Calculation based on FTE Hours/Week filled in Page 1 of Application</t>
        </r>
        <r>
          <rPr>
            <sz val="8"/>
            <color indexed="81"/>
            <rFont val="Tahoma"/>
            <family val="2"/>
          </rPr>
          <t xml:space="preserve">
</t>
        </r>
      </text>
    </comment>
    <comment ref="V7" authorId="0">
      <text>
        <r>
          <rPr>
            <sz val="8"/>
            <color indexed="81"/>
            <rFont val="Century Gothic"/>
            <family val="2"/>
          </rPr>
          <t xml:space="preserve">By default, backfill is assumed to be 100%.  If this is not true, please recalculate the appropriate backfill % amount taking into consideration the number of backfill days needed for vacation, sickness, education / training (and in the case of residential programs, consider the number of statutory holidays).   
Please note that many non-residential programs have </t>
        </r>
        <r>
          <rPr>
            <b/>
            <sz val="8"/>
            <color indexed="81"/>
            <rFont val="Century Gothic"/>
            <family val="2"/>
          </rPr>
          <t xml:space="preserve">annual closures </t>
        </r>
        <r>
          <rPr>
            <sz val="8"/>
            <color indexed="81"/>
            <rFont val="Century Gothic"/>
            <family val="2"/>
          </rPr>
          <t xml:space="preserve">where staff take vacation during such closures.  For each week (5 day work week) there is a closure and the staff take holidays, there is a 14% reduction in backfill required for that staff member as no employees will be required during this time.  This equates to </t>
        </r>
        <r>
          <rPr>
            <b/>
            <sz val="8"/>
            <color indexed="81"/>
            <rFont val="Century Gothic"/>
            <family val="2"/>
          </rPr>
          <t>2.7678%</t>
        </r>
        <r>
          <rPr>
            <sz val="8"/>
            <color indexed="81"/>
            <rFont val="Century Gothic"/>
            <family val="2"/>
          </rPr>
          <t xml:space="preserve"> for each day of closure.  For your convenience, this template will autocalculate this reduction using these assumptions based on the number of "closure days" you entered into Page 1.  If the assumptions are correct, and there is no other backfill adjustment required for any other reasons, please continue. 
However, if the assumption does not apply or there are other reasons to adjust the backfill %, please compute separately and override this cell with the correct %.  </t>
        </r>
      </text>
    </comment>
    <comment ref="X7" authorId="1">
      <text>
        <r>
          <rPr>
            <sz val="8"/>
            <color indexed="81"/>
            <rFont val="Century Gothic"/>
            <family val="2"/>
          </rPr>
          <t xml:space="preserve">If you have overridden the 100% default backfill on any position, the weekly backfill reduction is </t>
        </r>
        <r>
          <rPr>
            <b/>
            <sz val="8"/>
            <color indexed="81"/>
            <rFont val="Century Gothic"/>
            <family val="2"/>
          </rPr>
          <t xml:space="preserve">auto calculated </t>
        </r>
        <r>
          <rPr>
            <sz val="8"/>
            <color indexed="81"/>
            <rFont val="Century Gothic"/>
            <family val="2"/>
          </rPr>
          <t>for you based on the % of time the position is not backfilled, the weekly hours normally worked, and the backfill hours.  This will reduce the service level hours being contracted.
Reduction is made for closure days, and for any other reasons you made an override to the backfill % to the left.</t>
        </r>
      </text>
    </comment>
    <comment ref="Y7" authorId="1">
      <text>
        <r>
          <rPr>
            <sz val="8"/>
            <color indexed="81"/>
            <rFont val="Century Gothic"/>
            <family val="2"/>
          </rPr>
          <t xml:space="preserve">If you have overridden the 100% default backfill on any position, the annual backfill reduction is </t>
        </r>
        <r>
          <rPr>
            <b/>
            <sz val="8"/>
            <color indexed="81"/>
            <rFont val="Century Gothic"/>
            <family val="2"/>
          </rPr>
          <t>auto calculated</t>
        </r>
        <r>
          <rPr>
            <sz val="8"/>
            <color indexed="81"/>
            <rFont val="Century Gothic"/>
            <family val="2"/>
          </rPr>
          <t xml:space="preserve"> for you based on the % of time the position is not backfilled, the weekly hours normally worked, and the backfill hours.  This will reduce the annual service level hours being contracted.</t>
        </r>
      </text>
    </comment>
    <comment ref="Z7" authorId="0">
      <text>
        <r>
          <rPr>
            <sz val="8"/>
            <color indexed="81"/>
            <rFont val="Century Gothic"/>
            <family val="2"/>
          </rPr>
          <t xml:space="preserve">For non-residential program, service levels are reduced for the # of statutory holidays. </t>
        </r>
      </text>
    </comment>
    <comment ref="AA7" authorId="0">
      <text>
        <r>
          <rPr>
            <sz val="8"/>
            <color indexed="81"/>
            <rFont val="Century Gothic"/>
            <family val="2"/>
          </rPr>
          <t xml:space="preserve">For non-residential program, service levels are reduced for the # of statutory holidays. </t>
        </r>
      </text>
    </comment>
    <comment ref="AB7" authorId="1">
      <text>
        <r>
          <rPr>
            <sz val="8"/>
            <color indexed="81"/>
            <rFont val="Century Gothic"/>
            <family val="2"/>
          </rPr>
          <t>The net fixed service level hours should be recorded as part of the contract to define the service level purchased.</t>
        </r>
        <r>
          <rPr>
            <sz val="9"/>
            <color indexed="81"/>
            <rFont val="Tahoma"/>
            <family val="2"/>
          </rPr>
          <t xml:space="preserve">
</t>
        </r>
      </text>
    </comment>
    <comment ref="AF7"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AB9" authorId="1">
      <text>
        <r>
          <rPr>
            <sz val="8"/>
            <color indexed="81"/>
            <rFont val="Century Gothic"/>
            <family val="2"/>
          </rPr>
          <t xml:space="preserve">There will be immaterial differences between weekly and annual service level hour numbers due to the use of 2 decimals.  </t>
        </r>
        <r>
          <rPr>
            <b/>
            <sz val="8"/>
            <color indexed="81"/>
            <rFont val="Century Gothic"/>
            <family val="2"/>
          </rPr>
          <t>This is NOT an error.</t>
        </r>
        <r>
          <rPr>
            <sz val="8"/>
            <color indexed="81"/>
            <rFont val="Century Gothic"/>
            <family val="2"/>
          </rPr>
          <t xml:space="preserve">  The annual service hours have been made accurate as a sum of detailed calculations.  As a second step, the weekly service hours are an approximation (taking annual hours and dividing by 52.25).  CLBC Rep:  If you are not using the PTPage 7 Payment Table Support Calculator to assist in drafting your contract, you should use the annual service level shown here, and round it to the nearest whole number when taking it to your contract.  For example, if this FGT Page 2 notes the annual service level as 2,154.27 hours, you would take 2,154 hours to your contract.</t>
        </r>
      </text>
    </comment>
    <comment ref="D10" authorId="0">
      <text>
        <r>
          <rPr>
            <sz val="8"/>
            <color indexed="81"/>
            <rFont val="Century Gothic"/>
            <family val="2"/>
          </rPr>
          <t xml:space="preserve">Enter start time and end time of shift using the 24 hour clock, e.g. 7:00 - 14:30.  </t>
        </r>
        <r>
          <rPr>
            <b/>
            <sz val="8"/>
            <color indexed="81"/>
            <rFont val="Century Gothic"/>
            <family val="2"/>
          </rPr>
          <t>You MUST enter the format using the "colon" :</t>
        </r>
      </text>
    </comment>
    <comment ref="D11" authorId="0">
      <text>
        <r>
          <rPr>
            <sz val="8"/>
            <color indexed="81"/>
            <rFont val="Century Gothic"/>
            <family val="2"/>
          </rPr>
          <t>Number of hours is automatically calculated once you enter the shift.</t>
        </r>
      </text>
    </comment>
  </commentList>
</comments>
</file>

<file path=xl/comments3.xml><?xml version="1.0" encoding="utf-8"?>
<comments xmlns="http://schemas.openxmlformats.org/spreadsheetml/2006/main">
  <authors>
    <author>shkumar</author>
    <author>jeshuang</author>
    <author>Barbara  Bolenback</author>
  </authors>
  <commentList>
    <comment ref="F7" authorId="0">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if you are completing them manually (i.e. you are not yet using PTPage7).
</t>
        </r>
      </text>
    </comment>
    <comment ref="Q7"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E27" authorId="0">
      <text>
        <r>
          <rPr>
            <sz val="8"/>
            <color indexed="81"/>
            <rFont val="Century Gothic"/>
            <family val="2"/>
          </rPr>
          <t>Please insert your average monthly cost through the year.</t>
        </r>
      </text>
    </comment>
    <comment ref="Q27"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29" authorId="0">
      <text>
        <r>
          <rPr>
            <sz val="8"/>
            <color indexed="81"/>
            <rFont val="Century Gothic"/>
            <family val="2"/>
          </rPr>
          <t xml:space="preserve">This line should only be used for:  medical equipment and repairs, medical supplies, and/or medications which are NOT covered by MSD or other funding sources.   All alternative sources of funding must be explored prior to requests being submitted to (and negotiated with)  CLBC. This is a negotiated amount subject to approval at the QSA's discretion.
</t>
        </r>
      </text>
    </comment>
    <comment ref="K30" authorId="1">
      <text>
        <r>
          <rPr>
            <sz val="9"/>
            <color indexed="81"/>
            <rFont val="Tahoma"/>
            <family val="2"/>
          </rPr>
          <t>Per Direct Staff FTE per Year. Does NOT include supervisor FTE.</t>
        </r>
      </text>
    </comment>
    <comment ref="B35" authorId="1">
      <text>
        <r>
          <rPr>
            <sz val="8"/>
            <color indexed="81"/>
            <rFont val="Century Gothic"/>
            <family val="2"/>
          </rPr>
          <t xml:space="preserve">Mileage applies to staff using his/her own motor vehicle to conduct business. If the vehicle is owned by the Agency, enter costs (gas / repairs / maintenance / insurance) in vehicle section below.  </t>
        </r>
      </text>
    </comment>
    <comment ref="I35" authorId="1">
      <text>
        <r>
          <rPr>
            <sz val="9"/>
            <color indexed="81"/>
            <rFont val="Tahoma"/>
            <family val="2"/>
          </rPr>
          <t>$ per day x 365 days</t>
        </r>
      </text>
    </comment>
    <comment ref="J35" authorId="1">
      <text>
        <r>
          <rPr>
            <sz val="9"/>
            <color indexed="81"/>
            <rFont val="Tahoma"/>
            <family val="2"/>
          </rPr>
          <t>$ per day x 261 days</t>
        </r>
      </text>
    </comment>
    <comment ref="B48" authorId="1">
      <text>
        <r>
          <rPr>
            <sz val="8"/>
            <color indexed="81"/>
            <rFont val="Century Gothic"/>
            <family val="2"/>
          </rPr>
          <t>Administration is applied against staffing and program costs and is exclusive of facilities costs.</t>
        </r>
      </text>
    </comment>
    <comment ref="Q48"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49" authorId="1">
      <text>
        <r>
          <rPr>
            <sz val="8"/>
            <color indexed="81"/>
            <rFont val="Century Gothic"/>
            <family val="2"/>
          </rPr>
          <t xml:space="preserve">Effective April 1, 2013, the administration maximum is 9%.  
This line is for </t>
        </r>
        <r>
          <rPr>
            <b/>
            <sz val="8"/>
            <color indexed="81"/>
            <rFont val="Century Gothic"/>
            <family val="2"/>
          </rPr>
          <t>Non</t>
        </r>
        <r>
          <rPr>
            <sz val="8"/>
            <color indexed="81"/>
            <rFont val="Century Gothic"/>
            <family val="2"/>
          </rPr>
          <t xml:space="preserve">-Person-Centred Society Agency only. 
</t>
        </r>
      </text>
    </comment>
    <comment ref="B52" authorId="2">
      <text>
        <r>
          <rPr>
            <sz val="8"/>
            <color indexed="81"/>
            <rFont val="Century Gothic"/>
            <family val="2"/>
          </rPr>
          <t xml:space="preserve">Please outline the funding request below for facilities used in providing services to CLBC individuals, where facilities are for "program" facilities.  Costs related to "Head Office Facilities" should NOT be included below as they are recovered via the Administration Charge above.  If any costs are shared between "Program Facilities" and "Head Office Facilities", please reduce the amounts requested in this section by a proportionate amount as related to "Head Office".  Your CLBC Analyst can assist you if you have any questions.
</t>
        </r>
      </text>
    </comment>
    <comment ref="Q52"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55" authorId="1">
      <text>
        <r>
          <rPr>
            <sz val="8"/>
            <color indexed="81"/>
            <rFont val="Century Gothic"/>
            <family val="2"/>
          </rPr>
          <t xml:space="preserve">Fair market rent is defined as the amount of rent that a given property would command if it were available to rent right now. This usually includes maintenance and replacement costs.
</t>
        </r>
      </text>
    </comment>
    <comment ref="B56" authorId="1">
      <text>
        <r>
          <rPr>
            <sz val="8"/>
            <color indexed="81"/>
            <rFont val="Century Gothic"/>
            <family val="2"/>
          </rPr>
          <t>A.  Indicate actual rental costs of the facilities, or 
B.  If the arrangement is not at arms-length, input a "reasonable" proxy of the arms-length rent.  For example, an arrangement is not at arms-length if the service provider rents the facility from an associated company.</t>
        </r>
      </text>
    </comment>
    <comment ref="B63" authorId="0">
      <text>
        <r>
          <rPr>
            <sz val="8"/>
            <color indexed="81"/>
            <rFont val="Century Gothic"/>
            <family val="2"/>
          </rPr>
          <t xml:space="preserve">The reasonable cost of major appliances needed to provide services to the individuals, such as fridges, stoves, washer, dryers etc.
</t>
        </r>
      </text>
    </comment>
    <comment ref="B65" authorId="0">
      <text>
        <r>
          <rPr>
            <sz val="8"/>
            <color indexed="81"/>
            <rFont val="Century Gothic"/>
            <family val="2"/>
          </rPr>
          <t>Major and minor R&amp;M for owned properties, and minor R&amp;M for rented properties.</t>
        </r>
        <r>
          <rPr>
            <sz val="9"/>
            <color indexed="81"/>
            <rFont val="Tahoma"/>
            <family val="2"/>
          </rPr>
          <t xml:space="preserve">
</t>
        </r>
      </text>
    </comment>
    <comment ref="Q74"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75" authorId="0">
      <text>
        <r>
          <rPr>
            <sz val="8"/>
            <color indexed="81"/>
            <rFont val="Century Gothic"/>
            <family val="2"/>
          </rPr>
          <t xml:space="preserve">Please Note:  If you use this area for any "special scenario" adjustments, the adjustment will be as entered, and "administration" will NOT be applied.  </t>
        </r>
      </text>
    </comment>
    <comment ref="B76" authorId="0">
      <text>
        <r>
          <rPr>
            <sz val="8"/>
            <color indexed="81"/>
            <rFont val="Century Gothic"/>
            <family val="2"/>
          </rPr>
          <t xml:space="preserve">Please Note:  If you use this area for any "special scenario" adjustments, the adjustment will be as entered, and "administration" will NOT be applied.  </t>
        </r>
      </text>
    </comment>
    <comment ref="Q81"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82" authorId="1">
      <text>
        <r>
          <rPr>
            <sz val="8"/>
            <color indexed="81"/>
            <rFont val="Century Gothic"/>
            <family val="2"/>
          </rPr>
          <t>PWD rates are set by the Ministry of Social Development (MSD) in BC and are adjusted from time to time.  Please check for updated rates if you are unsure if the rates listed are correct.</t>
        </r>
      </text>
    </comment>
    <comment ref="B83" authorId="1">
      <text>
        <r>
          <rPr>
            <sz val="8"/>
            <color indexed="81"/>
            <rFont val="Century Gothic"/>
            <family val="2"/>
          </rPr>
          <t xml:space="preserve">OAS / GIS rates are set by the Federal Government.  Please check for updated rates if you are unsure if the rates listed are correct.
</t>
        </r>
      </text>
    </comment>
    <comment ref="F90" authorId="0">
      <text>
        <r>
          <rPr>
            <sz val="8"/>
            <color indexed="81"/>
            <rFont val="Century Gothic"/>
            <family val="2"/>
          </rPr>
          <t xml:space="preserve">Note:  The annual figures are shown for your convenience.  Please do </t>
        </r>
        <r>
          <rPr>
            <b/>
            <sz val="8"/>
            <color indexed="81"/>
            <rFont val="Century Gothic"/>
            <family val="2"/>
          </rPr>
          <t>NOT</t>
        </r>
        <r>
          <rPr>
            <sz val="8"/>
            <color indexed="81"/>
            <rFont val="Century Gothic"/>
            <family val="2"/>
          </rPr>
          <t xml:space="preserve"> use these figures in your contract templates / Upside.  When rounding (for example to 2 decimal places) either the monthly or the annual figures will have to be out an amount.  This template has been chosen to allow the </t>
        </r>
        <r>
          <rPr>
            <b/>
            <sz val="8"/>
            <color indexed="81"/>
            <rFont val="Century Gothic"/>
            <family val="2"/>
          </rPr>
          <t>"monthly" figures supersede in accuracy</t>
        </r>
        <r>
          <rPr>
            <sz val="8"/>
            <color indexed="81"/>
            <rFont val="Century Gothic"/>
            <family val="2"/>
          </rPr>
          <t xml:space="preserve">.  
</t>
        </r>
        <r>
          <rPr>
            <b/>
            <sz val="8"/>
            <color indexed="81"/>
            <rFont val="Century Gothic"/>
            <family val="2"/>
          </rPr>
          <t>CLBC Rep:</t>
        </r>
        <r>
          <rPr>
            <sz val="8"/>
            <color indexed="81"/>
            <rFont val="Century Gothic"/>
            <family val="2"/>
          </rPr>
          <t xml:space="preserve">  Please use the monthly figures only to drive your contract payment tables if you are completing them manually (i.e. you are not yet using PTPage7).
</t>
        </r>
      </text>
    </comment>
    <comment ref="Q92"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B93" authorId="1">
      <text>
        <r>
          <rPr>
            <sz val="8"/>
            <color indexed="81"/>
            <rFont val="Century Gothic"/>
            <family val="2"/>
          </rPr>
          <t xml:space="preserve">This is the FGT gap (if any) which existed prior to the central migration of FGT data to v1Apr13 FGT release.  
</t>
        </r>
        <r>
          <rPr>
            <b/>
            <sz val="8"/>
            <color indexed="81"/>
            <rFont val="Century Gothic"/>
            <family val="2"/>
          </rPr>
          <t xml:space="preserve">Please Note: </t>
        </r>
        <r>
          <rPr>
            <sz val="8"/>
            <color indexed="81"/>
            <rFont val="Century Gothic"/>
            <family val="2"/>
          </rPr>
          <t xml:space="preserve"> Under virtually all circumstances, the old FGT gap (if it existed) will be migrated into this row.  In a limited number of extraordinary circumstances when the final "net" impact of applying the 1Apr13 negotiation would indicate a "recovery" from the Service Provider, that recovery will be indicated above by the central migration team as a FGT premium instead.  In that case, any old FGT gap would NOT appear in this row, it will be reduced to nil, as a gap no longer exists.  The history of the old gap will remain only in the historic FGT.
</t>
        </r>
      </text>
    </comment>
    <comment ref="E93" authorId="0">
      <text>
        <r>
          <rPr>
            <sz val="8"/>
            <color indexed="81"/>
            <rFont val="Century Gothic"/>
            <family val="2"/>
          </rPr>
          <t>Please enter this historic FGT gap as a "negative" number.</t>
        </r>
      </text>
    </comment>
    <comment ref="B94" authorId="1">
      <text>
        <r>
          <rPr>
            <sz val="8"/>
            <color indexed="81"/>
            <rFont val="Century Gothic"/>
            <family val="2"/>
          </rPr>
          <t xml:space="preserve">The Incremental FGT Gap A at April 1, 2013 due to Cooperative Gains represents the change to / or creation of a FGT Gap due to the 4 elements noted below stemming from the April 1, 2013 negotiation.  
To the extent that (a) wage grid increases are not offset by (b) (c) and (d), the difference is what you will see in this line.  The difference is the net increase which is not being funded at the time of this 2013 Central FGT migration, and instead becomes part of the overall FGT gap.  
</t>
        </r>
        <r>
          <rPr>
            <b/>
            <sz val="8"/>
            <color indexed="81"/>
            <rFont val="Century Gothic"/>
            <family val="2"/>
          </rPr>
          <t>(a) Wage Grid Changes</t>
        </r>
        <r>
          <rPr>
            <sz val="8"/>
            <color indexed="81"/>
            <rFont val="Century Gothic"/>
            <family val="2"/>
          </rPr>
          <t xml:space="preserve">
CSSEA wage grid changes as a result of collective bargaining effective April 1, 2013 and January 1, 2014 (combined rate of 3.0225% effective April 1, 2013 for CLBC purposes), and HEABC wage grid changes as a result of collective bargaining effective February 18, 2013 and April 1, 2013 (combined rate of 3.02% effective April 1, 2013 for CLBC purposes).  The wage grid changes </t>
        </r>
        <r>
          <rPr>
            <b/>
            <sz val="8"/>
            <color indexed="81"/>
            <rFont val="Century Gothic"/>
            <family val="2"/>
          </rPr>
          <t>increases</t>
        </r>
        <r>
          <rPr>
            <sz val="8"/>
            <color indexed="81"/>
            <rFont val="Century Gothic"/>
            <family val="2"/>
          </rPr>
          <t xml:space="preserve"> gross funding.
</t>
        </r>
        <r>
          <rPr>
            <b/>
            <sz val="8"/>
            <color indexed="81"/>
            <rFont val="Century Gothic"/>
            <family val="2"/>
          </rPr>
          <t>(b) The Step Change</t>
        </r>
        <r>
          <rPr>
            <sz val="8"/>
            <color indexed="81"/>
            <rFont val="Century Gothic"/>
            <family val="2"/>
          </rPr>
          <t xml:space="preserve">
Effective April 1, 2013 FGT funding calculations are decreased from the previous 3.75 step average to a 3.6 step average, </t>
        </r>
        <r>
          <rPr>
            <b/>
            <sz val="8"/>
            <color indexed="81"/>
            <rFont val="Century Gothic"/>
            <family val="2"/>
          </rPr>
          <t>decreasing</t>
        </r>
        <r>
          <rPr>
            <sz val="8"/>
            <color indexed="81"/>
            <rFont val="Century Gothic"/>
            <family val="2"/>
          </rPr>
          <t xml:space="preserve"> gross funding.
</t>
        </r>
        <r>
          <rPr>
            <b/>
            <sz val="8"/>
            <color indexed="81"/>
            <rFont val="Century Gothic"/>
            <family val="2"/>
          </rPr>
          <t>(c) In lieu Benefits Change</t>
        </r>
        <r>
          <rPr>
            <sz val="8"/>
            <color indexed="81"/>
            <rFont val="Century Gothic"/>
            <family val="2"/>
          </rPr>
          <t xml:space="preserve">
Effective April 1, 2013 the CSSEA collective bargaining changes for in lieu (of regular) benefits for backfill workers decrease from 10.2% to 9.8%.  The new 9.8% is applied to both CSSEA and HEABC and results in a </t>
        </r>
        <r>
          <rPr>
            <b/>
            <sz val="8"/>
            <color indexed="81"/>
            <rFont val="Century Gothic"/>
            <family val="2"/>
          </rPr>
          <t>decreased</t>
        </r>
        <r>
          <rPr>
            <sz val="8"/>
            <color indexed="81"/>
            <rFont val="Century Gothic"/>
            <family val="2"/>
          </rPr>
          <t xml:space="preserve"> gross funding.
</t>
        </r>
        <r>
          <rPr>
            <b/>
            <sz val="8"/>
            <color indexed="81"/>
            <rFont val="Century Gothic"/>
            <family val="2"/>
          </rPr>
          <t>(d) Admin % Change</t>
        </r>
        <r>
          <rPr>
            <sz val="8"/>
            <color indexed="81"/>
            <rFont val="Century Gothic"/>
            <family val="2"/>
          </rPr>
          <t xml:space="preserve">
The ceiling for administrative costs reduces from 10% to 9%.  This </t>
        </r>
        <r>
          <rPr>
            <b/>
            <sz val="8"/>
            <color indexed="81"/>
            <rFont val="Century Gothic"/>
            <family val="2"/>
          </rPr>
          <t>decrease</t>
        </r>
        <r>
          <rPr>
            <sz val="8"/>
            <color indexed="81"/>
            <rFont val="Century Gothic"/>
            <family val="2"/>
          </rPr>
          <t xml:space="preserve"> in gross funding is reflected here.</t>
        </r>
        <r>
          <rPr>
            <b/>
            <sz val="8"/>
            <color indexed="81"/>
            <rFont val="Century Gothic"/>
            <family val="2"/>
          </rPr>
          <t xml:space="preserve">
</t>
        </r>
        <r>
          <rPr>
            <sz val="8"/>
            <color indexed="81"/>
            <rFont val="Century Gothic"/>
            <family val="2"/>
          </rPr>
          <t xml:space="preserve">
</t>
        </r>
        <r>
          <rPr>
            <b/>
            <sz val="8"/>
            <color indexed="81"/>
            <rFont val="Century Gothic"/>
            <family val="2"/>
          </rPr>
          <t>Please Note:</t>
        </r>
        <r>
          <rPr>
            <sz val="8"/>
            <color indexed="81"/>
            <rFont val="Century Gothic"/>
            <family val="2"/>
          </rPr>
          <t xml:space="preserve">  While the total of the 4 is expected to be a negative gap, that is, a reduction in the service value, it is possible that the net could become a positive figure. </t>
        </r>
      </text>
    </comment>
    <comment ref="B95" authorId="1">
      <text>
        <r>
          <rPr>
            <b/>
            <sz val="8"/>
            <color indexed="81"/>
            <rFont val="Century Gothic"/>
            <family val="2"/>
          </rPr>
          <t>The Incremental FGT Gap B at April 1, 2013 due to the Health &amp; Welfare/Other Change</t>
        </r>
        <r>
          <rPr>
            <sz val="8"/>
            <color indexed="81"/>
            <rFont val="Century Gothic"/>
            <family val="2"/>
          </rPr>
          <t xml:space="preserve"> represents the change to / or creation of a FGT Gap due to the elements noted below stemming from the April 1, 2013 negotiation.  
To the extent that Health &amp; Welfare and certain MPP and LTD changes result in an increase in gross funding, this increment will not be funded at the time of the 2013 Central FGT migration, and instead becomes part of the overall FGT gap.    
</t>
        </r>
        <r>
          <rPr>
            <b/>
            <sz val="8"/>
            <color indexed="81"/>
            <rFont val="Century Gothic"/>
            <family val="2"/>
          </rPr>
          <t>(a)  Health &amp; Welfare</t>
        </r>
        <r>
          <rPr>
            <sz val="8"/>
            <color indexed="81"/>
            <rFont val="Century Gothic"/>
            <family val="2"/>
          </rPr>
          <t xml:space="preserve">
This represents the incremental FGT gap created as at April 1, 2013 attributable to the </t>
        </r>
        <r>
          <rPr>
            <i/>
            <sz val="8"/>
            <color indexed="81"/>
            <rFont val="Century Gothic"/>
            <family val="2"/>
          </rPr>
          <t>net impact</t>
        </r>
        <r>
          <rPr>
            <sz val="8"/>
            <color indexed="81"/>
            <rFont val="Century Gothic"/>
            <family val="2"/>
          </rPr>
          <t xml:space="preserve"> of negotiated rate changes for Health &amp; Welfare items relating to EI, WCB, Extended Health, Dental, MSP, Life and AD&amp;D.  
</t>
        </r>
        <r>
          <rPr>
            <b/>
            <sz val="8"/>
            <color indexed="81"/>
            <rFont val="Century Gothic"/>
            <family val="2"/>
          </rPr>
          <t>(b)  LTD</t>
        </r>
        <r>
          <rPr>
            <sz val="8"/>
            <color indexed="81"/>
            <rFont val="Century Gothic"/>
            <family val="2"/>
          </rPr>
          <t xml:space="preserve">
The impact of any change to the Service Provider's LTD rate.  
</t>
        </r>
        <r>
          <rPr>
            <b/>
            <sz val="8"/>
            <color indexed="81"/>
            <rFont val="Century Gothic"/>
            <family val="2"/>
          </rPr>
          <t>(c)  MPP</t>
        </r>
        <r>
          <rPr>
            <sz val="8"/>
            <color indexed="81"/>
            <rFont val="Century Gothic"/>
            <family val="2"/>
          </rPr>
          <t xml:space="preserve">
The impact of any decrease to the MPP funding as a result of the change in methodology and / or a decreased effective MPP %.
</t>
        </r>
        <r>
          <rPr>
            <b/>
            <sz val="8"/>
            <color indexed="81"/>
            <rFont val="Century Gothic"/>
            <family val="2"/>
          </rPr>
          <t>Please Note:</t>
        </r>
        <r>
          <rPr>
            <sz val="8"/>
            <color indexed="81"/>
            <rFont val="Century Gothic"/>
            <family val="2"/>
          </rPr>
          <t xml:space="preserve">  While the total of the above are expected to generally be a negative gap, that is, a reduction in the service value, it is possible that the net could become a positive figure in which case it will be funded and will display here as a positive number.  
</t>
        </r>
      </text>
    </comment>
    <comment ref="F100" authorId="0">
      <text>
        <r>
          <rPr>
            <sz val="8"/>
            <color indexed="81"/>
            <rFont val="Century Gothic"/>
            <family val="2"/>
          </rPr>
          <t xml:space="preserve">Note:  The annual figures are shown for your convenience.  Please do </t>
        </r>
        <r>
          <rPr>
            <b/>
            <sz val="8"/>
            <color indexed="81"/>
            <rFont val="Century Gothic"/>
            <family val="2"/>
          </rPr>
          <t>NOT</t>
        </r>
        <r>
          <rPr>
            <sz val="8"/>
            <color indexed="81"/>
            <rFont val="Century Gothic"/>
            <family val="2"/>
          </rPr>
          <t xml:space="preserve"> use these figures in your contract templates / Upside.  When rounding (for example to 2 decimal places) either the monthly or the annual figures will have to be out an amount.  This template has been chosen to allow the </t>
        </r>
        <r>
          <rPr>
            <b/>
            <sz val="8"/>
            <color indexed="81"/>
            <rFont val="Century Gothic"/>
            <family val="2"/>
          </rPr>
          <t>"monthly" figures supersede in accuracy</t>
        </r>
        <r>
          <rPr>
            <sz val="8"/>
            <color indexed="81"/>
            <rFont val="Century Gothic"/>
            <family val="2"/>
          </rPr>
          <t xml:space="preserve">.  
</t>
        </r>
        <r>
          <rPr>
            <b/>
            <sz val="8"/>
            <color indexed="81"/>
            <rFont val="Century Gothic"/>
            <family val="2"/>
          </rPr>
          <t>CLBC Rep:</t>
        </r>
        <r>
          <rPr>
            <sz val="8"/>
            <color indexed="81"/>
            <rFont val="Century Gothic"/>
            <family val="2"/>
          </rPr>
          <t xml:space="preserve">  Please use the monthly figures only to drive your contract payment tables if you are completing them manually (i.e. you are not yet using PTPage7).
</t>
        </r>
      </text>
    </comment>
    <comment ref="F107" authorId="0">
      <text>
        <r>
          <rPr>
            <sz val="8"/>
            <color indexed="81"/>
            <rFont val="Century Gothic"/>
            <family val="2"/>
          </rPr>
          <t xml:space="preserve">Note:  The annual figures are shown for your convenience.  Please do </t>
        </r>
        <r>
          <rPr>
            <b/>
            <sz val="8"/>
            <color indexed="81"/>
            <rFont val="Century Gothic"/>
            <family val="2"/>
          </rPr>
          <t>NOT</t>
        </r>
        <r>
          <rPr>
            <sz val="8"/>
            <color indexed="81"/>
            <rFont val="Century Gothic"/>
            <family val="2"/>
          </rPr>
          <t xml:space="preserve"> use these figures in your contract templates / Upside.  When rounding (for example to 2 decimal places) either the monthly or the annual figures will have to be out an amount.  This template has been chosen to allow the </t>
        </r>
        <r>
          <rPr>
            <b/>
            <sz val="8"/>
            <color indexed="81"/>
            <rFont val="Century Gothic"/>
            <family val="2"/>
          </rPr>
          <t>"monthly" figures supersede in accuracy</t>
        </r>
        <r>
          <rPr>
            <sz val="8"/>
            <color indexed="81"/>
            <rFont val="Century Gothic"/>
            <family val="2"/>
          </rPr>
          <t xml:space="preserve">.  
</t>
        </r>
        <r>
          <rPr>
            <b/>
            <sz val="8"/>
            <color indexed="81"/>
            <rFont val="Century Gothic"/>
            <family val="2"/>
          </rPr>
          <t>CLBC Rep:</t>
        </r>
        <r>
          <rPr>
            <sz val="8"/>
            <color indexed="81"/>
            <rFont val="Century Gothic"/>
            <family val="2"/>
          </rPr>
          <t xml:space="preserve">  Please use the monthly figures only to drive your contract payment tables if you are completing them manually (i.e. you are not yet using PTPage7).
</t>
        </r>
      </text>
    </comment>
    <comment ref="B109" authorId="1">
      <text>
        <r>
          <rPr>
            <b/>
            <sz val="8"/>
            <color indexed="81"/>
            <rFont val="Century Gothic"/>
            <family val="2"/>
          </rPr>
          <t>CLBC Rep</t>
        </r>
        <r>
          <rPr>
            <sz val="8"/>
            <color indexed="81"/>
            <rFont val="Century Gothic"/>
            <family val="2"/>
          </rPr>
          <t>:  If this is a contract renewal, enter any existing funding received.  If this is a new contract, enter 0.
This amount should match the amount currently in pay for this location / program inclusive of medical benefits - prior to any contract adjustment.</t>
        </r>
      </text>
    </comment>
    <comment ref="B110" authorId="0">
      <text>
        <r>
          <rPr>
            <b/>
            <sz val="8"/>
            <color indexed="81"/>
            <rFont val="Century Gothic"/>
            <family val="2"/>
          </rPr>
          <t xml:space="preserve">CLBC Rep:  </t>
        </r>
        <r>
          <rPr>
            <sz val="8"/>
            <color indexed="81"/>
            <rFont val="Century Gothic"/>
            <family val="2"/>
          </rPr>
          <t xml:space="preserve">The Funding Change Proposed - represents the difference between the "Total Funding Requested from CLBC" above and the prior funding level.  
If there is a change, this means the SP is requesting more or less funding than the prior level, and you must decide whether you will pay this amount (if more), or not.  In this case, you may:
(a) negotiate the service levels and/or other costs to reduce the funding request which will thereby reduce this change, or 
(b) you may deem this increase appropriate and it can remain.  
Should you decide not to increase the funding, you should ensure you enter a FGT Gap adjustment above, so as to bring this amount to nil.
</t>
        </r>
      </text>
    </comment>
    <comment ref="F110" authorId="0">
      <text>
        <r>
          <rPr>
            <sz val="8"/>
            <color indexed="81"/>
            <rFont val="Century Gothic"/>
            <family val="2"/>
          </rPr>
          <t xml:space="preserve">Note:  The annual figures are shown for your convenience.  Please do </t>
        </r>
        <r>
          <rPr>
            <b/>
            <sz val="8"/>
            <color indexed="81"/>
            <rFont val="Century Gothic"/>
            <family val="2"/>
          </rPr>
          <t>NOT</t>
        </r>
        <r>
          <rPr>
            <sz val="8"/>
            <color indexed="81"/>
            <rFont val="Century Gothic"/>
            <family val="2"/>
          </rPr>
          <t xml:space="preserve"> use these figures in your contract templates / Upside.  When rounding (for example to 2 decimal places) either the monthly or the annual figures will have to be out an amount.  This template has been chosen to allow the </t>
        </r>
        <r>
          <rPr>
            <b/>
            <sz val="8"/>
            <color indexed="81"/>
            <rFont val="Century Gothic"/>
            <family val="2"/>
          </rPr>
          <t>"monthly" figures supersede in accuracy</t>
        </r>
        <r>
          <rPr>
            <sz val="8"/>
            <color indexed="81"/>
            <rFont val="Century Gothic"/>
            <family val="2"/>
          </rPr>
          <t xml:space="preserve">.  
</t>
        </r>
        <r>
          <rPr>
            <b/>
            <sz val="8"/>
            <color indexed="81"/>
            <rFont val="Century Gothic"/>
            <family val="2"/>
          </rPr>
          <t>CLBC Rep:</t>
        </r>
        <r>
          <rPr>
            <sz val="8"/>
            <color indexed="81"/>
            <rFont val="Century Gothic"/>
            <family val="2"/>
          </rPr>
          <t xml:space="preserve">  Please use the monthly figures only to drive your contract payment tables if you are completing them manually (i.e. you are not yet using PTPage7).
</t>
        </r>
      </text>
    </comment>
  </commentList>
</comments>
</file>

<file path=xl/comments4.xml><?xml version="1.0" encoding="utf-8"?>
<comments xmlns="http://schemas.openxmlformats.org/spreadsheetml/2006/main">
  <authors>
    <author>jeshuang</author>
    <author>shkumar</author>
  </authors>
  <commentList>
    <comment ref="A11"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A51" authorId="1">
      <text>
        <r>
          <rPr>
            <sz val="8"/>
            <color indexed="81"/>
            <rFont val="Century Gothic"/>
            <family val="2"/>
          </rPr>
          <t>Please use the wage rate for the individual as shown in Column F of Page 5.</t>
        </r>
      </text>
    </comment>
    <comment ref="A63" authorId="1">
      <text>
        <r>
          <rPr>
            <sz val="8"/>
            <color indexed="81"/>
            <rFont val="Century Gothic"/>
            <family val="2"/>
          </rPr>
          <t>In case the backfill is not 100% for this position, please override to the correct percentage.</t>
        </r>
      </text>
    </comment>
  </commentList>
</comments>
</file>

<file path=xl/comments5.xml><?xml version="1.0" encoding="utf-8"?>
<comments xmlns="http://schemas.openxmlformats.org/spreadsheetml/2006/main">
  <authors>
    <author>shkumar</author>
    <author>jeshuang</author>
  </authors>
  <commentList>
    <comment ref="I7" authorId="0">
      <text>
        <r>
          <rPr>
            <sz val="8"/>
            <color indexed="81"/>
            <rFont val="Century Gothic"/>
            <family val="2"/>
          </rPr>
          <t xml:space="preserve">Basic Benefits include CPP / EI / WCB / Extended Health &amp; Dental / MSP / Life / AD&amp;D for Supervisor and all Direct Line Workers except as noted below:
For </t>
        </r>
        <r>
          <rPr>
            <b/>
            <sz val="8"/>
            <color indexed="81"/>
            <rFont val="Century Gothic"/>
            <family val="2"/>
          </rPr>
          <t>Special Stat Day Backfill</t>
        </r>
        <r>
          <rPr>
            <sz val="8"/>
            <color indexed="81"/>
            <rFont val="Century Gothic"/>
            <family val="2"/>
          </rPr>
          <t xml:space="preserve"> workers, Basic Benefits includes CPP / EI / WCB/ a flat benefit percentage "in-lieu" of the remaining benefits noted above.  For these workers, the benefit % will be higher here than for the Regular online  worker which may appear as an error at first glance.  However, please bear in mind this is the totality of benefits for the backfill worker.  The regular worker gets the slightly lower benefit % but it is in addition to wages for unworked days such as paid time off for vacation, training, sickness, etc.  </t>
        </r>
        <r>
          <rPr>
            <b/>
            <sz val="8"/>
            <color indexed="81"/>
            <rFont val="Century Gothic"/>
            <family val="2"/>
          </rPr>
          <t xml:space="preserve">
</t>
        </r>
      </text>
    </comment>
    <comment ref="L7" authorId="0">
      <text>
        <r>
          <rPr>
            <sz val="8"/>
            <color indexed="81"/>
            <rFont val="Century Gothic"/>
            <family val="2"/>
          </rPr>
          <t xml:space="preserve">Please Note:  LTD is not applicable to the </t>
        </r>
        <r>
          <rPr>
            <b/>
            <sz val="8"/>
            <color indexed="81"/>
            <rFont val="Century Gothic"/>
            <family val="2"/>
          </rPr>
          <t xml:space="preserve">Special Stat Day Backfill </t>
        </r>
        <r>
          <rPr>
            <sz val="8"/>
            <color indexed="81"/>
            <rFont val="Century Gothic"/>
            <family val="2"/>
          </rPr>
          <t>workers.  Their benefits are all paid under "Basic Benefits".</t>
        </r>
      </text>
    </comment>
    <comment ref="O7" authorId="0">
      <text>
        <r>
          <rPr>
            <sz val="8"/>
            <color indexed="81"/>
            <rFont val="Century Gothic"/>
            <family val="2"/>
          </rPr>
          <t xml:space="preserve">Please Note:  Backfill wages are not applicable to the </t>
        </r>
        <r>
          <rPr>
            <b/>
            <sz val="8"/>
            <color indexed="81"/>
            <rFont val="Century Gothic"/>
            <family val="2"/>
          </rPr>
          <t xml:space="preserve">Special Stat Day Backfill </t>
        </r>
        <r>
          <rPr>
            <sz val="8"/>
            <color indexed="81"/>
            <rFont val="Century Gothic"/>
            <family val="2"/>
          </rPr>
          <t>workers (they themselves are the backfill).</t>
        </r>
      </text>
    </comment>
    <comment ref="S7" authorId="0">
      <text>
        <r>
          <rPr>
            <sz val="8"/>
            <color indexed="81"/>
            <rFont val="Century Gothic"/>
            <family val="2"/>
          </rPr>
          <t xml:space="preserve">Please Note:  Backfill benefits are not applicable to the </t>
        </r>
        <r>
          <rPr>
            <b/>
            <sz val="8"/>
            <color indexed="81"/>
            <rFont val="Century Gothic"/>
            <family val="2"/>
          </rPr>
          <t>Special Stat Day Backfill</t>
        </r>
        <r>
          <rPr>
            <sz val="8"/>
            <color indexed="81"/>
            <rFont val="Century Gothic"/>
            <family val="2"/>
          </rPr>
          <t xml:space="preserve"> workers (they themselves are the backfill).</t>
        </r>
      </text>
    </comment>
    <comment ref="V7" authorId="0">
      <text>
        <r>
          <rPr>
            <sz val="8"/>
            <color indexed="81"/>
            <rFont val="Century Gothic"/>
            <family val="2"/>
          </rPr>
          <t xml:space="preserve">Please Note:  MPP are applicable to all workers (regular and backfill), including </t>
        </r>
        <r>
          <rPr>
            <b/>
            <sz val="8"/>
            <color indexed="81"/>
            <rFont val="Century Gothic"/>
            <family val="2"/>
          </rPr>
          <t>Special Stat Day Backfill</t>
        </r>
        <r>
          <rPr>
            <sz val="8"/>
            <color indexed="81"/>
            <rFont val="Century Gothic"/>
            <family val="2"/>
          </rPr>
          <t xml:space="preserve"> workers.</t>
        </r>
      </text>
    </comment>
    <comment ref="D8" authorId="1">
      <text>
        <r>
          <rPr>
            <sz val="8"/>
            <color indexed="81"/>
            <rFont val="Century Gothic"/>
            <family val="2"/>
          </rPr>
          <t xml:space="preserve">Supervisor paid Hours depends on # of Direct Staff FTE.
</t>
        </r>
      </text>
    </comment>
    <comment ref="C9" authorId="1">
      <text>
        <r>
          <rPr>
            <sz val="8"/>
            <color indexed="81"/>
            <rFont val="Century Gothic"/>
            <family val="2"/>
          </rPr>
          <t>Based on number of FTE of Direct Staffs</t>
        </r>
      </text>
    </comment>
    <comment ref="F9" authorId="0">
      <text>
        <r>
          <rPr>
            <sz val="8"/>
            <color indexed="81"/>
            <rFont val="Century Gothic"/>
            <family val="2"/>
          </rPr>
          <t xml:space="preserve">Please Note:  If you have a flat rate worker, i.e. the Classification in Column B is either "CSSEA-Other" or "HEABC-Other", then the hourly rate, monthly and annual costs will be nil here.  This is because you have already entered their fully loaded "flat rate" into Rows 15 or 16 of Page 3.  </t>
        </r>
      </text>
    </comment>
    <comment ref="G9" authorId="0">
      <text>
        <r>
          <rPr>
            <sz val="8"/>
            <color indexed="81"/>
            <rFont val="Century Gothic"/>
            <family val="2"/>
          </rPr>
          <t xml:space="preserve">Please Note:  If you have a flat rate worker, i.e. the Classification in Column B is either "CSSEA-Other" or "HEABC-Other", then the hourly rate, monthly and annual costs will be nil here.  This is because you have already entered their fully loaded "flat rate" into Rows 15 or 16 of Page 3.  </t>
        </r>
      </text>
    </comment>
    <comment ref="H9" authorId="0">
      <text>
        <r>
          <rPr>
            <sz val="8"/>
            <color indexed="81"/>
            <rFont val="Century Gothic"/>
            <family val="2"/>
          </rPr>
          <t xml:space="preserve">Please Note:  If you have a flat rate worker, i.e. the Classification in Column B is either "CSSEA-Other" or "HEABC-Other", then the hourly rate, monthly and annual costs will be nil here.  This is because you have already entered their fully loaded "flat rate" into Rows 15 or 16 of Page 3.  </t>
        </r>
        <r>
          <rPr>
            <sz val="9"/>
            <color indexed="81"/>
            <rFont val="Tahoma"/>
            <family val="2"/>
          </rPr>
          <t xml:space="preserve">
</t>
        </r>
      </text>
    </comment>
    <comment ref="AC13" authorId="1">
      <text>
        <r>
          <rPr>
            <sz val="9"/>
            <color indexed="81"/>
            <rFont val="Tahoma"/>
            <family val="2"/>
          </rPr>
          <t xml:space="preserve">Identify special Stat day backfill workers. These workers should have no backfill W&amp;B nor LTD and have backfill benefit % applied to basic benefits field. 
SSD workers do receive MPP. </t>
        </r>
      </text>
    </comment>
    <comment ref="AD13" authorId="1">
      <text>
        <r>
          <rPr>
            <sz val="9"/>
            <color indexed="81"/>
            <rFont val="Tahoma"/>
            <family val="2"/>
          </rPr>
          <t>identify if position is included in FGT recovery calculation. 
Awake &amp; Asleep night workers are not included.</t>
        </r>
      </text>
    </comment>
    <comment ref="O41" authorId="1">
      <text>
        <r>
          <rPr>
            <sz val="8"/>
            <color indexed="81"/>
            <rFont val="Century Gothic"/>
            <family val="2"/>
          </rPr>
          <t xml:space="preserve">Central Migration Team - one-time use only.  </t>
        </r>
      </text>
    </comment>
    <comment ref="V41" authorId="1">
      <text>
        <r>
          <rPr>
            <i/>
            <sz val="9"/>
            <color indexed="81"/>
            <rFont val="Tahoma"/>
            <family val="2"/>
          </rPr>
          <t xml:space="preserve">Design Note Only:  MPP data - from source Page 1 - supporting Page 5 calcs above, and Page 4 calcs.  </t>
        </r>
        <r>
          <rPr>
            <sz val="9"/>
            <color indexed="81"/>
            <rFont val="Tahoma"/>
            <family val="2"/>
          </rPr>
          <t xml:space="preserve">
</t>
        </r>
      </text>
    </comment>
    <comment ref="W47" authorId="1">
      <text>
        <r>
          <rPr>
            <sz val="8"/>
            <color indexed="81"/>
            <rFont val="Century Gothic"/>
            <family val="2"/>
          </rPr>
          <t xml:space="preserve">Please Note:  The monthly cost of Supervisor MPP on Page 5 will match the figures you see on Page 3.  However, if you visually (to 2 decimals) add each worker to get the total MPP by category (supervisor, direct worker etc), it may </t>
        </r>
        <r>
          <rPr>
            <i/>
            <sz val="8"/>
            <color indexed="81"/>
            <rFont val="Century Gothic"/>
            <family val="2"/>
          </rPr>
          <t>appear</t>
        </r>
        <r>
          <rPr>
            <sz val="8"/>
            <color indexed="81"/>
            <rFont val="Century Gothic"/>
            <family val="2"/>
          </rPr>
          <t xml:space="preserve"> different than the amounts summarised here and on Page 3 simply due to the tool using an underlying more accurate figure vs. 'visually' adding.  Rounding is undertaken only when required to ensure accuracy of this financial tool, and primarily in Page 3.</t>
        </r>
        <r>
          <rPr>
            <sz val="9"/>
            <color indexed="81"/>
            <rFont val="Tahoma"/>
            <family val="2"/>
          </rPr>
          <t xml:space="preserve">
</t>
        </r>
      </text>
    </comment>
  </commentList>
</comments>
</file>

<file path=xl/comments6.xml><?xml version="1.0" encoding="utf-8"?>
<comments xmlns="http://schemas.openxmlformats.org/spreadsheetml/2006/main">
  <authors>
    <author>jeshuang</author>
    <author>shkumar</author>
    <author>Candy  Yeung</author>
  </authors>
  <commentList>
    <comment ref="D16" authorId="0">
      <text>
        <r>
          <rPr>
            <sz val="8"/>
            <color indexed="81"/>
            <rFont val="Century Gothic"/>
            <family val="2"/>
          </rPr>
          <t>The Contract terms is auto populated for you below based on contract terms entered on PTPage 7. 
If you plan to use this Variable page as a "stand alone" function, please go to PTPage 7 to enter the contract terms.</t>
        </r>
      </text>
    </comment>
    <comment ref="U16" authorId="0">
      <text>
        <r>
          <rPr>
            <sz val="8"/>
            <color indexed="81"/>
            <rFont val="Century Gothic"/>
            <family val="2"/>
          </rPr>
          <t xml:space="preserve">The Organization Information is auto populated for you below based on information entered on Page 1. 
</t>
        </r>
      </text>
    </comment>
    <comment ref="N18" authorId="1">
      <text>
        <r>
          <rPr>
            <sz val="8"/>
            <color indexed="81"/>
            <rFont val="Century Gothic"/>
            <family val="2"/>
          </rPr>
          <t>Please enter the start date of this Variable payment.
The Variable Start Date must be between Contract Start Date and Contract End Date.</t>
        </r>
      </text>
    </comment>
    <comment ref="V18" authorId="0">
      <text>
        <r>
          <rPr>
            <sz val="8"/>
            <color indexed="81"/>
            <rFont val="Century Gothic"/>
            <family val="2"/>
          </rPr>
          <t xml:space="preserve">Effective April 1, 2013, the administration maximum is 9%.  
This line is for </t>
        </r>
        <r>
          <rPr>
            <b/>
            <sz val="8"/>
            <color indexed="81"/>
            <rFont val="Century Gothic"/>
            <family val="2"/>
          </rPr>
          <t>Non</t>
        </r>
        <r>
          <rPr>
            <sz val="8"/>
            <color indexed="81"/>
            <rFont val="Century Gothic"/>
            <family val="2"/>
          </rPr>
          <t xml:space="preserve">-Person-Centred Society Agency only. 
</t>
        </r>
      </text>
    </comment>
    <comment ref="N20" authorId="1">
      <text>
        <r>
          <rPr>
            <sz val="8"/>
            <color indexed="81"/>
            <rFont val="Century Gothic"/>
            <family val="2"/>
          </rPr>
          <t>The Variable End Date must be between the Variable Start Date and the Contract End Date.</t>
        </r>
      </text>
    </comment>
    <comment ref="V20" authorId="0">
      <text>
        <r>
          <rPr>
            <sz val="8"/>
            <color indexed="81"/>
            <rFont val="Century Gothic"/>
            <family val="2"/>
          </rPr>
          <t>The Administration % for Person-Centred Society is set at 3%.</t>
        </r>
      </text>
    </comment>
    <comment ref="L23" authorId="0">
      <text>
        <r>
          <rPr>
            <sz val="8"/>
            <color indexed="81"/>
            <rFont val="Century Gothic"/>
            <family val="2"/>
          </rPr>
          <t>Weeks requesting variable funding is auto calculated for you based on variable terms entered above. The duration between your start date and end date is represented by the number of days in this period, divided by 7 days per week.  For example, January 1, 2012 to Feb 28, 2012 = 59 days, divided by 7 days in a week = 8.43 weeks.</t>
        </r>
      </text>
    </comment>
    <comment ref="D32" authorId="1">
      <text>
        <r>
          <rPr>
            <sz val="8"/>
            <color indexed="81"/>
            <rFont val="Century Gothic"/>
            <family val="2"/>
          </rPr>
          <t>Please choose a Staff Job Classification from this listing - choose the closet match if your classification is different.  Use one line per staff member.
For your information only, when you enter a position that is above CSSEA grid 12 or HEABC grid 8, it will highlight in a pink colour in order to draw your attention to higher paid positions.</t>
        </r>
      </text>
    </comment>
    <comment ref="H32" authorId="1">
      <text>
        <r>
          <rPr>
            <b/>
            <sz val="8"/>
            <color indexed="81"/>
            <rFont val="Century Gothic"/>
            <family val="2"/>
          </rPr>
          <t>Note:</t>
        </r>
        <r>
          <rPr>
            <sz val="8"/>
            <color indexed="81"/>
            <rFont val="Century Gothic"/>
            <family val="2"/>
          </rPr>
          <t xml:space="preserve"> If less than one year of service is what is being purchased, 52 weeks (not 52.25 weeks) is the appropriate figure to use when determining maximum variable hours (auto-calculated for you). </t>
        </r>
        <r>
          <rPr>
            <b/>
            <sz val="9"/>
            <color indexed="81"/>
            <rFont val="Tahoma"/>
            <family val="2"/>
          </rPr>
          <t xml:space="preserve"> </t>
        </r>
        <r>
          <rPr>
            <sz val="9"/>
            <color indexed="81"/>
            <rFont val="Tahoma"/>
            <family val="2"/>
          </rPr>
          <t xml:space="preserve">
</t>
        </r>
      </text>
    </comment>
    <comment ref="I32" authorId="2">
      <text>
        <r>
          <rPr>
            <sz val="8"/>
            <color indexed="81"/>
            <rFont val="Century Gothic"/>
            <family val="2"/>
          </rPr>
          <t>Calculation based on FTE Hours/Week filled in Page 1 of Application</t>
        </r>
        <r>
          <rPr>
            <sz val="8"/>
            <color indexed="81"/>
            <rFont val="Tahoma"/>
            <family val="2"/>
          </rPr>
          <t xml:space="preserve">
</t>
        </r>
      </text>
    </comment>
    <comment ref="K32" authorId="0">
      <text>
        <r>
          <rPr>
            <sz val="8"/>
            <color indexed="81"/>
            <rFont val="Century Gothic"/>
            <family val="2"/>
          </rPr>
          <t>Based on 1 to 8 ratio of direct staff hours</t>
        </r>
      </text>
    </comment>
    <comment ref="X32" authorId="0">
      <text>
        <r>
          <rPr>
            <sz val="8"/>
            <color indexed="81"/>
            <rFont val="Century Gothic"/>
            <family val="2"/>
          </rPr>
          <t>Please enter any "other" cost as a TOTAL per position line for the full term of the contract, and provide an explanatory note in the general comment box below (lower left of sheet).</t>
        </r>
      </text>
    </comment>
    <comment ref="AA33" authorId="1">
      <text>
        <r>
          <rPr>
            <sz val="8"/>
            <color indexed="81"/>
            <rFont val="Century Gothic"/>
            <family val="2"/>
          </rPr>
          <t>Total W&amp;B and related admin (i.e., the blended rate) is the rate per direct labour hour.  For example if the total cost is $1,000 to buy 50 direct labour hours plus 6.25 supervisor hours - total 56.25 hours, the blended rate is $20 per hour ($1,000 / 50 hours).</t>
        </r>
        <r>
          <rPr>
            <sz val="9"/>
            <color indexed="81"/>
            <rFont val="Tahoma"/>
            <family val="2"/>
          </rPr>
          <t xml:space="preserve">
</t>
        </r>
      </text>
    </comment>
    <comment ref="AA44" authorId="1">
      <text>
        <r>
          <rPr>
            <sz val="8"/>
            <color indexed="81"/>
            <rFont val="Century Gothic"/>
            <family val="2"/>
          </rPr>
          <t>This is the average blended rate of this variable payment line (for the labour component only).</t>
        </r>
      </text>
    </comment>
    <comment ref="I46" authorId="0">
      <text>
        <r>
          <rPr>
            <b/>
            <sz val="8"/>
            <color indexed="81"/>
            <rFont val="Century Gothic"/>
            <family val="2"/>
          </rPr>
          <t xml:space="preserve">Please note:  The Term A vs. Term B separation is for your convenience only to help "think" about program costs. </t>
        </r>
        <r>
          <rPr>
            <sz val="8"/>
            <color indexed="81"/>
            <rFont val="Century Gothic"/>
            <family val="2"/>
          </rPr>
          <t xml:space="preserve">For example, your variable term could be up to 2 years.  It </t>
        </r>
        <r>
          <rPr>
            <i/>
            <sz val="8"/>
            <color indexed="81"/>
            <rFont val="Century Gothic"/>
            <family val="2"/>
          </rPr>
          <t>may</t>
        </r>
        <r>
          <rPr>
            <sz val="8"/>
            <color indexed="81"/>
            <rFont val="Century Gothic"/>
            <family val="2"/>
          </rPr>
          <t xml:space="preserve"> be confusing to consider a program cost for such a long duration.  In your mind, you may find it easier to think about each year separately, and you may wish to then use Terms A and B to express these costs.  This is only split as a convenience.
However, it is the Term Total that will be used to allocate the maximum funding </t>
        </r>
        <r>
          <rPr>
            <b/>
            <i/>
            <sz val="8"/>
            <color indexed="81"/>
            <rFont val="Century Gothic"/>
            <family val="2"/>
          </rPr>
          <t>as if</t>
        </r>
        <r>
          <rPr>
            <b/>
            <sz val="8"/>
            <color indexed="81"/>
            <rFont val="Century Gothic"/>
            <family val="2"/>
          </rPr>
          <t xml:space="preserve"> </t>
        </r>
        <r>
          <rPr>
            <sz val="8"/>
            <color indexed="81"/>
            <rFont val="Century Gothic"/>
            <family val="2"/>
          </rPr>
          <t>it occurs evenly through the duration.  If you do not find this to be useful / convenient, please simply use "either" Term A or Term B as if it was the Term Total.</t>
        </r>
      </text>
    </comment>
    <comment ref="K46" authorId="0">
      <text>
        <r>
          <rPr>
            <b/>
            <sz val="8"/>
            <color indexed="81"/>
            <rFont val="Century Gothic"/>
            <family val="2"/>
          </rPr>
          <t xml:space="preserve">Please note:  The Term A vs. Term B separation is for your convenience only to help "think" about program costs. </t>
        </r>
        <r>
          <rPr>
            <sz val="8"/>
            <color indexed="81"/>
            <rFont val="Century Gothic"/>
            <family val="2"/>
          </rPr>
          <t xml:space="preserve">For example, your variable term could be up to 2 years.  It </t>
        </r>
        <r>
          <rPr>
            <i/>
            <sz val="8"/>
            <color indexed="81"/>
            <rFont val="Century Gothic"/>
            <family val="2"/>
          </rPr>
          <t>may</t>
        </r>
        <r>
          <rPr>
            <sz val="8"/>
            <color indexed="81"/>
            <rFont val="Century Gothic"/>
            <family val="2"/>
          </rPr>
          <t xml:space="preserve"> be confusing to consider a program cost for such a long duration.  In your mind, you may find it easier to think about each year separately, and you may wish to then use Terms A and B to express these costs.  This is only split as a convenience.
However, it is the Term Total that will be used to allocate the maximum funding </t>
        </r>
        <r>
          <rPr>
            <b/>
            <i/>
            <sz val="8"/>
            <color indexed="81"/>
            <rFont val="Century Gothic"/>
            <family val="2"/>
          </rPr>
          <t>as if</t>
        </r>
        <r>
          <rPr>
            <b/>
            <sz val="8"/>
            <color indexed="81"/>
            <rFont val="Century Gothic"/>
            <family val="2"/>
          </rPr>
          <t xml:space="preserve"> </t>
        </r>
        <r>
          <rPr>
            <sz val="8"/>
            <color indexed="81"/>
            <rFont val="Century Gothic"/>
            <family val="2"/>
          </rPr>
          <t>it occurs evenly through the duration.  If you do not find this to be useful / convenient, please simply use "either" Term A or Term B as if it was the Term Total.</t>
        </r>
      </text>
    </comment>
    <comment ref="M46" authorId="0">
      <text>
        <r>
          <rPr>
            <sz val="8"/>
            <color indexed="81"/>
            <rFont val="Century Gothic"/>
            <family val="2"/>
          </rPr>
          <t xml:space="preserve">This is total program costs </t>
        </r>
        <r>
          <rPr>
            <b/>
            <sz val="8"/>
            <color indexed="81"/>
            <rFont val="Century Gothic"/>
            <family val="2"/>
          </rPr>
          <t>"over the term"</t>
        </r>
        <r>
          <rPr>
            <sz val="8"/>
            <color indexed="81"/>
            <rFont val="Century Gothic"/>
            <family val="2"/>
          </rPr>
          <t xml:space="preserve"> of the contract.  
This is a bit different than input to 'fixed' funding pages where 'monthly' amounts are generally input.
</t>
        </r>
      </text>
    </comment>
    <comment ref="O46"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D48" authorId="1">
      <text>
        <r>
          <rPr>
            <sz val="8"/>
            <color indexed="81"/>
            <rFont val="Century Gothic"/>
            <family val="2"/>
          </rPr>
          <t xml:space="preserve">This line should only be used for:  medical equipment and repairs, medical supplies, and/or medications which are NOT covered by MSD or other funding sources.   All alternative sources of funding must be explored prior to requests being submitted to (and negotiated with)  CLBC. This is a negotiated amount subject to approval at the QSA's discretion.
</t>
        </r>
      </text>
    </comment>
    <comment ref="D53" authorId="0">
      <text>
        <r>
          <rPr>
            <b/>
            <sz val="8"/>
            <color indexed="81"/>
            <rFont val="Century Gothic"/>
            <family val="2"/>
          </rPr>
          <t xml:space="preserve">Please Note:  </t>
        </r>
        <r>
          <rPr>
            <sz val="8"/>
            <color indexed="81"/>
            <rFont val="Century Gothic"/>
            <family val="2"/>
          </rPr>
          <t xml:space="preserve">The program costs entered above, 
may not always equal this subtotal if you are to "highlight" the cells with your mouse and look to the bottom right where MS Excel functionality provides the "sum".  This is due to potential input of more than 2 decimal places by the user.  The subtotal you see will always be the sum of the program costs visible to the eye, to two decimal places.
For example:
$2.34578 plus $6.54 plus $3.56812, will show as $12.46, whereas MS Excel functionality in the bottom right will show as $12.45.  
</t>
        </r>
        <r>
          <rPr>
            <sz val="9"/>
            <color indexed="81"/>
            <rFont val="Tahoma"/>
            <family val="2"/>
          </rPr>
          <t xml:space="preserve">
</t>
        </r>
      </text>
    </comment>
    <comment ref="D54" authorId="0">
      <text>
        <r>
          <rPr>
            <sz val="8"/>
            <color indexed="81"/>
            <rFont val="Century Gothic"/>
            <family val="2"/>
          </rPr>
          <t xml:space="preserve">Please Note:  The administration calculation you see here may be </t>
        </r>
        <r>
          <rPr>
            <b/>
            <sz val="8"/>
            <color indexed="81"/>
            <rFont val="Century Gothic"/>
            <family val="2"/>
          </rPr>
          <t>slightly different</t>
        </r>
        <r>
          <rPr>
            <sz val="8"/>
            <color indexed="81"/>
            <rFont val="Century Gothic"/>
            <family val="2"/>
          </rPr>
          <t xml:space="preserve"> than multiplying the admin % with the subtotal.  This is </t>
        </r>
        <r>
          <rPr>
            <b/>
            <sz val="8"/>
            <color indexed="81"/>
            <rFont val="Century Gothic"/>
            <family val="2"/>
          </rPr>
          <t>not an error</t>
        </r>
        <r>
          <rPr>
            <sz val="8"/>
            <color indexed="81"/>
            <rFont val="Century Gothic"/>
            <family val="2"/>
          </rPr>
          <t xml:space="preserve">, it is a sum of automated calculations in the background that is undertaken to deal with rounding.  
</t>
        </r>
      </text>
    </comment>
    <comment ref="M59" authorId="0">
      <text>
        <r>
          <rPr>
            <sz val="8"/>
            <color indexed="81"/>
            <rFont val="Century Gothic"/>
            <family val="2"/>
          </rPr>
          <t xml:space="preserve">Please enter FGT Gap as a </t>
        </r>
        <r>
          <rPr>
            <b/>
            <sz val="8"/>
            <color indexed="81"/>
            <rFont val="Century Gothic"/>
            <family val="2"/>
          </rPr>
          <t>"total" over the term</t>
        </r>
        <r>
          <rPr>
            <sz val="8"/>
            <color indexed="81"/>
            <rFont val="Century Gothic"/>
            <family val="2"/>
          </rPr>
          <t xml:space="preserve"> of the contract.  
This is a bit different than input to 'fixed' funding pages where 'monthly' amounts are generally input.
</t>
        </r>
      </text>
    </comment>
    <comment ref="M60" authorId="1">
      <text>
        <r>
          <rPr>
            <sz val="8"/>
            <color indexed="81"/>
            <rFont val="Century Gothic"/>
            <family val="2"/>
          </rPr>
          <t>Please enter the FGT gap, if any, as a "negative" number.</t>
        </r>
      </text>
    </comment>
    <comment ref="V65" authorId="0">
      <text>
        <r>
          <rPr>
            <sz val="8"/>
            <color indexed="81"/>
            <rFont val="Century Gothic"/>
            <family val="2"/>
          </rPr>
          <t>This is simply intended to help review any "rounding" discrepancies between the above funding calculations and the below payment lines (or where you have multiple modifications, to your contract).</t>
        </r>
      </text>
    </comment>
    <comment ref="D70" authorId="0">
      <text>
        <r>
          <rPr>
            <b/>
            <sz val="8"/>
            <color indexed="81"/>
            <rFont val="Century Gothic"/>
            <family val="2"/>
          </rPr>
          <t>CLBC Rep</t>
        </r>
        <r>
          <rPr>
            <sz val="8"/>
            <color indexed="81"/>
            <rFont val="Century Gothic"/>
            <family val="2"/>
          </rPr>
          <t>:  If this is a contract renewal, enter any existing funding received.  If this is a new contract, enter 0.
This amount should match the amount currently in pay for this location / program inclusive of medical benefits - prior to any contract adjustment.</t>
        </r>
      </text>
    </comment>
    <comment ref="D71" authorId="1">
      <text>
        <r>
          <rPr>
            <sz val="8"/>
            <color indexed="81"/>
            <rFont val="Century Gothic"/>
            <family val="2"/>
          </rPr>
          <t xml:space="preserve">The FGT Gap represents the difference between the "Maximum Variable Funding Requested from CLBC" above and the prior funding level.  
If there is a gap / a positive number, this means the SP is requesting more funding than the prior level, and you must decide whether you will pay this amount, or not.  You may:
(a) negotiate the service levels and/or other costs to reduce the funding request which will thereby reduce this gap, or 
(b) you may deem this increase appropriate and it can remain.  Should you decide not to increase the funding, you should ensure you enter a FGT Gap adjustment above.
</t>
        </r>
      </text>
    </comment>
    <comment ref="C73" authorId="1">
      <text>
        <r>
          <rPr>
            <sz val="8"/>
            <color indexed="81"/>
            <rFont val="Century Gothic"/>
            <family val="2"/>
          </rPr>
          <t>Payment table support is provided for variable payments on an "hourly" basis.  This payment table support does not extend to "daily" variable payments.</t>
        </r>
      </text>
    </comment>
    <comment ref="F105" authorId="0">
      <text>
        <r>
          <rPr>
            <sz val="8"/>
            <color indexed="81"/>
            <rFont val="Century Gothic"/>
            <family val="2"/>
          </rPr>
          <t xml:space="preserve">For your convenience, this field is defaulted to "N", not an OTO payment line. If this is not the case, please override by selecting from the drop down menu. </t>
        </r>
      </text>
    </comment>
    <comment ref="P106" authorId="1">
      <text>
        <r>
          <rPr>
            <b/>
            <sz val="8"/>
            <color indexed="81"/>
            <rFont val="Century Gothic"/>
            <family val="2"/>
          </rPr>
          <t xml:space="preserve">Note to CLBC Rep: </t>
        </r>
        <r>
          <rPr>
            <sz val="8"/>
            <color indexed="81"/>
            <rFont val="Century Gothic"/>
            <family val="2"/>
          </rPr>
          <t xml:space="preserve"> If "Combo Not Allowed" appears in this cell, it means you are attempting to fund program costs (other than medical benefits) with no associated labour hours.  This combination of events is not currently supported in the CLBC automated systems.  Please see your Contracting &amp; Procurement instructions for alternative methods of processing this type of transaction.</t>
        </r>
        <r>
          <rPr>
            <sz val="9"/>
            <color indexed="81"/>
            <rFont val="Tahoma"/>
            <family val="2"/>
          </rPr>
          <t xml:space="preserve">
</t>
        </r>
      </text>
    </comment>
    <comment ref="P124" authorId="1">
      <text>
        <r>
          <rPr>
            <b/>
            <sz val="8"/>
            <color indexed="81"/>
            <rFont val="Century Gothic"/>
            <family val="2"/>
          </rPr>
          <t xml:space="preserve">Note to CLBC Rep: </t>
        </r>
        <r>
          <rPr>
            <sz val="8"/>
            <color indexed="81"/>
            <rFont val="Century Gothic"/>
            <family val="2"/>
          </rPr>
          <t xml:space="preserve"> If "Combo Not Allowed" appears in this cell, it means you are attempting to fund program costs (other than medical benefits) with no associated labour hours.  This combination of events is not currently supported in the CLBC automated systems.  Please see your Contracting &amp; Procurement instructions for alternative methods of processing this type of transaction.</t>
        </r>
        <r>
          <rPr>
            <sz val="9"/>
            <color indexed="81"/>
            <rFont val="Tahoma"/>
            <family val="2"/>
          </rPr>
          <t xml:space="preserve">
</t>
        </r>
      </text>
    </comment>
    <comment ref="P142" authorId="1">
      <text>
        <r>
          <rPr>
            <b/>
            <sz val="8"/>
            <color indexed="81"/>
            <rFont val="Century Gothic"/>
            <family val="2"/>
          </rPr>
          <t xml:space="preserve">Note to CLBC Rep: </t>
        </r>
        <r>
          <rPr>
            <sz val="8"/>
            <color indexed="81"/>
            <rFont val="Century Gothic"/>
            <family val="2"/>
          </rPr>
          <t xml:space="preserve"> If "Combo Not Allowed" appears in this cell, it means you are attempting to fund program costs (other than medical benefits) with no associated labour hours.  This combination of events is not currently supported in the CLBC automated systems.  Please see your Contracting &amp; Procurement instructions for alternative methods of processing this type of transaction.</t>
        </r>
        <r>
          <rPr>
            <sz val="9"/>
            <color indexed="81"/>
            <rFont val="Tahoma"/>
            <family val="2"/>
          </rPr>
          <t xml:space="preserve">
</t>
        </r>
      </text>
    </comment>
    <comment ref="F162" authorId="0">
      <text>
        <r>
          <rPr>
            <sz val="8"/>
            <color indexed="81"/>
            <rFont val="Century Gothic"/>
            <family val="2"/>
          </rPr>
          <t xml:space="preserve">For your convenience, this field is defaulted to "N", not an OTO payment line. If this is not the case, please override by selecting from the drop down menu. </t>
        </r>
      </text>
    </comment>
    <comment ref="F169" authorId="0">
      <text>
        <r>
          <rPr>
            <sz val="8"/>
            <color indexed="81"/>
            <rFont val="Century Gothic"/>
            <family val="2"/>
          </rPr>
          <t xml:space="preserve">For your convenience, this field is defaulted to "N", not an OTO payment line. If this is not the case, please override by selecting from the drop down menu. </t>
        </r>
      </text>
    </comment>
    <comment ref="F226" authorId="0">
      <text>
        <r>
          <rPr>
            <sz val="8"/>
            <color indexed="81"/>
            <rFont val="Century Gothic"/>
            <family val="2"/>
          </rPr>
          <t xml:space="preserve">For your convenience, this field is defaulted to "N", not an OTO payment line. If this is not the case, please override by selecting from the drop down menu. </t>
        </r>
      </text>
    </comment>
    <comment ref="C232"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List>
</comments>
</file>

<file path=xl/comments7.xml><?xml version="1.0" encoding="utf-8"?>
<comments xmlns="http://schemas.openxmlformats.org/spreadsheetml/2006/main">
  <authors>
    <author>jeshuang</author>
    <author>shkumar</author>
  </authors>
  <commentList>
    <comment ref="C16" authorId="0">
      <text>
        <r>
          <rPr>
            <sz val="8"/>
            <color indexed="81"/>
            <rFont val="Century Gothic"/>
            <family val="2"/>
          </rPr>
          <t>The Contract terms is auto populated for you below based on contract terms entered on PTPage 7. 
If you plan to use this OTO page as a "stand alone" function, please go to PTPage 7 to enter the contract terms.</t>
        </r>
      </text>
    </comment>
    <comment ref="O16" authorId="0">
      <text>
        <r>
          <rPr>
            <sz val="8"/>
            <color indexed="81"/>
            <rFont val="Century Gothic"/>
            <family val="2"/>
          </rPr>
          <t xml:space="preserve">The Organization Information is auto populated for you below based on information entered on Page 1. 
</t>
        </r>
      </text>
    </comment>
    <comment ref="J18" authorId="1">
      <text>
        <r>
          <rPr>
            <sz val="8"/>
            <color indexed="81"/>
            <rFont val="Century Gothic"/>
            <family val="2"/>
          </rPr>
          <t>Please enter the start date of this OTO.
The OTO Start Date must be between Contract Start Date and Contract End Date / (Special Extended) Contract End Date.</t>
        </r>
      </text>
    </comment>
    <comment ref="O18" authorId="0">
      <text>
        <r>
          <rPr>
            <sz val="8"/>
            <color indexed="81"/>
            <rFont val="Century Gothic"/>
            <family val="2"/>
          </rPr>
          <t xml:space="preserve">Effective April 1, 2013, the administration maximum is 9%.  
This line is for </t>
        </r>
        <r>
          <rPr>
            <b/>
            <sz val="8"/>
            <color indexed="81"/>
            <rFont val="Century Gothic"/>
            <family val="2"/>
          </rPr>
          <t>Non</t>
        </r>
        <r>
          <rPr>
            <sz val="8"/>
            <color indexed="81"/>
            <rFont val="Century Gothic"/>
            <family val="2"/>
          </rPr>
          <t xml:space="preserve">-Person-Centred Society Agency only. 
</t>
        </r>
      </text>
    </comment>
    <comment ref="J20" authorId="1">
      <text>
        <r>
          <rPr>
            <sz val="8"/>
            <color indexed="81"/>
            <rFont val="Century Gothic"/>
            <family val="2"/>
          </rPr>
          <t>The OTO End Date must be between the OTO Start Date and the Contract End Date / (Special Extended) Contract End Date.</t>
        </r>
      </text>
    </comment>
    <comment ref="O20" authorId="0">
      <text>
        <r>
          <rPr>
            <sz val="8"/>
            <color indexed="81"/>
            <rFont val="Century Gothic"/>
            <family val="2"/>
          </rPr>
          <t>The Administration % for Person-Centred Society is set at 3%.</t>
        </r>
      </text>
    </comment>
    <comment ref="C28" authorId="1">
      <text>
        <r>
          <rPr>
            <sz val="8"/>
            <color indexed="81"/>
            <rFont val="Century Gothic"/>
            <family val="2"/>
          </rPr>
          <t>Please choose a Staff Job Classification from this listing - choose the closet match if your classification is different.  Use one line per staff member.
For your information only, when you enter a position that is above CSSEA grid 12 or HEABC grid 8, it will highlight in a pink colour in order to draw your attention to higher paid positions.</t>
        </r>
      </text>
    </comment>
    <comment ref="E28" authorId="0">
      <text>
        <r>
          <rPr>
            <sz val="8"/>
            <color indexed="81"/>
            <rFont val="Century Gothic"/>
            <family val="2"/>
          </rPr>
          <t xml:space="preserve">Please enter the # of hours of service required over the </t>
        </r>
        <r>
          <rPr>
            <u/>
            <sz val="8"/>
            <color indexed="81"/>
            <rFont val="Century Gothic"/>
            <family val="2"/>
          </rPr>
          <t>full term</t>
        </r>
        <r>
          <rPr>
            <sz val="8"/>
            <color indexed="81"/>
            <rFont val="Century Gothic"/>
            <family val="2"/>
          </rPr>
          <t xml:space="preserve"> of this one-time-only service.</t>
        </r>
      </text>
    </comment>
    <comment ref="F28" authorId="0">
      <text>
        <r>
          <rPr>
            <sz val="8"/>
            <color indexed="81"/>
            <rFont val="Century Gothic"/>
            <family val="2"/>
          </rPr>
          <t xml:space="preserve">By default, backfill is assumed to be 0%.  If this is not true, please recalculate the appropriate backfill % amount taking into consideration the number of backfill days needed for vacation, sickness, education / training (and in the case of residential programs, consider the number of statutory holidays).   </t>
        </r>
      </text>
    </comment>
    <comment ref="H28" authorId="0">
      <text>
        <r>
          <rPr>
            <sz val="8"/>
            <color indexed="81"/>
            <rFont val="Century Gothic"/>
            <family val="2"/>
          </rPr>
          <t>Based on 1 to 8 ratio of direct staff hours</t>
        </r>
      </text>
    </comment>
    <comment ref="O28" authorId="0">
      <text>
        <r>
          <rPr>
            <sz val="8"/>
            <color indexed="81"/>
            <rFont val="Century Gothic"/>
            <family val="2"/>
          </rPr>
          <t>Backfill Wages applies to Direct Staff hours only</t>
        </r>
      </text>
    </comment>
    <comment ref="Q28" authorId="0">
      <text>
        <r>
          <rPr>
            <sz val="8"/>
            <color indexed="81"/>
            <rFont val="Century Gothic"/>
            <family val="2"/>
          </rPr>
          <t xml:space="preserve">Please Note:  MPP are applicable to all workers (regular and backfill), </t>
        </r>
      </text>
    </comment>
    <comment ref="T28" authorId="0">
      <text>
        <r>
          <rPr>
            <sz val="8"/>
            <color indexed="81"/>
            <rFont val="Century Gothic"/>
            <family val="2"/>
          </rPr>
          <t>Please enter any "other" cost as a TOTAL per position line for the full term of the contract, and provide an explanatory note in the general comment box below (lower left of sheet).</t>
        </r>
      </text>
    </comment>
    <comment ref="H42" authorId="0">
      <text>
        <r>
          <rPr>
            <sz val="8"/>
            <color indexed="81"/>
            <rFont val="Century Gothic"/>
            <family val="2"/>
          </rPr>
          <t xml:space="preserve">Please enter program costs as a </t>
        </r>
        <r>
          <rPr>
            <b/>
            <sz val="8"/>
            <color indexed="81"/>
            <rFont val="Century Gothic"/>
            <family val="2"/>
          </rPr>
          <t>"total" over the term</t>
        </r>
        <r>
          <rPr>
            <sz val="8"/>
            <color indexed="81"/>
            <rFont val="Century Gothic"/>
            <family val="2"/>
          </rPr>
          <t xml:space="preserve"> of the OTO.  
This is a bit different than input to 'fixed' funding pages where 'monthly' amounts are generally input.
</t>
        </r>
      </text>
    </comment>
    <comment ref="J42"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C43" authorId="1">
      <text>
        <r>
          <rPr>
            <sz val="8"/>
            <color indexed="81"/>
            <rFont val="Century Gothic"/>
            <family val="2"/>
          </rPr>
          <t xml:space="preserve">This line should only be used for:  medical equipment and repairs, medical supplies, and/or medications which are NOT covered by MSD or other funding sources.   All alternative sources of funding must be explored prior to requests being submitted to (and negotiated with)  CLBC. This is a negotiated amount subject to approval at the QSA's discretion.
</t>
        </r>
      </text>
    </comment>
    <comment ref="C48" authorId="0">
      <text>
        <r>
          <rPr>
            <b/>
            <sz val="8"/>
            <color indexed="81"/>
            <rFont val="Century Gothic"/>
            <family val="2"/>
          </rPr>
          <t xml:space="preserve">Please Note:  </t>
        </r>
        <r>
          <rPr>
            <sz val="8"/>
            <color indexed="81"/>
            <rFont val="Century Gothic"/>
            <family val="2"/>
          </rPr>
          <t xml:space="preserve">The program costs entered above, 
may not always equal this subtotal if you are to "highlight" the cells with your mouse and look to the bottom right where MS Excel functionality provides the "sum".  This is due to potential input of more than 2 decimal places by the user.  The subtotal you see will always be the sum of the program costs visible to the eye, to two decimal places.
For example:
$2.34578 plus $6.54 plus $3.56812, will show as $12.46, whereas MS Excel functionality in the bottom right will show as $12.45.  
</t>
        </r>
      </text>
    </comment>
    <comment ref="C49" authorId="0">
      <text>
        <r>
          <rPr>
            <sz val="8"/>
            <color indexed="81"/>
            <rFont val="Century Gothic"/>
            <family val="2"/>
          </rPr>
          <t xml:space="preserve">Please Note:  The administration calculation you see here may be </t>
        </r>
        <r>
          <rPr>
            <b/>
            <sz val="8"/>
            <color indexed="81"/>
            <rFont val="Century Gothic"/>
            <family val="2"/>
          </rPr>
          <t>slightly different</t>
        </r>
        <r>
          <rPr>
            <sz val="8"/>
            <color indexed="81"/>
            <rFont val="Century Gothic"/>
            <family val="2"/>
          </rPr>
          <t xml:space="preserve"> than multiplying the admin % with the subtotal.  This is </t>
        </r>
        <r>
          <rPr>
            <b/>
            <sz val="8"/>
            <color indexed="81"/>
            <rFont val="Century Gothic"/>
            <family val="2"/>
          </rPr>
          <t>not an error</t>
        </r>
        <r>
          <rPr>
            <sz val="8"/>
            <color indexed="81"/>
            <rFont val="Century Gothic"/>
            <family val="2"/>
          </rPr>
          <t xml:space="preserve">, it is a sum of automated calculations in the background that is undertaken to deal with rounding.  
</t>
        </r>
      </text>
    </comment>
    <comment ref="H52" authorId="0">
      <text>
        <r>
          <rPr>
            <sz val="8"/>
            <color indexed="81"/>
            <rFont val="Century Gothic"/>
            <family val="2"/>
          </rPr>
          <t xml:space="preserve">Please enter facility costs as a </t>
        </r>
        <r>
          <rPr>
            <b/>
            <sz val="8"/>
            <color indexed="81"/>
            <rFont val="Century Gothic"/>
            <family val="2"/>
          </rPr>
          <t>"total" over the term</t>
        </r>
        <r>
          <rPr>
            <sz val="8"/>
            <color indexed="81"/>
            <rFont val="Century Gothic"/>
            <family val="2"/>
          </rPr>
          <t xml:space="preserve"> of the OTO.  
This is a bit different than input to 'fixed' funding pages where 'monthly' amounts are generally input.
</t>
        </r>
      </text>
    </comment>
    <comment ref="J52"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 ref="C56" authorId="0">
      <text>
        <r>
          <rPr>
            <b/>
            <sz val="8"/>
            <color indexed="81"/>
            <rFont val="Century Gothic"/>
            <family val="2"/>
          </rPr>
          <t xml:space="preserve">Please Note:  </t>
        </r>
        <r>
          <rPr>
            <sz val="8"/>
            <color indexed="81"/>
            <rFont val="Century Gothic"/>
            <family val="2"/>
          </rPr>
          <t xml:space="preserve">The facilities costs entered above, 
may not always equal this subtotal if you are to "highlight" the cells with your mouse and look to the bottom right where MS Excel functionality provides the "sum".  This is due to potential input of more than 2 decimal places by the user.  The subtotal you see will always be the sum of the facilities costs visible to the eye, to two decimal places.
For example:
$2.34578 plus $6.54 plus $3.56812, will show as $12.46, whereas MS Excel functionality in the bottom right will show as $12.45.  
</t>
        </r>
      </text>
    </comment>
    <comment ref="H60" authorId="0">
      <text>
        <r>
          <rPr>
            <sz val="8"/>
            <color indexed="81"/>
            <rFont val="Century Gothic"/>
            <family val="2"/>
          </rPr>
          <t xml:space="preserve">Please enter FGT gap as a </t>
        </r>
        <r>
          <rPr>
            <b/>
            <sz val="8"/>
            <color indexed="81"/>
            <rFont val="Century Gothic"/>
            <family val="2"/>
          </rPr>
          <t>"total" over the term</t>
        </r>
        <r>
          <rPr>
            <sz val="8"/>
            <color indexed="81"/>
            <rFont val="Century Gothic"/>
            <family val="2"/>
          </rPr>
          <t xml:space="preserve"> of the OTO.  
This is a bit different than input to 'fixed' funding pages where 'monthly' amounts are generally input.
</t>
        </r>
      </text>
    </comment>
    <comment ref="H61" authorId="1">
      <text>
        <r>
          <rPr>
            <sz val="8"/>
            <color indexed="81"/>
            <rFont val="Century Gothic"/>
            <family val="2"/>
          </rPr>
          <t>Please enter the FGT gap, if any, as a "negative" number.</t>
        </r>
      </text>
    </comment>
    <comment ref="J66" authorId="0">
      <text>
        <r>
          <rPr>
            <sz val="8"/>
            <color indexed="81"/>
            <rFont val="Century Gothic"/>
            <family val="2"/>
          </rPr>
          <t>The monthly amount is calculated based on contract terms entered below in the Payment Table Support section</t>
        </r>
      </text>
    </comment>
    <comment ref="L66" authorId="0">
      <text>
        <r>
          <rPr>
            <sz val="8"/>
            <color indexed="81"/>
            <rFont val="Century Gothic"/>
            <family val="2"/>
          </rPr>
          <t>The monthly service level hours is calculated based on contract terms entered below in the Payment Table Support section</t>
        </r>
      </text>
    </comment>
    <comment ref="N66" authorId="0">
      <text>
        <r>
          <rPr>
            <sz val="8"/>
            <color indexed="81"/>
            <rFont val="Century Gothic"/>
            <family val="2"/>
          </rPr>
          <t>This is simply intended to help review any "rounding" discrepancies between the above funding calculations and the below payment lines (or where you have multiple modifications, to your contract).</t>
        </r>
      </text>
    </comment>
    <comment ref="B95" authorId="1">
      <text>
        <r>
          <rPr>
            <sz val="8"/>
            <color indexed="81"/>
            <rFont val="Century Gothic"/>
            <family val="2"/>
          </rPr>
          <t>Payment table support is provided for OTO payments on an "hourly" basis.  This payment table support does not extend to "daily" OTO payments.</t>
        </r>
        <r>
          <rPr>
            <sz val="9"/>
            <color indexed="81"/>
            <rFont val="Tahoma"/>
            <family val="2"/>
          </rPr>
          <t xml:space="preserve">
</t>
        </r>
      </text>
    </comment>
    <comment ref="G107" authorId="1">
      <text>
        <r>
          <rPr>
            <sz val="8"/>
            <color indexed="81"/>
            <rFont val="Century Gothic"/>
            <family val="2"/>
          </rPr>
          <t>The service or modification effective date must be within the OTO start and OTO end dates.</t>
        </r>
      </text>
    </comment>
    <comment ref="I107"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107"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107"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107"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107"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107"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127" authorId="0">
      <text>
        <r>
          <rPr>
            <sz val="9"/>
            <color indexed="81"/>
            <rFont val="Tahoma"/>
            <family val="2"/>
          </rPr>
          <t>hide line as this is confusing to field.</t>
        </r>
      </text>
    </comment>
    <comment ref="K128"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140" authorId="1">
      <text>
        <r>
          <rPr>
            <sz val="8"/>
            <color indexed="81"/>
            <rFont val="Century Gothic"/>
            <family val="2"/>
          </rPr>
          <t>The service or modification effective date must be within the OTO start and OTO end dates.</t>
        </r>
      </text>
    </comment>
    <comment ref="I140"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140"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140"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140"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140"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140"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160" authorId="0">
      <text>
        <r>
          <rPr>
            <sz val="9"/>
            <color indexed="81"/>
            <rFont val="Tahoma"/>
            <family val="2"/>
          </rPr>
          <t>hide line as this is confusing to field.</t>
        </r>
      </text>
    </comment>
    <comment ref="K161"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173" authorId="1">
      <text>
        <r>
          <rPr>
            <sz val="8"/>
            <color indexed="81"/>
            <rFont val="Century Gothic"/>
            <family val="2"/>
          </rPr>
          <t>The service or modification effective date must be within the OTO start and OTO end dates.</t>
        </r>
      </text>
    </comment>
    <comment ref="I173"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173"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173"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173"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173"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173"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193" authorId="0">
      <text>
        <r>
          <rPr>
            <sz val="9"/>
            <color indexed="81"/>
            <rFont val="Tahoma"/>
            <family val="2"/>
          </rPr>
          <t>hide line as this is confusing to field.</t>
        </r>
      </text>
    </comment>
    <comment ref="K194"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206" authorId="1">
      <text>
        <r>
          <rPr>
            <sz val="8"/>
            <color indexed="81"/>
            <rFont val="Century Gothic"/>
            <family val="2"/>
          </rPr>
          <t>The service or modification effective date must be within the OTO start and OTO end dates.</t>
        </r>
      </text>
    </comment>
    <comment ref="I206"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206"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206"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206"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206"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206"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226" authorId="0">
      <text>
        <r>
          <rPr>
            <sz val="9"/>
            <color indexed="81"/>
            <rFont val="Tahoma"/>
            <family val="2"/>
          </rPr>
          <t>hide line as this is confusing to field.</t>
        </r>
      </text>
    </comment>
    <comment ref="K227"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239" authorId="1">
      <text>
        <r>
          <rPr>
            <sz val="8"/>
            <color indexed="81"/>
            <rFont val="Century Gothic"/>
            <family val="2"/>
          </rPr>
          <t>The service or modification effective date must be within the OTO start and OTO end dates.</t>
        </r>
      </text>
    </comment>
    <comment ref="I239"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239"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239"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239"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239"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239"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259" authorId="0">
      <text>
        <r>
          <rPr>
            <sz val="9"/>
            <color indexed="81"/>
            <rFont val="Tahoma"/>
            <family val="2"/>
          </rPr>
          <t>hide line as this is confusing to field.</t>
        </r>
      </text>
    </comment>
    <comment ref="K260"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272" authorId="1">
      <text>
        <r>
          <rPr>
            <sz val="8"/>
            <color indexed="81"/>
            <rFont val="Century Gothic"/>
            <family val="2"/>
          </rPr>
          <t>The service or modification effective date must be within the OTO start and OTO end dates.</t>
        </r>
      </text>
    </comment>
    <comment ref="I272"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272"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272"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272"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272"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272"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292" authorId="0">
      <text>
        <r>
          <rPr>
            <sz val="9"/>
            <color indexed="81"/>
            <rFont val="Tahoma"/>
            <family val="2"/>
          </rPr>
          <t>hide line as this is confusing to field.</t>
        </r>
      </text>
    </comment>
    <comment ref="K293"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305" authorId="1">
      <text>
        <r>
          <rPr>
            <sz val="8"/>
            <color indexed="81"/>
            <rFont val="Century Gothic"/>
            <family val="2"/>
          </rPr>
          <t>The service or modification effective date must be within the OTO start and OTO end dates.</t>
        </r>
      </text>
    </comment>
    <comment ref="I305"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305"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305"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305"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305"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305"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325" authorId="0">
      <text>
        <r>
          <rPr>
            <sz val="9"/>
            <color indexed="81"/>
            <rFont val="Tahoma"/>
            <family val="2"/>
          </rPr>
          <t>hide line as this is confusing to field.</t>
        </r>
      </text>
    </comment>
    <comment ref="K326"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338" authorId="1">
      <text>
        <r>
          <rPr>
            <sz val="8"/>
            <color indexed="81"/>
            <rFont val="Century Gothic"/>
            <family val="2"/>
          </rPr>
          <t>The service or modification effective date must be within the OTO start and OTO end dates.</t>
        </r>
      </text>
    </comment>
    <comment ref="I338"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338" authorId="1">
      <text>
        <r>
          <rPr>
            <sz val="8"/>
            <color indexed="81"/>
            <rFont val="Century Gothic"/>
            <family val="2"/>
          </rPr>
          <t xml:space="preserve">Please Note:  The fixed monthly amount EXCLUDES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338"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338"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338"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338"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M358" authorId="0">
      <text>
        <r>
          <rPr>
            <sz val="9"/>
            <color indexed="81"/>
            <rFont val="Tahoma"/>
            <family val="2"/>
          </rPr>
          <t>hide line as this is confusing to field.</t>
        </r>
      </text>
    </comment>
    <comment ref="K359"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373" authorId="1">
      <text>
        <r>
          <rPr>
            <sz val="8"/>
            <color indexed="81"/>
            <rFont val="Century Gothic"/>
            <family val="2"/>
          </rPr>
          <t>The service or modification effective date must be within the OTO start and OTO end dates.</t>
        </r>
      </text>
    </comment>
    <comment ref="I373"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373"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373"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373"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373"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373"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394"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406" authorId="1">
      <text>
        <r>
          <rPr>
            <sz val="8"/>
            <color indexed="81"/>
            <rFont val="Century Gothic"/>
            <family val="2"/>
          </rPr>
          <t>The service or modification effective date must be within the OTO start and OTO end dates.</t>
        </r>
      </text>
    </comment>
    <comment ref="I406"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406"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406"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406"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406"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406"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427"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439" authorId="1">
      <text>
        <r>
          <rPr>
            <sz val="8"/>
            <color indexed="81"/>
            <rFont val="Century Gothic"/>
            <family val="2"/>
          </rPr>
          <t>The service or modification effective date must be within the OTO start and OTO end dates.</t>
        </r>
      </text>
    </comment>
    <comment ref="I439"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439"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439"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439"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439"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439"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460"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472" authorId="1">
      <text>
        <r>
          <rPr>
            <sz val="8"/>
            <color indexed="81"/>
            <rFont val="Century Gothic"/>
            <family val="2"/>
          </rPr>
          <t>The service or modification effective date must be within the OTO start and OTO end dates.</t>
        </r>
      </text>
    </comment>
    <comment ref="I472"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472"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472"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472"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472"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472"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493"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505" authorId="1">
      <text>
        <r>
          <rPr>
            <sz val="8"/>
            <color indexed="81"/>
            <rFont val="Century Gothic"/>
            <family val="2"/>
          </rPr>
          <t>The service or modification effective date must be within the OTO start and OTO end dates.</t>
        </r>
      </text>
    </comment>
    <comment ref="I505"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505"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505"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505"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505"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505"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526"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538" authorId="1">
      <text>
        <r>
          <rPr>
            <sz val="8"/>
            <color indexed="81"/>
            <rFont val="Century Gothic"/>
            <family val="2"/>
          </rPr>
          <t>The service or modification effective date must be within the OTO start and OTO end dates.</t>
        </r>
      </text>
    </comment>
    <comment ref="I538"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538"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538"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538"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538"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538"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559"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571" authorId="1">
      <text>
        <r>
          <rPr>
            <sz val="8"/>
            <color indexed="81"/>
            <rFont val="Century Gothic"/>
            <family val="2"/>
          </rPr>
          <t>The service or modification effective date must be within the OTO start and OTO end dates.</t>
        </r>
      </text>
    </comment>
    <comment ref="I571"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571"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571"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571"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571"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571"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592"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G604" authorId="1">
      <text>
        <r>
          <rPr>
            <sz val="8"/>
            <color indexed="81"/>
            <rFont val="Century Gothic"/>
            <family val="2"/>
          </rPr>
          <t>The service or modification effective date must be within the OTO start and OTO end dates.</t>
        </r>
      </text>
    </comment>
    <comment ref="I604" authorId="0">
      <text>
        <r>
          <rPr>
            <sz val="8"/>
            <color indexed="81"/>
            <rFont val="Century Gothic"/>
            <family val="2"/>
          </rPr>
          <t xml:space="preserve">The service or modification end date must be after the service or modification effective date and before the earlier of CLBC fiscal year end (March 31, 20XX) or OTO end date.
</t>
        </r>
      </text>
    </comment>
    <comment ref="K604" authorId="1">
      <text>
        <r>
          <rPr>
            <sz val="8"/>
            <color indexed="81"/>
            <rFont val="Century Gothic"/>
            <family val="2"/>
          </rPr>
          <t xml:space="preserve">Please Note:  The fixed monthly amount is the medical benefits as calculated above.  This figure is used and displayed with </t>
        </r>
        <r>
          <rPr>
            <b/>
            <sz val="8"/>
            <color indexed="81"/>
            <rFont val="Century Gothic"/>
            <family val="2"/>
          </rPr>
          <t>2 decimal places,</t>
        </r>
        <r>
          <rPr>
            <sz val="8"/>
            <color indexed="81"/>
            <rFont val="Century Gothic"/>
            <family val="2"/>
          </rPr>
          <t xml:space="preserve"> and it is taken to your contract.</t>
        </r>
      </text>
    </comment>
    <comment ref="M604" authorId="0">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text>
    </comment>
    <comment ref="N604" authorId="0">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P604" authorId="0">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R604" authorId="0">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K625" authorId="1">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B629" authorId="0">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List>
</comments>
</file>

<file path=xl/comments8.xml><?xml version="1.0" encoding="utf-8"?>
<comments xmlns="http://schemas.openxmlformats.org/spreadsheetml/2006/main">
  <authors>
    <author>shkumar</author>
    <author>jeshuang</author>
  </authors>
  <commentList>
    <comment ref="C9" authorId="0">
      <text>
        <r>
          <rPr>
            <sz val="8"/>
            <color indexed="81"/>
            <rFont val="Century Gothic"/>
            <family val="2"/>
          </rPr>
          <t>Please enter the start date of your contract.</t>
        </r>
      </text>
    </comment>
    <comment ref="F9" authorId="0">
      <text>
        <r>
          <rPr>
            <sz val="8"/>
            <color indexed="81"/>
            <rFont val="Century Gothic"/>
            <family val="2"/>
          </rPr>
          <t>Your contract end date must be at least 1 day later than the contract start date, and up to 2 years beyond the start date.</t>
        </r>
      </text>
    </comment>
    <comment ref="K9" authorId="1">
      <text>
        <r>
          <rPr>
            <sz val="8"/>
            <color indexed="81"/>
            <rFont val="Century Gothic"/>
            <family val="2"/>
          </rPr>
          <t>The contract end date normally does not exceed 2 years.  However, during complex negotiations you may in rare circumstances extend the contract end date by up to 2.5 years after the (original) contract start date.  If this situation occurs, there will be payments and service levels associated with a "Year 3" of the contract in the systems.  
Please refer to your Contracting Instructions for more guidance on the extension of contracts.</t>
        </r>
      </text>
    </comment>
    <comment ref="E15" authorId="0">
      <text>
        <r>
          <rPr>
            <sz val="8"/>
            <color indexed="81"/>
            <rFont val="Century Gothic"/>
            <family val="2"/>
          </rPr>
          <t xml:space="preserve">Please Note:   This field is 'auto-populated' for you.  It represents the fixed monthly service level -- the monthly equivalent of the net annual service level from Page 2.  It must be shown and used to the accuracy of </t>
        </r>
        <r>
          <rPr>
            <b/>
            <sz val="8"/>
            <color indexed="81"/>
            <rFont val="Century Gothic"/>
            <family val="2"/>
          </rPr>
          <t>2 decimal places</t>
        </r>
        <r>
          <rPr>
            <sz val="8"/>
            <color indexed="81"/>
            <rFont val="Century Gothic"/>
            <family val="2"/>
          </rPr>
          <t xml:space="preserve"> to provide accurate funding calculations.  This monthly service level figure is </t>
        </r>
        <r>
          <rPr>
            <b/>
            <sz val="8"/>
            <color indexed="81"/>
            <rFont val="Century Gothic"/>
            <family val="2"/>
          </rPr>
          <t xml:space="preserve">not </t>
        </r>
        <r>
          <rPr>
            <sz val="8"/>
            <color indexed="81"/>
            <rFont val="Century Gothic"/>
            <family val="2"/>
          </rPr>
          <t>taken to your contract.</t>
        </r>
      </text>
    </comment>
    <comment ref="C17" authorId="0">
      <text>
        <r>
          <rPr>
            <sz val="8"/>
            <color indexed="81"/>
            <rFont val="Century Gothic"/>
            <family val="2"/>
          </rPr>
          <t>The service or modification effective date must be within the contract start and contract end dates.</t>
        </r>
      </text>
    </comment>
    <comment ref="D17" authorId="1">
      <text>
        <r>
          <rPr>
            <sz val="8"/>
            <color indexed="81"/>
            <rFont val="Century Gothic"/>
            <family val="2"/>
          </rPr>
          <t xml:space="preserve">The end date can extend up to 2.5 years after the contract start date.  If this situation occurs, there will be payments and service levels associated with a "Year 3" of the contract in the systems.  This situation is expected to be a rare occurrence.  Please consult your Contracting Instructions for more details if needed.
</t>
        </r>
      </text>
    </comment>
    <comment ref="F17" authorId="0">
      <text>
        <r>
          <rPr>
            <sz val="8"/>
            <color indexed="81"/>
            <rFont val="Century Gothic"/>
            <family val="2"/>
          </rPr>
          <t xml:space="preserve">Please Note:  The fixed monthly amount EXCLUDES medical benefits as calculated on Page 3.  This figure is used and displayed with </t>
        </r>
        <r>
          <rPr>
            <b/>
            <sz val="8"/>
            <color indexed="81"/>
            <rFont val="Century Gothic"/>
            <family val="2"/>
          </rPr>
          <t>2 decimal places</t>
        </r>
        <r>
          <rPr>
            <sz val="8"/>
            <color indexed="81"/>
            <rFont val="Century Gothic"/>
            <family val="2"/>
          </rPr>
          <t>, and it is taken to your contract.</t>
        </r>
      </text>
    </comment>
    <comment ref="G17" authorId="1">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r>
          <rPr>
            <b/>
            <sz val="8"/>
            <color indexed="81"/>
            <rFont val="Century Gothic"/>
            <family val="2"/>
          </rPr>
          <t>Please remember:</t>
        </r>
        <r>
          <rPr>
            <sz val="8"/>
            <color indexed="81"/>
            <rFont val="Century Gothic"/>
            <family val="2"/>
          </rPr>
          <t xml:space="preserve">  the dollar value in this cell is only for primary supports which excludes any medical benefits, Payment line for medical benefits is in the section below.</t>
        </r>
      </text>
    </comment>
    <comment ref="J17" authorId="1">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b/>
            <sz val="9"/>
            <color indexed="81"/>
            <rFont val="Tahoma"/>
            <family val="2"/>
          </rPr>
          <t xml:space="preserve">
</t>
        </r>
      </text>
    </comment>
    <comment ref="L17" authorId="1">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N17" authorId="1">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I35" authorId="1">
      <text>
        <r>
          <rPr>
            <sz val="9"/>
            <color indexed="81"/>
            <rFont val="Tahoma"/>
            <family val="2"/>
          </rPr>
          <t>hide line as this is confusing to field.</t>
        </r>
      </text>
    </comment>
    <comment ref="E36" authorId="0">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E41" authorId="0">
      <text>
        <r>
          <rPr>
            <sz val="8"/>
            <color indexed="81"/>
            <rFont val="Century Gothic"/>
            <family val="2"/>
          </rPr>
          <t xml:space="preserve">Please Note:   This field is represents the fixed monthly service level -- the monthly equivalent of the net annual service level from Page 2 (prior to the changes in the modification if applicable).  It must be shown and used to the accuracy of </t>
        </r>
        <r>
          <rPr>
            <b/>
            <sz val="8"/>
            <color indexed="81"/>
            <rFont val="Century Gothic"/>
            <family val="2"/>
          </rPr>
          <t>2 decimal places</t>
        </r>
        <r>
          <rPr>
            <sz val="8"/>
            <color indexed="81"/>
            <rFont val="Century Gothic"/>
            <family val="2"/>
          </rPr>
          <t xml:space="preserve"> to provide accurate funding calculations.  This monthly service level figure is </t>
        </r>
        <r>
          <rPr>
            <b/>
            <sz val="8"/>
            <color indexed="81"/>
            <rFont val="Century Gothic"/>
            <family val="2"/>
          </rPr>
          <t xml:space="preserve">not </t>
        </r>
        <r>
          <rPr>
            <sz val="8"/>
            <color indexed="81"/>
            <rFont val="Century Gothic"/>
            <family val="2"/>
          </rPr>
          <t>taken to your contract.</t>
        </r>
      </text>
    </comment>
    <comment ref="C43" authorId="0">
      <text>
        <r>
          <rPr>
            <sz val="8"/>
            <color indexed="81"/>
            <rFont val="Century Gothic"/>
            <family val="2"/>
          </rPr>
          <t>The service or modification effective date must be within the contract start and contract end dates.</t>
        </r>
      </text>
    </comment>
    <comment ref="D43" authorId="1">
      <text>
        <r>
          <rPr>
            <sz val="8"/>
            <color indexed="81"/>
            <rFont val="Century Gothic"/>
            <family val="2"/>
          </rPr>
          <t xml:space="preserve">The end date can extend up to 2.5 years after the contract start date.  If this situation occurs, there will be payments and service levels associated with a "Year 3" of the contract in the systems.  This situation is expected to be a rare occurrence.  Please consult your Contracting Instructions for more details if needed.
</t>
        </r>
      </text>
    </comment>
    <comment ref="F43" authorId="0">
      <text>
        <r>
          <rPr>
            <sz val="8"/>
            <color indexed="81"/>
            <rFont val="Century Gothic"/>
            <family val="2"/>
          </rPr>
          <t xml:space="preserve">Please Note:  The fixed monthly amount EXCLUDES medical benefits as calculated on Page 3.  This figure is used and displayed with </t>
        </r>
        <r>
          <rPr>
            <b/>
            <sz val="8"/>
            <color indexed="81"/>
            <rFont val="Century Gothic"/>
            <family val="2"/>
          </rPr>
          <t>2 decimal places</t>
        </r>
        <r>
          <rPr>
            <sz val="8"/>
            <color indexed="81"/>
            <rFont val="Century Gothic"/>
            <family val="2"/>
          </rPr>
          <t>, and it is taken to your contract.</t>
        </r>
      </text>
    </comment>
    <comment ref="G43" authorId="1">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r>
          <rPr>
            <b/>
            <sz val="8"/>
            <color indexed="81"/>
            <rFont val="Century Gothic"/>
            <family val="2"/>
          </rPr>
          <t>Please remember:</t>
        </r>
        <r>
          <rPr>
            <sz val="8"/>
            <color indexed="81"/>
            <rFont val="Century Gothic"/>
            <family val="2"/>
          </rPr>
          <t xml:space="preserve">  the dollar value in this cell is only for primary supports which excludes any medical benefits, Payment line for medical benefits is in the section below.</t>
        </r>
      </text>
    </comment>
    <comment ref="J43" authorId="1">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b/>
            <sz val="9"/>
            <color indexed="81"/>
            <rFont val="Tahoma"/>
            <family val="2"/>
          </rPr>
          <t xml:space="preserve">
</t>
        </r>
      </text>
    </comment>
    <comment ref="L43" authorId="1">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N43" authorId="1">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I61" authorId="1">
      <text>
        <r>
          <rPr>
            <sz val="9"/>
            <color indexed="81"/>
            <rFont val="Tahoma"/>
            <family val="2"/>
          </rPr>
          <t>hide line as this is confusing to field.</t>
        </r>
      </text>
    </comment>
    <comment ref="E62" authorId="0">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C73" authorId="0">
      <text>
        <r>
          <rPr>
            <sz val="8"/>
            <color indexed="81"/>
            <rFont val="Century Gothic"/>
            <family val="2"/>
          </rPr>
          <t>The service or modification effective date must be within the contract start and contract end dates.</t>
        </r>
      </text>
    </comment>
    <comment ref="D73" authorId="1">
      <text>
        <r>
          <rPr>
            <sz val="8"/>
            <color indexed="81"/>
            <rFont val="Century Gothic"/>
            <family val="2"/>
          </rPr>
          <t xml:space="preserve">The end date can extend up to 2.5 years after the contract start date.  If this situation occurs, there will be payments and service levels associated with a "Year 3" of the contract in the systems.  This situation is expected to be a rare occurrence.  Please consult your Contracting Instructions for more details if needed.
</t>
        </r>
      </text>
    </comment>
    <comment ref="F73" authorId="0">
      <text>
        <r>
          <rPr>
            <sz val="8"/>
            <color indexed="81"/>
            <rFont val="Century Gothic"/>
            <family val="2"/>
          </rPr>
          <t xml:space="preserve">Please Note:  The fixed monthly amount is the medical benefits as calculated on Page 3.  This figure is used and displayed with </t>
        </r>
        <r>
          <rPr>
            <b/>
            <sz val="8"/>
            <color indexed="81"/>
            <rFont val="Century Gothic"/>
            <family val="2"/>
          </rPr>
          <t>2 decimal places</t>
        </r>
        <r>
          <rPr>
            <sz val="8"/>
            <color indexed="81"/>
            <rFont val="Century Gothic"/>
            <family val="2"/>
          </rPr>
          <t>, and it is taken to your contract.</t>
        </r>
      </text>
    </comment>
    <comment ref="G73" authorId="1">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r>
          <rPr>
            <b/>
            <sz val="8"/>
            <color indexed="81"/>
            <rFont val="Century Gothic"/>
            <family val="2"/>
          </rPr>
          <t>Please remember:</t>
        </r>
        <r>
          <rPr>
            <sz val="8"/>
            <color indexed="81"/>
            <rFont val="Century Gothic"/>
            <family val="2"/>
          </rPr>
          <t xml:space="preserve">  the dollar value in this cell is only for primary supports which excludes any medical benefits, Payment line for medical benefits is in the section below.</t>
        </r>
      </text>
    </comment>
    <comment ref="J73" authorId="1">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b/>
            <sz val="9"/>
            <color indexed="81"/>
            <rFont val="Tahoma"/>
            <family val="2"/>
          </rPr>
          <t xml:space="preserve">
</t>
        </r>
      </text>
    </comment>
    <comment ref="L73" authorId="1">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N73" authorId="1">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E92" authorId="0">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C98" authorId="0">
      <text>
        <r>
          <rPr>
            <sz val="8"/>
            <color indexed="81"/>
            <rFont val="Century Gothic"/>
            <family val="2"/>
          </rPr>
          <t>The service or modification effective date must be within the contract start and contract end dates.</t>
        </r>
      </text>
    </comment>
    <comment ref="D98" authorId="1">
      <text>
        <r>
          <rPr>
            <sz val="8"/>
            <color indexed="81"/>
            <rFont val="Century Gothic"/>
            <family val="2"/>
          </rPr>
          <t xml:space="preserve">The end date can extend up to 2.5 years after the contract start date.  If this situation occurs, there will be payments and service levels associated with a "Year 3" of the contract in the systems.  This situation is expected to be a rare occurrence.  Please consult your Contracting Instructions for more details if needed.
</t>
        </r>
      </text>
    </comment>
    <comment ref="F98" authorId="0">
      <text>
        <r>
          <rPr>
            <sz val="8"/>
            <color indexed="81"/>
            <rFont val="Century Gothic"/>
            <family val="2"/>
          </rPr>
          <t xml:space="preserve">Please Note:  The fixed monthly amount is the medical benefits as calculated on Page 3.  This figure is used and displayed with </t>
        </r>
        <r>
          <rPr>
            <b/>
            <sz val="8"/>
            <color indexed="81"/>
            <rFont val="Century Gothic"/>
            <family val="2"/>
          </rPr>
          <t>2 decimal places</t>
        </r>
        <r>
          <rPr>
            <sz val="8"/>
            <color indexed="81"/>
            <rFont val="Century Gothic"/>
            <family val="2"/>
          </rPr>
          <t>, and it is taken to your contract.</t>
        </r>
      </text>
    </comment>
    <comment ref="G98" authorId="1">
      <text>
        <r>
          <rPr>
            <sz val="8"/>
            <color indexed="81"/>
            <rFont val="Century Gothic"/>
            <family val="2"/>
          </rPr>
          <t xml:space="preserve">Pmt Line Total </t>
        </r>
        <r>
          <rPr>
            <b/>
            <sz val="8"/>
            <color indexed="81"/>
            <rFont val="Century Gothic"/>
            <family val="2"/>
          </rPr>
          <t>includes</t>
        </r>
        <r>
          <rPr>
            <sz val="8"/>
            <color indexed="81"/>
            <rFont val="Century Gothic"/>
            <family val="2"/>
          </rPr>
          <t xml:space="preserve"> partial month payment amount, if applicable.  This figure is used and displayed with </t>
        </r>
        <r>
          <rPr>
            <b/>
            <sz val="8"/>
            <color indexed="81"/>
            <rFont val="Century Gothic"/>
            <family val="2"/>
          </rPr>
          <t>2 decimal places</t>
        </r>
        <r>
          <rPr>
            <sz val="8"/>
            <color indexed="81"/>
            <rFont val="Century Gothic"/>
            <family val="2"/>
          </rPr>
          <t xml:space="preserve">, and it taken to your contract.
</t>
        </r>
        <r>
          <rPr>
            <b/>
            <sz val="8"/>
            <color indexed="81"/>
            <rFont val="Century Gothic"/>
            <family val="2"/>
          </rPr>
          <t>Please remember:</t>
        </r>
        <r>
          <rPr>
            <sz val="8"/>
            <color indexed="81"/>
            <rFont val="Century Gothic"/>
            <family val="2"/>
          </rPr>
          <t xml:space="preserve">  the dollar value in this cell is only for primary supports which excludes any medical benefits, Payment line for medical benefits is in the section below.</t>
        </r>
      </text>
    </comment>
    <comment ref="J98" authorId="1">
      <text>
        <r>
          <rPr>
            <sz val="8"/>
            <color indexed="81"/>
            <rFont val="Century Gothic"/>
            <family val="2"/>
          </rPr>
          <t xml:space="preserve">Year 1 Service Level Hours </t>
        </r>
        <r>
          <rPr>
            <b/>
            <sz val="8"/>
            <color indexed="81"/>
            <rFont val="Century Gothic"/>
            <family val="2"/>
          </rPr>
          <t>includes</t>
        </r>
        <r>
          <rPr>
            <sz val="8"/>
            <color indexed="81"/>
            <rFont val="Century Gothic"/>
            <family val="2"/>
          </rPr>
          <t xml:space="preserve"> any Year 1 partial month service level hours if applicable.  The service level hours are taken to your contact and </t>
        </r>
        <r>
          <rPr>
            <b/>
            <sz val="8"/>
            <color indexed="81"/>
            <rFont val="Century Gothic"/>
            <family val="2"/>
          </rPr>
          <t>rounded to the nearest whole number with no decimals as shown here.</t>
        </r>
        <r>
          <rPr>
            <b/>
            <sz val="9"/>
            <color indexed="81"/>
            <rFont val="Tahoma"/>
            <family val="2"/>
          </rPr>
          <t xml:space="preserve">
</t>
        </r>
      </text>
    </comment>
    <comment ref="L98" authorId="1">
      <text>
        <r>
          <rPr>
            <sz val="8"/>
            <color indexed="81"/>
            <rFont val="Century Gothic"/>
            <family val="2"/>
          </rPr>
          <t xml:space="preserve">Year 2 Service Level Hours </t>
        </r>
        <r>
          <rPr>
            <b/>
            <sz val="8"/>
            <color indexed="81"/>
            <rFont val="Century Gothic"/>
            <family val="2"/>
          </rPr>
          <t>includes</t>
        </r>
        <r>
          <rPr>
            <sz val="8"/>
            <color indexed="81"/>
            <rFont val="Century Gothic"/>
            <family val="2"/>
          </rPr>
          <t xml:space="preserve"> Year 2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N98" authorId="1">
      <text>
        <r>
          <rPr>
            <sz val="8"/>
            <color indexed="81"/>
            <rFont val="Century Gothic"/>
            <family val="2"/>
          </rPr>
          <t xml:space="preserve">Year 3 Service Level Hours </t>
        </r>
        <r>
          <rPr>
            <b/>
            <sz val="8"/>
            <color indexed="81"/>
            <rFont val="Century Gothic"/>
            <family val="2"/>
          </rPr>
          <t>includes</t>
        </r>
        <r>
          <rPr>
            <sz val="8"/>
            <color indexed="81"/>
            <rFont val="Century Gothic"/>
            <family val="2"/>
          </rPr>
          <t xml:space="preserve"> Year 3 partial month service level hours, if applicable.  The service level hours are taken to your contact and </t>
        </r>
        <r>
          <rPr>
            <b/>
            <sz val="8"/>
            <color indexed="81"/>
            <rFont val="Century Gothic"/>
            <family val="2"/>
          </rPr>
          <t>rounded to the nearest whole number with no decimals as shown here.</t>
        </r>
        <r>
          <rPr>
            <sz val="9"/>
            <color indexed="81"/>
            <rFont val="Tahoma"/>
            <family val="2"/>
          </rPr>
          <t xml:space="preserve">
</t>
        </r>
      </text>
    </comment>
    <comment ref="E117" authorId="0">
      <text>
        <r>
          <rPr>
            <sz val="8"/>
            <color indexed="81"/>
            <rFont val="Century Gothic"/>
            <family val="2"/>
          </rPr>
          <t xml:space="preserve">The partial payment amounts shown on this row (if applicable) are included in the totals above and are displayed here to assist </t>
        </r>
        <r>
          <rPr>
            <b/>
            <sz val="8"/>
            <color indexed="81"/>
            <rFont val="Century Gothic"/>
            <family val="2"/>
          </rPr>
          <t>Accounting Services</t>
        </r>
        <r>
          <rPr>
            <sz val="8"/>
            <color indexed="81"/>
            <rFont val="Century Gothic"/>
            <family val="2"/>
          </rPr>
          <t xml:space="preserve"> with vendor payment set-up in the systems.  
</t>
        </r>
        <r>
          <rPr>
            <b/>
            <sz val="8"/>
            <color indexed="81"/>
            <rFont val="Century Gothic"/>
            <family val="2"/>
          </rPr>
          <t>CLBC Field Reps</t>
        </r>
        <r>
          <rPr>
            <sz val="8"/>
            <color indexed="81"/>
            <rFont val="Century Gothic"/>
            <family val="2"/>
          </rPr>
          <t xml:space="preserve"> may use these partial figures in communications with SPs to provide info on expected partial month payments.</t>
        </r>
      </text>
    </comment>
    <comment ref="B120" authorId="1">
      <text>
        <r>
          <rPr>
            <b/>
            <sz val="8"/>
            <color indexed="81"/>
            <rFont val="Century Gothic"/>
            <family val="2"/>
          </rPr>
          <t xml:space="preserve">Technical Tip (Optional):  </t>
        </r>
        <r>
          <rPr>
            <sz val="8"/>
            <color indexed="81"/>
            <rFont val="Century Gothic"/>
            <family val="2"/>
          </rPr>
          <t>If you wish to type on the 'next line', you may press and hold "Alt" and then press "Enter", this will move you to the next line with in the comments box.</t>
        </r>
      </text>
    </comment>
  </commentList>
</comments>
</file>

<file path=xl/comments9.xml><?xml version="1.0" encoding="utf-8"?>
<comments xmlns="http://schemas.openxmlformats.org/spreadsheetml/2006/main">
  <authors>
    <author>jeshuang</author>
  </authors>
  <commentList>
    <comment ref="F16" authorId="0">
      <text>
        <r>
          <rPr>
            <sz val="9"/>
            <color indexed="81"/>
            <rFont val="Tahoma"/>
            <family val="2"/>
          </rPr>
          <t>8.89% contribution at July 2011 x 85% participation at March 2012 = 7.56% average expected MPP benchmark.  Note:  Previous 8.04% benchmark in v3Feb11 FGTs was an average of all agencies in MPP, not just CLBC service providers)</t>
        </r>
      </text>
    </comment>
  </commentList>
</comments>
</file>

<file path=xl/comments10.xml><?xml version="1.0" encoding="utf-8"?>
<comments xmlns="http://schemas.openxmlformats.org/spreadsheetml/2006/main">
  <authors>
    <author>jeshuang</author>
    <author>shkumar</author>
  </authors>
  <commentList>
    <comment ref="C30" authorId="0">
      <text>
        <r>
          <rPr>
            <b/>
            <sz val="8"/>
            <color indexed="81"/>
            <rFont val="Century Gothic"/>
            <family val="2"/>
          </rPr>
          <t xml:space="preserve">NOTE:  </t>
        </r>
        <r>
          <rPr>
            <sz val="8"/>
            <color indexed="81"/>
            <rFont val="Century Gothic"/>
            <family val="2"/>
          </rPr>
          <t>The rates  are as at January 1, 2014 however, are being used at CLBC as at April 1, 2013.  The January 1, 2014 rates had not been published by CSSEA at the time of this FGT development which was earlier, hence, these are calculated rates projecting forward from the published April 1, 2013 rates of CSSEA (matched Published CSSEA wage grid as at Jan 1, 2014).</t>
        </r>
      </text>
    </comment>
    <comment ref="F107" authorId="1">
      <text>
        <r>
          <rPr>
            <sz val="9"/>
            <color indexed="81"/>
            <rFont val="Tahoma"/>
            <family val="2"/>
          </rPr>
          <t xml:space="preserve">New rate of 2.63% renegotiated effective April 1, 2013
</t>
        </r>
      </text>
    </comment>
    <comment ref="H107" authorId="1">
      <text>
        <r>
          <rPr>
            <sz val="9"/>
            <color indexed="81"/>
            <rFont val="Tahoma"/>
            <family val="2"/>
          </rPr>
          <t xml:space="preserve">New rate of 2.63% renegotiated effective April 1, 2013
</t>
        </r>
      </text>
    </comment>
    <comment ref="F108" authorId="1">
      <text>
        <r>
          <rPr>
            <sz val="9"/>
            <color indexed="81"/>
            <rFont val="Tahoma"/>
            <family val="2"/>
          </rPr>
          <t>April 1, 2010 agreement = 1.53%</t>
        </r>
      </text>
    </comment>
    <comment ref="H108" authorId="1">
      <text>
        <r>
          <rPr>
            <sz val="9"/>
            <color indexed="81"/>
            <rFont val="Tahoma"/>
            <family val="2"/>
          </rPr>
          <t>April 1, 2010 agreement = 2.50%</t>
        </r>
      </text>
    </comment>
    <comment ref="F110" authorId="1">
      <text>
        <r>
          <rPr>
            <sz val="9"/>
            <color indexed="81"/>
            <rFont val="Tahoma"/>
            <family val="2"/>
          </rPr>
          <t>Prior April 1, 2013 agreement = 1.77% EHC</t>
        </r>
      </text>
    </comment>
    <comment ref="H110" authorId="1">
      <text>
        <r>
          <rPr>
            <sz val="9"/>
            <color indexed="81"/>
            <rFont val="Tahoma"/>
            <family val="2"/>
          </rPr>
          <t>Prior April 1, 2013 agreement = 1.77% EHC</t>
        </r>
      </text>
    </comment>
    <comment ref="F111" authorId="1">
      <text>
        <r>
          <rPr>
            <sz val="9"/>
            <color indexed="81"/>
            <rFont val="Tahoma"/>
            <family val="2"/>
          </rPr>
          <t>Prior April 1, 2013 agreement = 3.05% Dental</t>
        </r>
      </text>
    </comment>
    <comment ref="H111" authorId="1">
      <text>
        <r>
          <rPr>
            <sz val="9"/>
            <color indexed="81"/>
            <rFont val="Tahoma"/>
            <family val="2"/>
          </rPr>
          <t>Prior April 1, 2013 agreement = 3.05% Dental</t>
        </r>
      </text>
    </comment>
    <comment ref="F112" authorId="1">
      <text>
        <r>
          <rPr>
            <sz val="9"/>
            <color indexed="81"/>
            <rFont val="Tahoma"/>
            <family val="2"/>
          </rPr>
          <t>Prior April 1, 2013 agreement = 2.36% MSP</t>
        </r>
      </text>
    </comment>
    <comment ref="H112" authorId="1">
      <text>
        <r>
          <rPr>
            <sz val="9"/>
            <color indexed="81"/>
            <rFont val="Tahoma"/>
            <family val="2"/>
          </rPr>
          <t>Prior April 1, 2013 agreement = 2.36% MSP</t>
        </r>
      </text>
    </comment>
    <comment ref="F113" authorId="1">
      <text>
        <r>
          <rPr>
            <sz val="9"/>
            <color indexed="81"/>
            <rFont val="Tahoma"/>
            <family val="2"/>
          </rPr>
          <t>Prior April 1, 2013 agreement = 0.25% Life</t>
        </r>
      </text>
    </comment>
    <comment ref="H113" authorId="1">
      <text>
        <r>
          <rPr>
            <sz val="9"/>
            <color indexed="81"/>
            <rFont val="Tahoma"/>
            <family val="2"/>
          </rPr>
          <t>Prior April 1, 2013 agreement = 0.25% Life</t>
        </r>
      </text>
    </comment>
    <comment ref="F114" authorId="1">
      <text>
        <r>
          <rPr>
            <sz val="9"/>
            <color indexed="81"/>
            <rFont val="Tahoma"/>
            <family val="2"/>
          </rPr>
          <t>Prior April 1, 2013 agreement = 0.05% AD&amp;D</t>
        </r>
      </text>
    </comment>
    <comment ref="H114" authorId="1">
      <text>
        <r>
          <rPr>
            <sz val="9"/>
            <color indexed="81"/>
            <rFont val="Tahoma"/>
            <family val="2"/>
          </rPr>
          <t>Prior April 1, 2013 agreement = 0.05% AD&amp;D</t>
        </r>
      </text>
    </comment>
    <comment ref="F116" authorId="1">
      <text>
        <r>
          <rPr>
            <sz val="9"/>
            <color indexed="81"/>
            <rFont val="Tahoma"/>
            <family val="2"/>
          </rPr>
          <t>Prior benchmark as at April 1, 2010 = 3.81%</t>
        </r>
      </text>
    </comment>
    <comment ref="H116" authorId="1">
      <text>
        <r>
          <rPr>
            <sz val="9"/>
            <color indexed="81"/>
            <rFont val="Tahoma"/>
            <family val="2"/>
          </rPr>
          <t>Prior benchmark as at April 1, 2010 = 3.81%</t>
        </r>
      </text>
    </comment>
    <comment ref="F117" authorId="0">
      <text>
        <r>
          <rPr>
            <sz val="9"/>
            <color indexed="81"/>
            <rFont val="Tahoma"/>
            <family val="2"/>
          </rPr>
          <t xml:space="preserve">8.89% contribution at July 2011 x 85% participation at March 2012 = 7.56% average expected MPP benchmark.  Note:  Previous 8.04% benchmark in v3Feb11 FGTs was an average of all agencies in MPP, not just CLBC service providers)
</t>
        </r>
      </text>
    </comment>
    <comment ref="H117" authorId="0">
      <text>
        <r>
          <rPr>
            <sz val="9"/>
            <color indexed="81"/>
            <rFont val="Tahoma"/>
            <family val="2"/>
          </rPr>
          <t xml:space="preserve">8.89% contribution at July 2011 x 85% participation at March 2012 = 7.56% average expected MPP benchmark.  Note:  Previous 8.04% benchmark in v3Feb11 FGTs was an average of all agencies in MPP, not just CLBC service providers)
</t>
        </r>
      </text>
    </comment>
    <comment ref="I124" authorId="1">
      <text>
        <r>
          <rPr>
            <sz val="9"/>
            <color indexed="81"/>
            <rFont val="Tahoma"/>
            <family val="2"/>
          </rPr>
          <t>= 12 stat holidays x 1.5 times OT premium = 18 days
New stat day added by BC government effective February 2013.</t>
        </r>
      </text>
    </comment>
    <comment ref="F128" authorId="1">
      <text>
        <r>
          <rPr>
            <sz val="9"/>
            <color indexed="81"/>
            <rFont val="Tahoma"/>
            <family val="2"/>
          </rPr>
          <t xml:space="preserve">New rate of 2.63% renegotiated effective April 1, 2013
</t>
        </r>
      </text>
    </comment>
    <comment ref="H128" authorId="1">
      <text>
        <r>
          <rPr>
            <sz val="9"/>
            <color indexed="81"/>
            <rFont val="Tahoma"/>
            <family val="2"/>
          </rPr>
          <t xml:space="preserve">New rate of 2.63% renegotiated effective April 1, 2013
</t>
        </r>
      </text>
    </comment>
    <comment ref="F130" authorId="1">
      <text>
        <r>
          <rPr>
            <sz val="9"/>
            <color indexed="81"/>
            <rFont val="Tahoma"/>
            <family val="2"/>
          </rPr>
          <t>April 1, 2010 agreement = 10.20%</t>
        </r>
      </text>
    </comment>
    <comment ref="H130" authorId="1">
      <text>
        <r>
          <rPr>
            <sz val="9"/>
            <color indexed="81"/>
            <rFont val="Tahoma"/>
            <family val="2"/>
          </rPr>
          <t>April 1, 2010 agreement = 10.20%</t>
        </r>
      </text>
    </comment>
    <comment ref="F132" authorId="0">
      <text>
        <r>
          <rPr>
            <sz val="9"/>
            <color indexed="81"/>
            <rFont val="Tahoma"/>
            <family val="2"/>
          </rPr>
          <t>Non residential program does not open on Stat holidays and thus there should be no service level for backfill on stat holidays</t>
        </r>
      </text>
    </comment>
    <comment ref="H132" authorId="0">
      <text>
        <r>
          <rPr>
            <sz val="9"/>
            <color indexed="81"/>
            <rFont val="Tahoma"/>
            <family val="2"/>
          </rPr>
          <t xml:space="preserve">Backfill % for Service level is different than Backfill Wage % of 20.18% because </t>
        </r>
        <r>
          <rPr>
            <b/>
            <sz val="9"/>
            <color indexed="81"/>
            <rFont val="Tahoma"/>
            <family val="2"/>
          </rPr>
          <t>6.92%</t>
        </r>
        <r>
          <rPr>
            <sz val="9"/>
            <color indexed="81"/>
            <rFont val="Tahoma"/>
            <family val="2"/>
          </rPr>
          <t xml:space="preserve"> for stat holiday pay based on 12 days x 1.5 / 260 days. This is correct for Wages , but needs to be adjusted back to 12 days / 260 = </t>
        </r>
        <r>
          <rPr>
            <b/>
            <sz val="9"/>
            <color indexed="81"/>
            <rFont val="Tahoma"/>
            <family val="2"/>
          </rPr>
          <t>4.62%</t>
        </r>
        <r>
          <rPr>
            <sz val="9"/>
            <color indexed="81"/>
            <rFont val="Tahoma"/>
            <family val="2"/>
          </rPr>
          <t xml:space="preserve"> when calculating Service Level.</t>
        </r>
      </text>
    </comment>
    <comment ref="I136" authorId="1">
      <text>
        <r>
          <rPr>
            <sz val="9"/>
            <color indexed="81"/>
            <rFont val="Tahoma"/>
            <family val="2"/>
          </rPr>
          <t>12 stat holidays.  New stat day added by BC government effective February 2013.</t>
        </r>
      </text>
    </comment>
  </commentList>
</comments>
</file>

<file path=xl/comments11.xml><?xml version="1.0" encoding="utf-8"?>
<comments xmlns="http://schemas.openxmlformats.org/spreadsheetml/2006/main">
  <authors>
    <author>jeshuang</author>
  </authors>
  <commentList>
    <comment ref="E9" authorId="0">
      <text>
        <r>
          <rPr>
            <b/>
            <sz val="8"/>
            <color indexed="81"/>
            <rFont val="Century Gothic"/>
            <family val="2"/>
          </rPr>
          <t>DO NOT AUTOFILL FORMULA</t>
        </r>
        <r>
          <rPr>
            <sz val="8"/>
            <color indexed="81"/>
            <rFont val="Century Gothic"/>
            <family val="2"/>
          </rPr>
          <t xml:space="preserve">
If CSSEA grid &gt; 11 or HEABC grid &gt; 7, return 1, otherwise return 0.
This is used in Page 2 to highlight high paid workers.
</t>
        </r>
      </text>
    </comment>
    <comment ref="F9" authorId="0">
      <text>
        <r>
          <rPr>
            <sz val="9"/>
            <color indexed="81"/>
            <rFont val="Tahoma"/>
            <family val="2"/>
          </rPr>
          <t xml:space="preserve">Show 1 if no backfill allowed for the position. </t>
        </r>
      </text>
    </comment>
    <comment ref="G9" authorId="0">
      <text>
        <r>
          <rPr>
            <sz val="9"/>
            <color indexed="81"/>
            <rFont val="Tahoma"/>
            <family val="2"/>
          </rPr>
          <t xml:space="preserve">Show 1 if position is included in FGT recovery calculation.
Note: Asleep and Awake night workers are not included.
</t>
        </r>
      </text>
    </comment>
    <comment ref="M47" authorId="0">
      <text>
        <r>
          <rPr>
            <b/>
            <sz val="9"/>
            <color indexed="81"/>
            <rFont val="Tahoma"/>
            <family val="2"/>
          </rPr>
          <t>jeshuang:</t>
        </r>
        <r>
          <rPr>
            <sz val="9"/>
            <color indexed="81"/>
            <rFont val="Tahoma"/>
            <family val="2"/>
          </rPr>
          <t xml:space="preserve">
2 Wage Grid % increase input cells on Page 1 for Direct Staff.
One for CSSEA and one for HEABC.</t>
        </r>
      </text>
    </comment>
    <comment ref="N84" authorId="0">
      <text>
        <r>
          <rPr>
            <sz val="9"/>
            <color indexed="81"/>
            <rFont val="Tahoma"/>
            <family val="2"/>
          </rPr>
          <t>if page 1 shows "current" rate to be used, then old rate of $26.57 will be used. If it shows "new" rate to be used, then new rate as entered on page 1 will be used.</t>
        </r>
      </text>
    </comment>
    <comment ref="M85" authorId="0">
      <text>
        <r>
          <rPr>
            <sz val="9"/>
            <color indexed="81"/>
            <rFont val="Tahoma"/>
            <family val="2"/>
          </rPr>
          <t>This is linked to Page 9. 
Supervisor rate is negotiated at a fixed rate rather than using 3.75 step rate as direct staff.</t>
        </r>
      </text>
    </comment>
    <comment ref="F88" authorId="0">
      <text>
        <r>
          <rPr>
            <sz val="9"/>
            <color indexed="81"/>
            <rFont val="Tahoma"/>
            <family val="2"/>
          </rPr>
          <t xml:space="preserve">This supports calcs in Variable Page 6A and OTO Page 6B as list is needed for res/non-res etc.  MPP for pages 4 and 5 calcs supported by Page 5 (sourced from Page1) bottom summary.
</t>
        </r>
      </text>
    </comment>
  </commentList>
</comments>
</file>

<file path=xl/sharedStrings.xml><?xml version="1.0" encoding="utf-8"?>
<sst xmlns="http://schemas.openxmlformats.org/spreadsheetml/2006/main" count="3139" uniqueCount="853">
  <si>
    <t>Monthly</t>
  </si>
  <si>
    <t>Annual</t>
  </si>
  <si>
    <t>%</t>
  </si>
  <si>
    <t>Transportation Allowance</t>
  </si>
  <si>
    <t>Total Facilities Costs</t>
  </si>
  <si>
    <t>Hours</t>
  </si>
  <si>
    <t>Hourly</t>
  </si>
  <si>
    <t>Rate</t>
  </si>
  <si>
    <t>Cost</t>
  </si>
  <si>
    <t>FTE</t>
  </si>
  <si>
    <t>Existing Contract #:</t>
  </si>
  <si>
    <t>Classification</t>
  </si>
  <si>
    <t>Direct Staffing Subtotal</t>
  </si>
  <si>
    <t>1.</t>
  </si>
  <si>
    <t>2.</t>
  </si>
  <si>
    <t>3.</t>
  </si>
  <si>
    <t>Click on the tabs at the bottom of this window to move between the worksheets.</t>
  </si>
  <si>
    <t>4.</t>
  </si>
  <si>
    <t>5.</t>
  </si>
  <si>
    <t>6.</t>
  </si>
  <si>
    <t>Date of Submission:</t>
  </si>
  <si>
    <t>FTE Hours/Week:</t>
  </si>
  <si>
    <t>M</t>
  </si>
  <si>
    <t>T</t>
  </si>
  <si>
    <t>W</t>
  </si>
  <si>
    <t>F</t>
  </si>
  <si>
    <t>#</t>
  </si>
  <si>
    <t>Grid</t>
  </si>
  <si>
    <t xml:space="preserve">Other - </t>
  </si>
  <si>
    <t>Additional Comments:</t>
  </si>
  <si>
    <t>Direct Program Costs</t>
  </si>
  <si>
    <t>Facilities</t>
  </si>
  <si>
    <t xml:space="preserve">Administration </t>
  </si>
  <si>
    <t>% of Total Cost</t>
  </si>
  <si>
    <t>Funding Source</t>
  </si>
  <si>
    <t>Position #</t>
  </si>
  <si>
    <t>Line</t>
  </si>
  <si>
    <t>Hints:</t>
  </si>
  <si>
    <t xml:space="preserve">Additional Comments:  Staffing Schedule </t>
  </si>
  <si>
    <t>Costs</t>
  </si>
  <si>
    <t>Total Costs</t>
  </si>
  <si>
    <t>Funding</t>
  </si>
  <si>
    <t>Direct Staff Wages</t>
  </si>
  <si>
    <t>Backfill Wages</t>
  </si>
  <si>
    <t>/week</t>
  </si>
  <si>
    <t>% of Total Funding</t>
  </si>
  <si>
    <t>Wages and Benefits</t>
  </si>
  <si>
    <t>7.</t>
  </si>
  <si>
    <t>Non-Residential</t>
  </si>
  <si>
    <t>Residential</t>
  </si>
  <si>
    <t>Union</t>
  </si>
  <si>
    <t>Wages - Direct Staffing</t>
  </si>
  <si>
    <t>Wages - Supervision</t>
  </si>
  <si>
    <t>Benefits - Backfill Staffing</t>
  </si>
  <si>
    <t>Administration</t>
  </si>
  <si>
    <t>MPP</t>
  </si>
  <si>
    <t>Direct Program Cost</t>
  </si>
  <si>
    <t>Food</t>
  </si>
  <si>
    <t>Staff Training / education</t>
  </si>
  <si>
    <t>Telephone</t>
  </si>
  <si>
    <t>Cellular phone / Pager</t>
  </si>
  <si>
    <t>Cable</t>
  </si>
  <si>
    <t>Internet</t>
  </si>
  <si>
    <t>Mileage</t>
  </si>
  <si>
    <t>Vehicle gas</t>
  </si>
  <si>
    <t>Vehicle repairs / maintenance</t>
  </si>
  <si>
    <t>Vehicle Insurance</t>
  </si>
  <si>
    <t>km per day</t>
  </si>
  <si>
    <t>$ Per month</t>
  </si>
  <si>
    <t>$ Per Year</t>
  </si>
  <si>
    <t>$ per year</t>
  </si>
  <si>
    <t>$ per person per month</t>
  </si>
  <si>
    <t>$ per FTE per YEAR</t>
  </si>
  <si>
    <t>$ per month</t>
  </si>
  <si>
    <t>Rate Table</t>
  </si>
  <si>
    <t>Wages</t>
  </si>
  <si>
    <t>Benefit</t>
  </si>
  <si>
    <t>Direct Staffing Schedule</t>
  </si>
  <si>
    <t>Job Classification</t>
  </si>
  <si>
    <t>Rate at Step 3</t>
  </si>
  <si>
    <t>Rate at Step 4</t>
  </si>
  <si>
    <t>Increase from Step 3 to 4</t>
  </si>
  <si>
    <t>75% of Increase</t>
  </si>
  <si>
    <t>JobList</t>
  </si>
  <si>
    <t>Direct Staff Wage Table</t>
  </si>
  <si>
    <t>Supervisor</t>
  </si>
  <si>
    <t>SupervisorGrid</t>
  </si>
  <si>
    <t>Supervisor Wage Table</t>
  </si>
  <si>
    <t>Program Status</t>
  </si>
  <si>
    <t>$ per Mileage</t>
  </si>
  <si>
    <t>Program Type</t>
  </si>
  <si>
    <t>Prog Status + Type</t>
  </si>
  <si>
    <t>Benefit %</t>
  </si>
  <si>
    <t>Backfill Wages %</t>
  </si>
  <si>
    <t>Backfill Benefit %</t>
  </si>
  <si>
    <t>Direct Staffing Table - Benefits, Backfill Wages &amp; Benefits, MPP</t>
  </si>
  <si>
    <t>Supervisor Wage and Benefit Calculation</t>
  </si>
  <si>
    <t>Supervisor Total</t>
  </si>
  <si>
    <t>Supervisor Wages</t>
  </si>
  <si>
    <t>Max</t>
  </si>
  <si>
    <t>Per Month</t>
  </si>
  <si>
    <t>Per Year</t>
  </si>
  <si>
    <t>Program Coordinator 2</t>
  </si>
  <si>
    <t>50% of Increase</t>
  </si>
  <si>
    <t>Regular</t>
  </si>
  <si>
    <t>Grid Level</t>
  </si>
  <si>
    <t>Step</t>
  </si>
  <si>
    <t>Hourly Rate</t>
  </si>
  <si>
    <t>Workplace Status</t>
  </si>
  <si>
    <t>Page 1</t>
  </si>
  <si>
    <t>MPP Contribution %:</t>
  </si>
  <si>
    <t>MPP Participation %:</t>
  </si>
  <si>
    <t>Service Capacity</t>
  </si>
  <si>
    <t>FTE Hours/Week</t>
  </si>
  <si>
    <t>LTD</t>
  </si>
  <si>
    <t>CPP, EI, WorkSafe BC</t>
  </si>
  <si>
    <t>Workplace Status + Program Type</t>
  </si>
  <si>
    <t>in-lieu benefits for casual staff</t>
  </si>
  <si>
    <t>incremental benefits for PT staff</t>
  </si>
  <si>
    <t>MPP %:</t>
  </si>
  <si>
    <t>Administration - Regular</t>
  </si>
  <si>
    <t>LTD %:</t>
  </si>
  <si>
    <t>Recreation</t>
  </si>
  <si>
    <t>Drop Down List</t>
  </si>
  <si>
    <t>Job + Grid</t>
  </si>
  <si>
    <t>Shift</t>
  </si>
  <si>
    <t>These rates may be obtained from your HR department. If you do not provide the associated benefit, please leave it blank or enter zero.</t>
  </si>
  <si>
    <t>Direct Staff Wage and Benefit Calculation</t>
  </si>
  <si>
    <t>Fixed or Max</t>
  </si>
  <si>
    <t>Fixed</t>
  </si>
  <si>
    <t>Benefits Details - For Information Only:</t>
  </si>
  <si>
    <t>per input page</t>
  </si>
  <si>
    <t>multiple</t>
  </si>
  <si>
    <t>CPP, EI, Worksafe BC:</t>
  </si>
  <si>
    <t>EHC, dental, MSP, life, AD&amp;D:</t>
  </si>
  <si>
    <t>LTD:</t>
  </si>
  <si>
    <t>Total</t>
  </si>
  <si>
    <t>pre-set</t>
  </si>
  <si>
    <t>sum</t>
  </si>
  <si>
    <t>Benefits for Backfill Staffing</t>
  </si>
  <si>
    <t xml:space="preserve">In-lieu benefits for casual staff: </t>
  </si>
  <si>
    <t xml:space="preserve">Incremental benefits for PT staff: </t>
  </si>
  <si>
    <t>Persons with Disabilities (PWD) - under age 65</t>
  </si>
  <si>
    <t>Old Age Security / Guar Income Supp (OAS/GIS) - age 65 and over</t>
  </si>
  <si>
    <t>BC Housing Management Commission (BCHMC) Subsidies</t>
  </si>
  <si>
    <t>GST / HST Rebate</t>
  </si>
  <si>
    <t>Summary of Proposed Wages and Benefits from Service Provider</t>
  </si>
  <si>
    <t>Superior Wages and Benefits</t>
  </si>
  <si>
    <t>Backfill %</t>
  </si>
  <si>
    <t>Subtotal Regular Wages &amp; Benefits</t>
  </si>
  <si>
    <t>Subtotal Total Wages &amp; Benefits</t>
  </si>
  <si>
    <t>Comparable %</t>
  </si>
  <si>
    <t xml:space="preserve">Comparable </t>
  </si>
  <si>
    <t>Monthly Comp</t>
  </si>
  <si>
    <t>Annual Comp</t>
  </si>
  <si>
    <t>Rates used for Wage and Benefits</t>
  </si>
  <si>
    <t>SP Rate</t>
  </si>
  <si>
    <t>Variance</t>
  </si>
  <si>
    <t>You should carefully review these areas within the input sheets filled out by the Service Provider.</t>
  </si>
  <si>
    <t>Basic Benefits</t>
  </si>
  <si>
    <t>MPP/LTD</t>
  </si>
  <si>
    <t>Supervisor Basic Benefits</t>
  </si>
  <si>
    <t>Mileage Rate</t>
  </si>
  <si>
    <t>same as Benefit for Direct Staff</t>
  </si>
  <si>
    <t>n/a</t>
  </si>
  <si>
    <t>Paid Hours</t>
  </si>
  <si>
    <t>Type</t>
  </si>
  <si>
    <t>Type + Grid</t>
  </si>
  <si>
    <t>JJEP</t>
  </si>
  <si>
    <t>PP</t>
  </si>
  <si>
    <t>Subtotal Direct Program Costs</t>
  </si>
  <si>
    <t>Total Labour and Direct Program Costs</t>
  </si>
  <si>
    <r>
      <rPr>
        <b/>
        <u/>
        <sz val="11"/>
        <rFont val="Century Gothic"/>
        <family val="2"/>
      </rPr>
      <t>Administration</t>
    </r>
    <r>
      <rPr>
        <b/>
        <sz val="11"/>
        <rFont val="Century Gothic"/>
        <family val="2"/>
      </rPr>
      <t xml:space="preserve">, </t>
    </r>
    <r>
      <rPr>
        <b/>
        <u/>
        <sz val="11"/>
        <rFont val="Century Gothic"/>
        <family val="2"/>
      </rPr>
      <t>Facility Costs</t>
    </r>
    <r>
      <rPr>
        <b/>
        <sz val="11"/>
        <rFont val="Century Gothic"/>
        <family val="2"/>
      </rPr>
      <t xml:space="preserve">, and </t>
    </r>
    <r>
      <rPr>
        <b/>
        <u/>
        <sz val="11"/>
        <rFont val="Century Gothic"/>
        <family val="2"/>
      </rPr>
      <t>Funding Source</t>
    </r>
    <r>
      <rPr>
        <b/>
        <sz val="11"/>
        <rFont val="Century Gothic"/>
        <family val="2"/>
      </rPr>
      <t xml:space="preserve"> are also NOT included on this page as great variation is possible; thus, automated validation cannot be built.</t>
    </r>
  </si>
  <si>
    <r>
      <t xml:space="preserve">There are NO variances shown on this page for </t>
    </r>
    <r>
      <rPr>
        <b/>
        <u/>
        <sz val="11"/>
        <rFont val="Century Gothic"/>
        <family val="2"/>
      </rPr>
      <t xml:space="preserve">Wages &amp; Benefits </t>
    </r>
    <r>
      <rPr>
        <b/>
        <sz val="11"/>
        <rFont val="Century Gothic"/>
        <family val="2"/>
      </rPr>
      <t>as there can be no variation in this category in the "Union" template, we simply pay the agreed "fixed" rates.</t>
    </r>
  </si>
  <si>
    <t>Instructions to Service Provider:</t>
  </si>
  <si>
    <t>High Grid = 1
OK Grid = 0</t>
  </si>
  <si>
    <r>
      <t xml:space="preserve">Please provide your staffing schedule in the table below.  Direct staff are employees who provide </t>
    </r>
    <r>
      <rPr>
        <b/>
        <u/>
        <sz val="11"/>
        <rFont val="Calibri"/>
        <family val="2"/>
        <scheme val="minor"/>
      </rPr>
      <t>direct</t>
    </r>
    <r>
      <rPr>
        <b/>
        <sz val="11"/>
        <rFont val="Calibri"/>
        <family val="2"/>
        <scheme val="minor"/>
      </rPr>
      <t xml:space="preserve"> support to individuals and families of CLBC.  </t>
    </r>
    <r>
      <rPr>
        <b/>
        <i/>
        <sz val="11"/>
        <rFont val="Calibri"/>
        <family val="2"/>
        <scheme val="minor"/>
      </rPr>
      <t>DO NOT</t>
    </r>
    <r>
      <rPr>
        <b/>
        <sz val="11"/>
        <rFont val="Calibri"/>
        <family val="2"/>
        <scheme val="minor"/>
      </rPr>
      <t xml:space="preserve"> include Supervisor in this schedule.</t>
    </r>
  </si>
  <si>
    <t>Direct Staff Basic Benefits</t>
  </si>
  <si>
    <t>Backfill Benefits</t>
  </si>
  <si>
    <t>Variance to Direct Program Cost</t>
  </si>
  <si>
    <t>CSSEA</t>
  </si>
  <si>
    <t>Total Variance to Direct Program Cost</t>
  </si>
  <si>
    <t>RRSP</t>
  </si>
  <si>
    <t>HEABC</t>
  </si>
  <si>
    <t>CSSEA/HEABC</t>
  </si>
  <si>
    <t>New Contracts:</t>
  </si>
  <si>
    <t>Fair Market Rent - for "owned" properties</t>
  </si>
  <si>
    <t>Arms-length Rent - for "rented" properties</t>
  </si>
  <si>
    <t>Existing Contracts:</t>
  </si>
  <si>
    <t>Rent or Lease payments</t>
  </si>
  <si>
    <t>Mortgage payment</t>
  </si>
  <si>
    <t>All Contracts - New and Existing:</t>
  </si>
  <si>
    <t>NOTE:</t>
  </si>
  <si>
    <t>Average Rate</t>
  </si>
  <si>
    <t>A</t>
  </si>
  <si>
    <t>Basic Benefits for Direct Staffing</t>
  </si>
  <si>
    <t>Page 8</t>
  </si>
  <si>
    <t xml:space="preserve">Input your data only into yellow highlighted columns on all sheets. Other cells contain formulas.  </t>
  </si>
  <si>
    <t>Place cursor over red triangles to read informational notes that will help you fill that area.</t>
  </si>
  <si>
    <t>Space for additional comments has been provided on each worksheet should you wish to explain anything.</t>
  </si>
  <si>
    <t>Name:</t>
  </si>
  <si>
    <t>City:</t>
  </si>
  <si>
    <t>Postal Code:</t>
  </si>
  <si>
    <t>CSSEA - Activity Worker</t>
  </si>
  <si>
    <t>CSSEA - Adult, Youth and / or Child Counsellor</t>
  </si>
  <si>
    <t>CSSEA - Adult, Youth and / or Child Worker</t>
  </si>
  <si>
    <t>CSSEA - Asleep Residential Night Worker</t>
  </si>
  <si>
    <t>CSSEA - Awake Residential Night Worker</t>
  </si>
  <si>
    <t>CSSEA - Behavioural Therapist</t>
  </si>
  <si>
    <t>CSSEA - Clinical Counsellor</t>
  </si>
  <si>
    <t>CSSEA - Community Support Worker</t>
  </si>
  <si>
    <t>CSSEA - Employment Counsellor</t>
  </si>
  <si>
    <t>CSSEA - Family Counsellor</t>
  </si>
  <si>
    <t>CSSEA - Family Support Worker</t>
  </si>
  <si>
    <t>CSSEA - Group Facilitator</t>
  </si>
  <si>
    <t>CSSEA - Program Coordinator 1</t>
  </si>
  <si>
    <t>CSSEA - Program Coordinator 2</t>
  </si>
  <si>
    <t>CSSEA - Residence Coordinator</t>
  </si>
  <si>
    <t>CSSEA - Residence Nurse</t>
  </si>
  <si>
    <t>CSSEA - Residence Worker</t>
  </si>
  <si>
    <t>CSSEA - Residence Worker, Senior</t>
  </si>
  <si>
    <t>CSSEA - Vocational Counsellor</t>
  </si>
  <si>
    <t>CSSEA - Vocational Worker</t>
  </si>
  <si>
    <t>CSSEA - Volunteer Coordinator</t>
  </si>
  <si>
    <t>HEABC - Community Health Worker 1</t>
  </si>
  <si>
    <t>HEABC - Activity Worker</t>
  </si>
  <si>
    <t>HEABC - Community Health Worker 2</t>
  </si>
  <si>
    <t>HEABC - Resident Care Aide</t>
  </si>
  <si>
    <t>HEABC - Support Worker 1</t>
  </si>
  <si>
    <t>HEABC - Program Coordinator 1</t>
  </si>
  <si>
    <t>HEABC - Support Worker 2</t>
  </si>
  <si>
    <t>HEABC - Residence Coordinator</t>
  </si>
  <si>
    <t>HEABC - Program Coordinator 2</t>
  </si>
  <si>
    <t>LPN</t>
  </si>
  <si>
    <t>Backfill - Wages</t>
  </si>
  <si>
    <t>Backfill - Benefits</t>
  </si>
  <si>
    <t>Backfill</t>
  </si>
  <si>
    <t>Wages %</t>
  </si>
  <si>
    <t>Benefits %</t>
  </si>
  <si>
    <t>OCG Number:</t>
  </si>
  <si>
    <t>8.</t>
  </si>
  <si>
    <t>CSSEA or HEABC Staff Job Classification</t>
  </si>
  <si>
    <t>R</t>
  </si>
  <si>
    <t>Sa</t>
  </si>
  <si>
    <t>Su</t>
  </si>
  <si>
    <t xml:space="preserve">Supervisor </t>
  </si>
  <si>
    <t>Program Coordinator 214</t>
  </si>
  <si>
    <t>na</t>
  </si>
  <si>
    <t>Supervisor Proof:</t>
  </si>
  <si>
    <t>Supervisor 1:8 Ratio = 12.50%</t>
  </si>
  <si>
    <t xml:space="preserve">Supervisor FTE per above </t>
  </si>
  <si>
    <t>divided by</t>
  </si>
  <si>
    <t>Direct Staff FTE per above</t>
  </si>
  <si>
    <t>equals</t>
  </si>
  <si>
    <t>$ Per FTE Per month</t>
  </si>
  <si>
    <t>Please provide comments for any "other" lines used by overwriting in this cell.</t>
  </si>
  <si>
    <t>Staff FTE</t>
  </si>
  <si>
    <t>If you require any assistance with the worksheet, please contact the CLBC Analyst at your local CLBC Quality Service office.</t>
  </si>
  <si>
    <r>
      <rPr>
        <u/>
        <sz val="9"/>
        <rFont val="Century Gothic"/>
        <family val="2"/>
      </rPr>
      <t>Please Note:</t>
    </r>
    <r>
      <rPr>
        <sz val="9"/>
        <rFont val="Century Gothic"/>
        <family val="2"/>
      </rPr>
      <t xml:space="preserve">  The variances shown is between (a) the service provider direct program cost request and (b) the CLBC provincial benchmarks @85%.  This is done to alert you to figures "approaching" the benchmarks.  You should also compare your data to the program cost experience in your region available from your local Regional Finance Manager (RFM).</t>
    </r>
  </si>
  <si>
    <t>High Grid ident.</t>
  </si>
  <si>
    <t>Per the collective agreement between Community Social Services Employers' Association (CSSEA) and Community Social Services Bargaining Association of Unions (CSSBA) effective April 1, 2006, some employees may receive "Superior" wages and / or benefits if they were hired prior to April 1, 2004.  Details of these provisions are noted in the Collective Agreement, Appendix A, Sections A, B, C, D, local issues are noted in Appendix B, Clauses 1 through 9, and additional relevant information is contained in Memorandums of Agreement 1 through 20.</t>
  </si>
  <si>
    <t>Superior Wages &amp; Benefits (if applicable)</t>
  </si>
  <si>
    <t>Please ensure you have opened this file, and in the "Security Warning" tab above (below the MS 2007 Ribbon) that you select "Options" and then select "Enable this Content" under the Macros settings.  This must be done for the printing macros to become functional.</t>
  </si>
  <si>
    <t>Address:</t>
  </si>
  <si>
    <t>Template for Superior Wages and Benefits</t>
  </si>
  <si>
    <t>Staff with superior wage should be paid at:</t>
  </si>
  <si>
    <t>Superior Wages per hour</t>
  </si>
  <si>
    <t>Superior Monthly Wages</t>
  </si>
  <si>
    <t>per month</t>
  </si>
  <si>
    <t>per hour</t>
  </si>
  <si>
    <t>hours</t>
  </si>
  <si>
    <t>Total Superior Wage &amp; Benefit per Month</t>
  </si>
  <si>
    <t>Backfill Wage %</t>
  </si>
  <si>
    <t>Superior Monthly Benefits</t>
  </si>
  <si>
    <t>Funding Template - Union</t>
  </si>
  <si>
    <t>Once you have completed the template, please resave it to your network or hard drive as an "Excel Macro-Enabled Workbook" in the following name format:  ServiceProviderName_ProgramName_FundingTemplate_Current Date.xlsm</t>
  </si>
  <si>
    <t>Other</t>
  </si>
  <si>
    <t>Employer Association:</t>
  </si>
  <si>
    <t>Gross Fixed Service Level Hours</t>
  </si>
  <si>
    <t>Weekly Backfill Reduction</t>
  </si>
  <si>
    <t>Annual Backfill Reduction</t>
  </si>
  <si>
    <t>Net Fixed Service Level Hours</t>
  </si>
  <si>
    <t>Total "Weekly" Service Hours for Direct Staff below</t>
  </si>
  <si>
    <t>Total "Annual" Service Hours for Direct Staff below</t>
  </si>
  <si>
    <t>Total "Annual" Service Hours for Direct Staff above</t>
  </si>
  <si>
    <t>Total "Weekly" Service Hours for Direct Staff above</t>
  </si>
  <si>
    <t>Option A:</t>
  </si>
  <si>
    <t>Option B:</t>
  </si>
  <si>
    <r>
      <rPr>
        <b/>
        <sz val="11"/>
        <rFont val="Baskerville Old Face"/>
        <family val="1"/>
      </rPr>
      <t xml:space="preserve">Positive variance (Favourable) = Service Provider proposed rate is LESS than CLBC guide. </t>
    </r>
    <r>
      <rPr>
        <b/>
        <sz val="11"/>
        <color theme="3" tint="0.39997558519241921"/>
        <rFont val="Baskerville Old Face"/>
        <family val="1"/>
      </rPr>
      <t xml:space="preserve">                  </t>
    </r>
    <r>
      <rPr>
        <b/>
        <sz val="11"/>
        <color rgb="FFFF0000"/>
        <rFont val="Baskerville Old Face"/>
        <family val="1"/>
      </rPr>
      <t xml:space="preserve"> Negative variance (Unfavourable) = Service Provider proposed rate is HIGHER than CLBC guide.</t>
    </r>
  </si>
  <si>
    <t>No</t>
  </si>
  <si>
    <t>There are two options in handling the above situations:</t>
  </si>
  <si>
    <t>Supervisor / Senior Worker Wages and Benefits</t>
  </si>
  <si>
    <t>Instead of requesting funding for a "Senior" worker on Page 2, please request funding for a "Regular" worker instead, and provide some comments in "Additional Comments - Staffing Schedule" to describe this situation.</t>
  </si>
  <si>
    <t>Template for Supervisor / Senior Worker Wages and Benefits Adjustment</t>
  </si>
  <si>
    <t>Position without Supervisory / Senior worker responsibility wage rate:</t>
  </si>
  <si>
    <t>Supervisor / Senior Worker Hourly Wage Adjustment - auto calculated</t>
  </si>
  <si>
    <t>Supervisor / Senior Worker Monthly Wages Adjustment</t>
  </si>
  <si>
    <t>Supervisor / Senior Worker Monthly Benefits Adjustment</t>
  </si>
  <si>
    <t>Supervisor / Senior Worker Monthly Backfill Wages Adjustment</t>
  </si>
  <si>
    <t>Supervisor / Senior Worker Monthly Backfill Benefits Adjustment</t>
  </si>
  <si>
    <t>Total Supervisor / Senior Worker Monthly Wages and Benefits Adjustment</t>
  </si>
  <si>
    <t>This is a free-form page - please see note at the end below.</t>
  </si>
  <si>
    <r>
      <rPr>
        <b/>
        <sz val="10"/>
        <rFont val="Arial"/>
        <family val="2"/>
      </rPr>
      <t>Senior / Regular Mix:</t>
    </r>
    <r>
      <rPr>
        <sz val="10"/>
        <rFont val="Arial"/>
        <family val="2"/>
      </rPr>
      <t xml:space="preserve">  A service provider may choose to use more "senior" workers in some instances, where only "regular" worker may be required.  CLBC recognises the Service Provider's prerogative to manage its staff mix as it deems most appropriate, however, CLBC will fund only the "regular" worker that is required.  </t>
    </r>
  </si>
  <si>
    <t>The overall funding auto-calculation can be reduced to compensate for the additional higher wages required for these direct staffing hours.  On Page 2, you would requesting funding for the "Supervisor / Senior Worker", and below you will calculate the "Reduction Required":</t>
  </si>
  <si>
    <t>On-line Supervisor / Senior Worker wage (please get this from Page 5):</t>
  </si>
  <si>
    <t>Weekly hours worked by this staff (please get this from your input on Page 2):</t>
  </si>
  <si>
    <t>Basic Benefit % (will auto-populate from Page 5):</t>
  </si>
  <si>
    <t>Backfill % for this staff (please get this from Page 2, otherwise, will default to 100%):</t>
  </si>
  <si>
    <t>Supervisor / Senior Worker Wage &amp; Benefits Adjustments (if applicable)</t>
  </si>
  <si>
    <t>Total Supervisor / Senior Worker Wages and Benefits Adjustment</t>
  </si>
  <si>
    <t>Total Superior Wages and Benefits Adjustment</t>
  </si>
  <si>
    <t>Instructions:</t>
  </si>
  <si>
    <t>Staff with superior wage paid at (Please get this from Page 5):</t>
  </si>
  <si>
    <t>Hours worked per week by this staff (Please get this from your input on Page 2):</t>
  </si>
  <si>
    <t>Page 3 - Fixed Funding</t>
  </si>
  <si>
    <t>Page 4 - Fixed Funding</t>
  </si>
  <si>
    <t>Page 5 - Fixed Funding</t>
  </si>
  <si>
    <t>Variance between Input from SP and Calculated from CLBC - Fixed Funding</t>
  </si>
  <si>
    <t>Page 5 automatically calculates staff wage &amp; benefit costs for all direct staff and backfill based on the data you input into the prior sheets for Fixed Funding.  You may review this page for reasonableness.</t>
  </si>
  <si>
    <t>Total Cost</t>
  </si>
  <si>
    <t>Please provide any relevant comments for variable funding below:</t>
  </si>
  <si>
    <t>Page 9</t>
  </si>
  <si>
    <t>Hours / Week</t>
  </si>
  <si>
    <t>Total for Staff below:</t>
  </si>
  <si>
    <t>Total for Staff above:</t>
  </si>
  <si>
    <t>Insert Program Cost Name</t>
  </si>
  <si>
    <t>Total Labour</t>
  </si>
  <si>
    <t>Admin on Labour</t>
  </si>
  <si>
    <t>Labour &amp; Admin</t>
  </si>
  <si>
    <t>Total Direct Program cost and Admin On Program Cost</t>
  </si>
  <si>
    <t>Per Hour</t>
  </si>
  <si>
    <t>Number of weeks:</t>
  </si>
  <si>
    <t>52.25 is based on the following logic:  7 days per week x 52 weeks = 364.  One day is missing each year, and every four years (leap year) there is one extra day.  Leap year / 4 yrs = .25 day per year.  1 missing + .25 leap = 1.25 days per year.  1.25 days divided by 5 working days per week = .25 week to be added to 52 weeks = 52.25 weeks.</t>
  </si>
  <si>
    <t>CSSEA - Other</t>
  </si>
  <si>
    <t>HEABC - Other</t>
  </si>
  <si>
    <t>Days Closed per Year:</t>
  </si>
  <si>
    <t>Wages - Backfill Staffing ($)</t>
  </si>
  <si>
    <t>Backfill Staffing - Service Level</t>
  </si>
  <si>
    <t>Backfill SL %</t>
  </si>
  <si>
    <t>Total Other Costs</t>
  </si>
  <si>
    <t>Vacation Days</t>
  </si>
  <si>
    <t>Sick Days</t>
  </si>
  <si>
    <t>Education &amp; Training Days</t>
  </si>
  <si>
    <t>Stat Holidays</t>
  </si>
  <si>
    <t>Reasonable Proxy</t>
  </si>
  <si>
    <t>Annual Stat Holidays Reduction</t>
  </si>
  <si>
    <t>Program Supplies &amp; Emergency Materials</t>
  </si>
  <si>
    <t>Weekly Stat Holidays Reduction</t>
  </si>
  <si>
    <t>Maximum "Variable" Hours</t>
  </si>
  <si>
    <t>Enter common administration costs as a percentage.  Administration is applied against Labour and Direct Program costs.</t>
  </si>
  <si>
    <t>Please ensure that your Supervisor / Senior Worker adjustment is a negative number (the template is designed to give you a negative number).</t>
  </si>
  <si>
    <t>Service Line</t>
  </si>
  <si>
    <t>60302 - Outreach Support</t>
  </si>
  <si>
    <t>60303 - Cluster Living</t>
  </si>
  <si>
    <t>60401 - Staffed Residential</t>
  </si>
  <si>
    <t>61002 - Skill Development</t>
  </si>
  <si>
    <t>61106 - Employment</t>
  </si>
  <si>
    <t>61201 - Community Based</t>
  </si>
  <si>
    <t>61301 - Home Based</t>
  </si>
  <si>
    <t>Maximum "Supervisor" Variable Hours</t>
  </si>
  <si>
    <t>Wages - Online Staff</t>
  </si>
  <si>
    <t>Wages - Supervisor</t>
  </si>
  <si>
    <t>Wages - Blended</t>
  </si>
  <si>
    <t>Maximum "Total" Variable Hours</t>
  </si>
  <si>
    <t>Admin on Other</t>
  </si>
  <si>
    <t>Total W&amp;B and related Admin</t>
  </si>
  <si>
    <t>Direct Program Cost (Include Admin)</t>
  </si>
  <si>
    <t>Medical Benefits</t>
  </si>
  <si>
    <t>No Backfill ident.</t>
  </si>
  <si>
    <t>No Backfill = 1
Backfill = 0</t>
  </si>
  <si>
    <t>Stat Day Worker ident</t>
  </si>
  <si>
    <t>CSW hourly rate @ 1.50 premium</t>
  </si>
  <si>
    <t>Home Based Community Inclusion</t>
  </si>
  <si>
    <t>Variable Page Job List</t>
  </si>
  <si>
    <t>CSSEA - Special Stat Day Worker Position</t>
  </si>
  <si>
    <t>HEABC - Special Stat Day Worker Position</t>
  </si>
  <si>
    <t>Leave Modification Dates blank if not applicable.</t>
  </si>
  <si>
    <t>Contract Start Date:</t>
  </si>
  <si>
    <t>Contract End Date:</t>
  </si>
  <si>
    <t>Year 1 Start</t>
  </si>
  <si>
    <t>Year 1 End - Calculated</t>
  </si>
  <si>
    <t>year 1 End - Final</t>
  </si>
  <si>
    <t># of Full Month for $:</t>
  </si>
  <si>
    <t xml:space="preserve"># of Full Month for SL: </t>
  </si>
  <si>
    <t>Is there Year 2?</t>
  </si>
  <si>
    <t>Fixed Monthly Service Level:</t>
  </si>
  <si>
    <t>Year 2 Start</t>
  </si>
  <si>
    <t>Fixed Monthly Amount</t>
  </si>
  <si>
    <t>Pmt Line Total</t>
  </si>
  <si>
    <t>Year 1 SL Hours</t>
  </si>
  <si>
    <t>Year 2 SL Hours</t>
  </si>
  <si>
    <t>Last day of the month</t>
  </si>
  <si>
    <t>First Day of the month</t>
  </si>
  <si>
    <t># of Days of Service Date</t>
  </si>
  <si>
    <t>Partial Month Indicator</t>
  </si>
  <si>
    <t>End of Month of service dates</t>
  </si>
  <si>
    <t># of Days in the month</t>
  </si>
  <si>
    <t xml:space="preserve">Difference </t>
  </si>
  <si>
    <t>Partial Month % to full month</t>
  </si>
  <si>
    <t>Partial Month Payment Amount</t>
  </si>
  <si>
    <r>
      <rPr>
        <b/>
        <u/>
        <sz val="12"/>
        <rFont val="Calibri"/>
        <family val="2"/>
        <scheme val="minor"/>
      </rPr>
      <t>OLD</t>
    </r>
    <r>
      <rPr>
        <sz val="12"/>
        <rFont val="Calibri"/>
        <family val="2"/>
        <scheme val="minor"/>
      </rPr>
      <t xml:space="preserve"> Payment Line:</t>
    </r>
  </si>
  <si>
    <t>Instructions for Payment Table</t>
  </si>
  <si>
    <t>Pmt Table Service Line (PTSL)</t>
  </si>
  <si>
    <t>Payment Line:</t>
  </si>
  <si>
    <t>Please input the corresponding payment line number from your Contract Template into the "Pmt Line" field shaded in yellow.</t>
  </si>
  <si>
    <t>CHW hourly rate @ 1.50 premium</t>
  </si>
  <si>
    <t>Your funding template is now ready to accept updated dollar or service level information in the prior pages to make the service modification you desire.  You may make changes in the other pages or send this template to your Service Provider at this stage.</t>
  </si>
  <si>
    <t>Page 10</t>
  </si>
  <si>
    <t xml:space="preserve">  </t>
  </si>
  <si>
    <t>Partial Month Payment Amount part 1</t>
  </si>
  <si>
    <t>In same month AND both dates are considered as partial month</t>
  </si>
  <si>
    <t>Days of service if above is "yes"</t>
  </si>
  <si>
    <t xml:space="preserve">partial month service level </t>
  </si>
  <si>
    <t>Partial Month Payment Amount part 2 (if End in same month)</t>
  </si>
  <si>
    <t>15036 - Medical Benefits</t>
  </si>
  <si>
    <t>Primary Supports</t>
  </si>
  <si>
    <t>Administration % (Non-PCS):</t>
  </si>
  <si>
    <t>Administration % (PCS):</t>
  </si>
  <si>
    <t xml:space="preserve">FGT Recovery Rate </t>
  </si>
  <si>
    <t>Divided by</t>
  </si>
  <si>
    <t>Annual Net Service Level Hours</t>
  </si>
  <si>
    <t>Equals</t>
  </si>
  <si>
    <t>FGT Recovery Rate per hour</t>
  </si>
  <si>
    <t>Direct Staff MPP</t>
  </si>
  <si>
    <t>Supervisor MPP</t>
  </si>
  <si>
    <t>Supervisor LTD</t>
  </si>
  <si>
    <t>Direct Staff LTD</t>
  </si>
  <si>
    <t>MPP% (will auto-populate from Page 5):</t>
  </si>
  <si>
    <t>Superior Monthly MPP</t>
  </si>
  <si>
    <t>LTD% (will auto-populate from Page 5):</t>
  </si>
  <si>
    <t>Superior Monthly LTD</t>
  </si>
  <si>
    <t>Supervisor / Senior Worker Monthly MPP Adjustment</t>
  </si>
  <si>
    <t>Supervisor / Senior Worker Monthly LTD Adjustment</t>
  </si>
  <si>
    <t xml:space="preserve">FGT Unitized Rate </t>
  </si>
  <si>
    <t>FGT Unitized Rate per hour</t>
  </si>
  <si>
    <t>Start</t>
  </si>
  <si>
    <t>End</t>
  </si>
  <si>
    <t>Monday</t>
  </si>
  <si>
    <t>Tuesday</t>
  </si>
  <si>
    <t>Wednesday</t>
  </si>
  <si>
    <t>Thursday</t>
  </si>
  <si>
    <t>Friday</t>
  </si>
  <si>
    <t>Saturday</t>
  </si>
  <si>
    <t>Sunday</t>
  </si>
  <si>
    <t>CPP</t>
  </si>
  <si>
    <t>EI</t>
  </si>
  <si>
    <t>WorkSafe BC</t>
  </si>
  <si>
    <t>EHC</t>
  </si>
  <si>
    <t>Dental</t>
  </si>
  <si>
    <t>MSP</t>
  </si>
  <si>
    <t>Life</t>
  </si>
  <si>
    <t>AD&amp;D</t>
  </si>
  <si>
    <t>Basic Benefits - Direct Staffing</t>
  </si>
  <si>
    <t>Basic Benefits - Supervision</t>
  </si>
  <si>
    <t>Hourly Wage Rate</t>
  </si>
  <si>
    <t>Non-CLBC Funding Sources</t>
  </si>
  <si>
    <t>Total Non-CLBC Funding</t>
  </si>
  <si>
    <t xml:space="preserve">Total Funding Requested from CLBC </t>
  </si>
  <si>
    <t>Total Funding provided by CLBC</t>
  </si>
  <si>
    <t>Funding for Services (excluding medical benefits)</t>
  </si>
  <si>
    <t>Page 2A - Shift Schedule</t>
  </si>
  <si>
    <t>Page 2B - Shift Schedule Chart</t>
  </si>
  <si>
    <t>Comments (optional):</t>
  </si>
  <si>
    <t>Additional Information (Commentary) for Payment Lines:</t>
  </si>
  <si>
    <t>Pmt Line #</t>
  </si>
  <si>
    <t>CLBC USE ONLY</t>
  </si>
  <si>
    <t>Page 7 - Payment Table Support</t>
  </si>
  <si>
    <t>Final File Copy Reviewed by CLBC Rep. Initial above</t>
  </si>
  <si>
    <t>Date Reviewed</t>
  </si>
  <si>
    <t>Variable Unit Rate</t>
  </si>
  <si>
    <t>Variable Unit</t>
  </si>
  <si>
    <t># of Variable Units</t>
  </si>
  <si>
    <t>Hourly Labour Rate 
(include Admin)</t>
  </si>
  <si>
    <t>Labour Cost 
(include Admin)</t>
  </si>
  <si>
    <t>Page 6A - Variable Funding</t>
  </si>
  <si>
    <t>Term Total</t>
  </si>
  <si>
    <t>"Supervisor"  Hours</t>
  </si>
  <si>
    <t>Total Hours</t>
  </si>
  <si>
    <t>One-Time-Only Type:</t>
  </si>
  <si>
    <t>Insert Facility Cost Name</t>
  </si>
  <si>
    <t>Facility Costs</t>
  </si>
  <si>
    <t>OTO</t>
  </si>
  <si>
    <t>Lump Sum Indic.</t>
  </si>
  <si>
    <t>Lump Sum Amount</t>
  </si>
  <si>
    <t>Y</t>
  </si>
  <si>
    <t>Facility Cost</t>
  </si>
  <si>
    <t>Admin on Program Cost</t>
  </si>
  <si>
    <t>Rounding</t>
  </si>
  <si>
    <t>Rounded admin</t>
  </si>
  <si>
    <t>Rounded Direct Program</t>
  </si>
  <si>
    <t>Rounded DP + Admin</t>
  </si>
  <si>
    <t>Direct Program Cost Only</t>
  </si>
  <si>
    <t>Final Partial Month %</t>
  </si>
  <si>
    <t># of Full Month:</t>
  </si>
  <si>
    <t>Partial Start Month:</t>
  </si>
  <si>
    <t>Partial End Month:</t>
  </si>
  <si>
    <t>Total # of Months:</t>
  </si>
  <si>
    <t>Service Level Hours per Month</t>
  </si>
  <si>
    <t xml:space="preserve">Subtotal Direct Program Costs </t>
  </si>
  <si>
    <t>Subtotal Facility Costs</t>
  </si>
  <si>
    <t>Today Duration</t>
  </si>
  <si>
    <t>Tomorrow Duration</t>
  </si>
  <si>
    <t>Yesterday Duration</t>
  </si>
  <si>
    <t>Yesterday Start</t>
  </si>
  <si>
    <t>Page 2B - Shift Schedule Chart Data</t>
  </si>
  <si>
    <t>Today Start</t>
  </si>
  <si>
    <t>Shift Start</t>
  </si>
  <si>
    <t>Shift End</t>
  </si>
  <si>
    <t>Medical Benefits (if applicable)</t>
  </si>
  <si>
    <t>Please provide any relevant comments for One-Time-Only funding below:</t>
  </si>
  <si>
    <t>N/A</t>
  </si>
  <si>
    <t>Not applicable</t>
  </si>
  <si>
    <t>Not Applicable</t>
  </si>
  <si>
    <t>Pmt Line</t>
  </si>
  <si>
    <t>Maximum Variable Funding Requested from CLBC</t>
  </si>
  <si>
    <t>Maximum Variable Funding Provided by CLBC</t>
  </si>
  <si>
    <t>Variable Funding Increase Approved (Savings found)</t>
  </si>
  <si>
    <t>Total One-Time-Only Funding Requested from CLBC</t>
  </si>
  <si>
    <t>Total One-Time-Only Funding Provided by CLBC</t>
  </si>
  <si>
    <t>Service / Modification
Effective Date</t>
  </si>
  <si>
    <t>Service / Modification
End Date</t>
  </si>
  <si>
    <t>For New Contracts:</t>
  </si>
  <si>
    <t>For Modifications:</t>
  </si>
  <si>
    <t>VPage 6A - Variable Funding.  This FGT can be used to assist with variable funding.  It can be used in conjunction with providing fixed and /or OTO funding, and it can also be used to only provide variable funding in which case you will use Page 1 and Page 6A only of this FGT.</t>
  </si>
  <si>
    <t>OTOPage 6B - One-time-Only Funding.  This FGT can be used to assist with OTO funding.  It can be used in conjunction with providing fixed and /or variable funding, and it can also be used to only provide OTO funding in which case you will use Page 1 and Page 6B only of this FGT.</t>
  </si>
  <si>
    <t>You must indicate whether the program for which you are requesting funding is "residential" or "non-residential", or "home based community inclusion".</t>
  </si>
  <si>
    <t>Page 2B will show a visual depiction of the staff schedule you entered on Page 2A.</t>
  </si>
  <si>
    <t>This funding template contains several worksheets to provide funding as follows:</t>
  </si>
  <si>
    <t>Complete pages 1, 2A, 3 in this order.  Then complete page 4 and 6A/6B if applicable.</t>
  </si>
  <si>
    <r>
      <t xml:space="preserve">Please enter in date format </t>
    </r>
    <r>
      <rPr>
        <b/>
        <u/>
        <sz val="12"/>
        <rFont val="Calibri"/>
        <family val="2"/>
        <scheme val="minor"/>
      </rPr>
      <t>dd-mmm-yy</t>
    </r>
    <r>
      <rPr>
        <b/>
        <sz val="12"/>
        <rFont val="Calibri"/>
        <family val="2"/>
        <scheme val="minor"/>
      </rPr>
      <t>.</t>
    </r>
  </si>
  <si>
    <t>If "Combo Not Allowed" appears in the payment line total, it means you are attempting to fund program costs (other than medical benefits) with no associated labour hours.  This combination of events is not currently supported in the CLBC automated systems.  Please see your Contracting &amp; Procurement instructions for alternative methods of processing this type of transaction.</t>
  </si>
  <si>
    <t>Your funding template is now ready to accept updated information in page 1 and page 6A to make the variable service modification you desire.  You may make changes in this FGT or send this template to your Service Provider at this stage.</t>
  </si>
  <si>
    <t>Please fill in the following information regarding your organization:</t>
  </si>
  <si>
    <t>The following data is required for your organization, please fill in the following information as a %.</t>
  </si>
  <si>
    <t>Service Provider Input pages - Pages 1, 2A, 3 require your input for various data including staff schedules / budgets and other costs.  Please fill in all "yellow" cells as applicable to your organization.  [Input to Pages 2 and 3 are for Fixed Funding]</t>
  </si>
  <si>
    <t>Page 4 will record any "Superior" Wages &amp; Benefits and "Supervisor" Wages &amp; Benefits adjustment that may be applicable to your organization for Fixed Funding.  Please speak to your CLBC Analyst if you have any superior wages and benefits which are grandfathered under the current collective agreement for CSSEA members, or if you need assistance with the Supervisor Reduction calculations.</t>
  </si>
  <si>
    <t>Funding Change Proposed - Increase (Decrease)</t>
  </si>
  <si>
    <t>CLBC Internal Working Paper</t>
  </si>
  <si>
    <t>Comments</t>
  </si>
  <si>
    <t>Summary (CLBC use only):</t>
  </si>
  <si>
    <t>Current Funding Received from CLBC</t>
  </si>
  <si>
    <t>Current Variable Funding Received from CLBC</t>
  </si>
  <si>
    <t>Payment Table Support - CLBC Use Only</t>
  </si>
  <si>
    <t>Medical Benefits per Line #1 above</t>
  </si>
  <si>
    <t>Backfill Service Level %</t>
  </si>
  <si>
    <t>PL Effective Date</t>
  </si>
  <si>
    <t>PL End Date</t>
  </si>
  <si>
    <t>Exceptional Use Only</t>
  </si>
  <si>
    <t>Year 2 End - Calculated</t>
  </si>
  <si>
    <t>Year 2 End - Final</t>
  </si>
  <si>
    <t>Is there Year 3?</t>
  </si>
  <si>
    <t>Year 3 Start</t>
  </si>
  <si>
    <t>Year 3 End</t>
  </si>
  <si>
    <t>Apply to</t>
  </si>
  <si>
    <t>Scenarios</t>
  </si>
  <si>
    <t>If Statements for each scenario</t>
  </si>
  <si>
    <t>Year 1</t>
  </si>
  <si>
    <t>scenario 1: Service Start and end in Year 1</t>
  </si>
  <si>
    <t>Service Start &gt;= Year 1 Start + Service End &lt;= Year 1 End</t>
  </si>
  <si>
    <t>Year 1 + 2</t>
  </si>
  <si>
    <t>Scenario 2: Service Start in Year 1, end in Year 2</t>
  </si>
  <si>
    <t>Service Start &lt;= Year 1 End + Service End &gt; Year 1 End +Service End &lt;= Year 2 End</t>
  </si>
  <si>
    <t>Year 1 + 2 + 3</t>
  </si>
  <si>
    <t>Scenario 3: Service Start in Year 1, end in Year 3</t>
  </si>
  <si>
    <t>Service Start &lt; Year 1 End + Service End &gt; Year 2 End + Service End &lt;= Year 3 End</t>
  </si>
  <si>
    <t>Year 2</t>
  </si>
  <si>
    <t>Scenario 4: Service start in year 2 and end in year 2</t>
  </si>
  <si>
    <t>Service Start &gt;= Year 2 Start + Service End &lt;= Year 2 End</t>
  </si>
  <si>
    <t>Year 2 + 3</t>
  </si>
  <si>
    <t>Scenario 5: Service start in year 2, end in year 3</t>
  </si>
  <si>
    <t>Service Start &gt;= Year 2 Start + Service Start &lt;= Year 2 End + Service End &gt; Year 3 Start</t>
  </si>
  <si>
    <t>Year 3</t>
  </si>
  <si>
    <t>Scenario 6: Service start in year 3, end in year 3</t>
  </si>
  <si>
    <t>Service Start &gt;= Year 3 Start + Service End &lt;= Year 3 End</t>
  </si>
  <si>
    <t>Scenario Indicator</t>
  </si>
  <si>
    <t>Scenario 1, 2, 3</t>
  </si>
  <si>
    <t>Scenario 2, 3, 4, 5</t>
  </si>
  <si>
    <t>Scenario 3, 5, 6</t>
  </si>
  <si>
    <t>Year 3 SL Hours</t>
  </si>
  <si>
    <t>PL End date</t>
  </si>
  <si>
    <t>Annual Labour Cost with associated supervision and administration</t>
  </si>
  <si>
    <t>Payment Line Fiscal End Date</t>
  </si>
  <si>
    <t>Payment Line Max Service End Date</t>
  </si>
  <si>
    <t>For Modifications - Year 1 and Year 2:</t>
  </si>
  <si>
    <t>For Modifications - Year 3:</t>
  </si>
  <si>
    <t>Monthly Amount for Payment Table Support</t>
  </si>
  <si>
    <t>Monthly Service Level Hours for Payment Table Support</t>
  </si>
  <si>
    <t>Contract Start Date</t>
  </si>
  <si>
    <t>Primary Service Line</t>
  </si>
  <si>
    <t>Fixed Monthly SL Hours</t>
  </si>
  <si>
    <t>Total SL Hours</t>
  </si>
  <si>
    <t>Payment Line (a)</t>
  </si>
  <si>
    <t>Payment Line (b)</t>
  </si>
  <si>
    <r>
      <rPr>
        <b/>
        <u/>
        <sz val="11"/>
        <rFont val="Calibri"/>
        <family val="2"/>
        <scheme val="minor"/>
      </rPr>
      <t>OLD</t>
    </r>
    <r>
      <rPr>
        <sz val="11"/>
        <rFont val="Calibri"/>
        <family val="2"/>
        <scheme val="minor"/>
      </rPr>
      <t xml:space="preserve"> Payment Line (a)</t>
    </r>
  </si>
  <si>
    <r>
      <rPr>
        <b/>
        <u/>
        <sz val="11"/>
        <rFont val="Calibri"/>
        <family val="2"/>
        <scheme val="minor"/>
      </rPr>
      <t>OLD</t>
    </r>
    <r>
      <rPr>
        <sz val="11"/>
        <rFont val="Calibri"/>
        <family val="2"/>
        <scheme val="minor"/>
      </rPr>
      <t xml:space="preserve"> Payment Line (b)</t>
    </r>
  </si>
  <si>
    <t>(Special Extended) Contract End Date:</t>
  </si>
  <si>
    <t>Orig Contract End Date</t>
  </si>
  <si>
    <t>Revised Contract end Date</t>
  </si>
  <si>
    <t>Contract end Date - Final</t>
  </si>
  <si>
    <t>Max Contract End Date (Orig)</t>
  </si>
  <si>
    <t>Max Contract End Date (Extended)</t>
  </si>
  <si>
    <t>Scenario indicator for service level calculation</t>
  </si>
  <si>
    <t>Program:</t>
  </si>
  <si>
    <t>Service Type:</t>
  </si>
  <si>
    <t>Place of Service:</t>
  </si>
  <si>
    <t>Vendor Name:</t>
  </si>
  <si>
    <t>Manually input the new or next payment line number to be used in your Contract Template into the "Pmt Line" field shaded in yellow under the Payment Line section above.</t>
  </si>
  <si>
    <t>Please note:  Only "hourly" variable payments are included through this payment table support.</t>
  </si>
  <si>
    <t>OTO Term Total</t>
  </si>
  <si>
    <t>FGT Gap</t>
  </si>
  <si>
    <t>OTO Start Date</t>
  </si>
  <si>
    <t>OTO End Date</t>
  </si>
  <si>
    <t>OTO Start Date:</t>
  </si>
  <si>
    <t>OTO End Date:</t>
  </si>
  <si>
    <t>Calculation of Fixed Monthly Amount and Service Level to be used for Payment Table Support - based on OTO terms entered above</t>
  </si>
  <si>
    <t>Contract Terms</t>
  </si>
  <si>
    <t>OTO Terms</t>
  </si>
  <si>
    <t>Error (1=Y, 0=N)</t>
  </si>
  <si>
    <t>Service Effective Date is outside of OTO term</t>
  </si>
  <si>
    <t>Service end date is later than Max Service End Date</t>
  </si>
  <si>
    <t>Error indicator for error message</t>
  </si>
  <si>
    <t>Funded Capacity:</t>
  </si>
  <si>
    <t>Error - End Date passed Max Service End Date</t>
  </si>
  <si>
    <t>Per Page 3 Fixed Ongoing Funding Gap</t>
  </si>
  <si>
    <r>
      <t xml:space="preserve">You must indicate the "place of service" data.  At least one template must be filled out for each place of service.  </t>
    </r>
    <r>
      <rPr>
        <i/>
        <u/>
        <sz val="10"/>
        <rFont val="Century Gothic"/>
        <family val="2"/>
      </rPr>
      <t>Please Note:</t>
    </r>
    <r>
      <rPr>
        <sz val="10"/>
        <rFont val="Century Gothic"/>
        <family val="2"/>
      </rPr>
      <t xml:space="preserve"> If you have a home-based community inclusion program, you will have both "Residential" and "Home Based Community Inclusion" components.  Consistent with current practice, you will fill out 2 templates to capture these 2 funding request streams.  Therefore you may have multiple templates for each place of service.</t>
    </r>
  </si>
  <si>
    <t>Page 6B - One-Time-Only (Time Limited) Funding</t>
  </si>
  <si>
    <t>This FGT can be used to assist with OTO (Time-Limited) funding.  If used in conjunction with ongoing fixed funding or variable funding, all pages of this template (Page 1 through Page 7) are relevant.  It can also be used to only provide OTO funding in which case you will use Page 1 and Page 6B only of this FGT.</t>
  </si>
  <si>
    <t>Please note:  Only "hourly" OTO payments are included through this payment table support.</t>
  </si>
  <si>
    <t># of Days</t>
  </si>
  <si>
    <t>Per Direct Hour</t>
  </si>
  <si>
    <r>
      <t xml:space="preserve">Property Insurance - e.g. fire, earthquake etc - </t>
    </r>
    <r>
      <rPr>
        <i/>
        <sz val="8"/>
        <rFont val="Century Gothic"/>
        <family val="2"/>
      </rPr>
      <t>owned or rented properties</t>
    </r>
  </si>
  <si>
    <r>
      <t xml:space="preserve">Utilities - </t>
    </r>
    <r>
      <rPr>
        <i/>
        <sz val="8"/>
        <rFont val="Century Gothic"/>
        <family val="2"/>
      </rPr>
      <t>owned or rented properties</t>
    </r>
  </si>
  <si>
    <r>
      <t xml:space="preserve">Property Taxes - </t>
    </r>
    <r>
      <rPr>
        <i/>
        <sz val="8"/>
        <rFont val="Century Gothic"/>
        <family val="2"/>
      </rPr>
      <t>owned properties</t>
    </r>
  </si>
  <si>
    <r>
      <t xml:space="preserve">Janitorial Supplies - </t>
    </r>
    <r>
      <rPr>
        <i/>
        <sz val="8"/>
        <rFont val="Century Gothic"/>
        <family val="2"/>
      </rPr>
      <t>owned or rented properties</t>
    </r>
  </si>
  <si>
    <r>
      <t xml:space="preserve">Major Appliances - </t>
    </r>
    <r>
      <rPr>
        <i/>
        <sz val="8"/>
        <rFont val="Century Gothic"/>
        <family val="2"/>
      </rPr>
      <t>owned properties (generally)</t>
    </r>
  </si>
  <si>
    <r>
      <t xml:space="preserve">Repairs and maintenance - </t>
    </r>
    <r>
      <rPr>
        <i/>
        <sz val="8"/>
        <rFont val="Century Gothic"/>
        <family val="2"/>
      </rPr>
      <t>owned or rented properties</t>
    </r>
  </si>
  <si>
    <t>Variable Terms</t>
  </si>
  <si>
    <t>Variable Start Date:</t>
  </si>
  <si>
    <t>Variable End Date:</t>
  </si>
  <si>
    <t>Variable Start Date</t>
  </si>
  <si>
    <t>Variable End Date</t>
  </si>
  <si>
    <t>Cost other than Medical Benefits</t>
  </si>
  <si>
    <t>Variable Hours</t>
  </si>
  <si>
    <t>Monthly Cost / # of units</t>
  </si>
  <si>
    <t>Calculation of Fixed Monthly Amount to be used for Payment Table Support if variable term "cross fiscal" - based on Variable terms entered above</t>
  </si>
  <si>
    <t>Next Fiscal Year End Date</t>
  </si>
  <si>
    <t>Pmt Line Fiscal End Date</t>
  </si>
  <si>
    <t>Pmt Line Max End Date</t>
  </si>
  <si>
    <t>(a)</t>
  </si>
  <si>
    <t>(b)</t>
  </si>
  <si>
    <t># of Variable Units per FGT</t>
  </si>
  <si>
    <t>Variable Unit Rate per FGT</t>
  </si>
  <si>
    <t>(I)  Ensure "Contract Terms" populate correctly:</t>
  </si>
  <si>
    <t>(II)  Under "Variable Terms" to the right, enter Variable Start and End dates</t>
  </si>
  <si>
    <t>Payment Lines:</t>
  </si>
  <si>
    <r>
      <t>OLD</t>
    </r>
    <r>
      <rPr>
        <b/>
        <sz val="12"/>
        <rFont val="Calibri"/>
        <family val="2"/>
        <scheme val="minor"/>
      </rPr>
      <t xml:space="preserve"> </t>
    </r>
    <r>
      <rPr>
        <sz val="12"/>
        <rFont val="Calibri"/>
        <family val="2"/>
        <scheme val="minor"/>
      </rPr>
      <t>Payment Lines:</t>
    </r>
  </si>
  <si>
    <t>(II)  Enter OTO Start and End dates (in "OTO Terms")</t>
  </si>
  <si>
    <t>Variable Year 2 Start</t>
  </si>
  <si>
    <t>Variable Year 1 Start</t>
  </si>
  <si>
    <t>Variable Year 2 End  - Calculated</t>
  </si>
  <si>
    <t>Used for populating Dates in Program Cost, not for Payment Table</t>
  </si>
  <si>
    <t># of Variable Units for Payment Table Support</t>
  </si>
  <si>
    <t>Error - Dates outside Variable Term</t>
  </si>
  <si>
    <t>Term A</t>
  </si>
  <si>
    <t>Term B</t>
  </si>
  <si>
    <t>B</t>
  </si>
  <si>
    <t>= A - B</t>
  </si>
  <si>
    <t>Variable Year 1 End - Calculated</t>
  </si>
  <si>
    <t>Variable Year 1 End - Final</t>
  </si>
  <si>
    <t>Variable Year 2 End  - Final</t>
  </si>
  <si>
    <t>(c)</t>
  </si>
  <si>
    <t>N</t>
  </si>
  <si>
    <t>Organization Information</t>
  </si>
  <si>
    <t>Weeks Requesting Variable Funding per Variable Terms:</t>
  </si>
  <si>
    <t>Please fill in the following information if your organization is requesting for variable funding:</t>
  </si>
  <si>
    <t>Please fill in the following information if your organization is requesting for OTO funding:</t>
  </si>
  <si>
    <r>
      <rPr>
        <b/>
        <i/>
        <sz val="9"/>
        <rFont val="Calibri"/>
        <family val="2"/>
        <scheme val="minor"/>
      </rPr>
      <t xml:space="preserve">Please Note: </t>
    </r>
    <r>
      <rPr>
        <i/>
        <sz val="9"/>
        <rFont val="Calibri"/>
        <family val="2"/>
        <scheme val="minor"/>
      </rPr>
      <t xml:space="preserve"> The (Special Extended) Contract End Date allowing you to cross into a 3rd year in exceptional circumstances is not supported in the FGT for variable payments.</t>
    </r>
  </si>
  <si>
    <t>not applicable in Variable page</t>
  </si>
  <si>
    <t>Payment Line (c)</t>
  </si>
  <si>
    <t>Payment Line (d)</t>
  </si>
  <si>
    <r>
      <rPr>
        <b/>
        <u/>
        <sz val="11"/>
        <rFont val="Calibri"/>
        <family val="2"/>
        <scheme val="minor"/>
      </rPr>
      <t>OLD</t>
    </r>
    <r>
      <rPr>
        <sz val="11"/>
        <rFont val="Calibri"/>
        <family val="2"/>
        <scheme val="minor"/>
      </rPr>
      <t xml:space="preserve"> Payment Line (c)</t>
    </r>
  </si>
  <si>
    <r>
      <rPr>
        <b/>
        <u/>
        <sz val="11"/>
        <rFont val="Calibri"/>
        <family val="2"/>
        <scheme val="minor"/>
      </rPr>
      <t>OLD</t>
    </r>
    <r>
      <rPr>
        <sz val="11"/>
        <rFont val="Calibri"/>
        <family val="2"/>
        <scheme val="minor"/>
      </rPr>
      <t xml:space="preserve"> Payment Line (d)</t>
    </r>
  </si>
  <si>
    <t>Annual Direct Staff Wages</t>
  </si>
  <si>
    <t>Annual Paid Hours</t>
  </si>
  <si>
    <t>FGT Recovery ident.</t>
  </si>
  <si>
    <t>FGT Recovery ident</t>
  </si>
  <si>
    <t>Annual Wage for Direct Staff included in FGT Recovery Cal</t>
  </si>
  <si>
    <t>Annual Paid Hours for Direct Staff included in FGT Recovery Cal</t>
  </si>
  <si>
    <t>Add</t>
  </si>
  <si>
    <t>Weighted Average Hourly Rate</t>
  </si>
  <si>
    <t xml:space="preserve">Backfill Benefits </t>
  </si>
  <si>
    <t>Primary Supports - Fixed Ongoing</t>
  </si>
  <si>
    <t>Medical Benefits - Fixed Ongoing</t>
  </si>
  <si>
    <t>OTO / Time Limited Supports (non-medical)</t>
  </si>
  <si>
    <t>Medical Benefits (OTO / Time Limited)</t>
  </si>
  <si>
    <t>Variable Supports (non-medical)</t>
  </si>
  <si>
    <t>Medical Benefits (Variable)</t>
  </si>
  <si>
    <t>Facility Type - choose from dropdown to right</t>
  </si>
  <si>
    <t>(III)  Up to 4 payment lines (a to d) are provided for 'new' and 'old' for your convenience.  You may not need all lines, but in case required, e.g. your OTO crosses the CLBC fiscal year end once, or twice, and/or you enter into an exceptional circumstance whereby you are in Year 3 of your contract.  Please use as required.</t>
  </si>
  <si>
    <t>(III)  Up to 3 payment lines (a to c) are provided for 'new' and 'old' for your convenience.  You may not need all lines, but in case required, e.g. your variable transaction crosses the CLBC fiscal year end once or twice.  Please use as required.</t>
  </si>
  <si>
    <t>This FGT can be used to assist with variable funding.  If used in conjunction with fixed funding, all pages of this template (Page 1 through Page 7) are relevant.  It can also be used to only provide variable funding (no fixed funding) in which case you will use Page 1 and Page 6A only of this FGT.</t>
  </si>
  <si>
    <t>Variable payments must be within the contract term, i.e., the contract start and end dates.  The Variable term may overlap a fiscal year, but if it does, they must be on separate payment lines.  Due to these conditions, you must enter the following dates, in this order:</t>
  </si>
  <si>
    <t>Variable Unit Rate for Payment Table Support</t>
  </si>
  <si>
    <t>E.g. Original Contract is from 15-Apr-10 to 1-Feb-12. You are doing a modification starting 1-Jul-10. This means the original payment line ends on 30-Jun-10. You will enter 30-Jun-10 as the Service / Modification End Date for the payment lines that are involved.</t>
  </si>
  <si>
    <t>E.g. In our example (in instruction 1), the Pmt Line number for the Old Payment Line is 1.00, and the (New) Pmt Line number for the Payment Line is 1.01.</t>
  </si>
  <si>
    <t>Service End Date is outside of OTO term</t>
  </si>
  <si>
    <t>OTO payments must be within the contract term, i.e., the contract start and end dates.  The OTO term may overlap a fiscal year, but if it does, they must be on separate payment lines.  Due to these conditions, you must enter the following dates, in this order:</t>
  </si>
  <si>
    <t>E.g. Original Contract is from 15-Apr-10 to 1-Feb-12. The Contract is extended for 5 months, ending June 30, 2012. You will enter 30-Jun-12 in the (Special Extended) Contract End Date field.</t>
  </si>
  <si>
    <t>Below is a visual depiction of the Shift Schedule that was input into Page 2A.  Each position shift is mapped.  Any shift that crosses mid-night of the prior day is colored in a "lighter" blue at the left side.  Please note: any service hours on Page 2A in "other" outside Mon - Sun, cannot be displayed in the visual chart.</t>
  </si>
  <si>
    <t>For example, ABCSociety_CommunityInclusion_FundingTemplate_30May12.xlsm</t>
  </si>
  <si>
    <t>Error Indicator</t>
  </si>
  <si>
    <t>Contract Term error</t>
  </si>
  <si>
    <t>Have a contract end date, but not a start date</t>
  </si>
  <si>
    <t>Have a Special extended contract end date, but not a start date</t>
  </si>
  <si>
    <t>Have a Special extended contract end date, but not a contract end date.</t>
  </si>
  <si>
    <t>Payment line date error</t>
  </si>
  <si>
    <t>payment line start date outside contract term</t>
  </si>
  <si>
    <t>payment line end date outside contract term</t>
  </si>
  <si>
    <t>Error Scenarios - CLBC Fiscal Year end</t>
  </si>
  <si>
    <t>Error Scenarios - outside OTO term</t>
  </si>
  <si>
    <r>
      <t xml:space="preserve">If you plan to use this Variable page as a "stand alone" function, please </t>
    </r>
    <r>
      <rPr>
        <b/>
        <sz val="10"/>
        <rFont val="Calibri"/>
        <family val="2"/>
        <scheme val="minor"/>
      </rPr>
      <t>go to PTPage 7</t>
    </r>
    <r>
      <rPr>
        <sz val="10"/>
        <rFont val="Calibri"/>
        <family val="2"/>
        <scheme val="minor"/>
      </rPr>
      <t xml:space="preserve"> to enter the contract start and contract end dates. If you are using Variable page in conjunction with fixed funding, please ensure you have already input the contract start and end dates into PTPage 7. Once contract terms are entered on PTPage 7, it will auto-populate for you on VPage 6A. </t>
    </r>
  </si>
  <si>
    <r>
      <t xml:space="preserve">Enter Variable Start Date </t>
    </r>
    <r>
      <rPr>
        <i/>
        <sz val="10"/>
        <rFont val="Calibri"/>
        <family val="2"/>
        <scheme val="minor"/>
      </rPr>
      <t>first</t>
    </r>
    <r>
      <rPr>
        <sz val="10"/>
        <rFont val="Calibri"/>
        <family val="2"/>
        <scheme val="minor"/>
      </rPr>
      <t xml:space="preserve">, and Variable End Date </t>
    </r>
    <r>
      <rPr>
        <i/>
        <sz val="10"/>
        <rFont val="Calibri"/>
        <family val="2"/>
        <scheme val="minor"/>
      </rPr>
      <t>next</t>
    </r>
    <r>
      <rPr>
        <sz val="10"/>
        <rFont val="Calibri"/>
        <family val="2"/>
        <scheme val="minor"/>
      </rPr>
      <t xml:space="preserve"> in date format dd-mmm-yy.  The remainder of the information below will not calculate until you enter these dates.</t>
    </r>
  </si>
  <si>
    <t>Information in the "Payment Lines" such as variable unit rate and # of variable units will auto-populate based on data entered in this page. The Medical Benefits payment lines will also auto-populate if such funding was requested.</t>
  </si>
  <si>
    <t>Please select the appropriate service line from the drop down menu for non-medical benefits variable supports. For Medical Benefits payment lines, the service lines are default to 15036 - Medical Benefits.</t>
  </si>
  <si>
    <t>Please indicate whether this variable payment line is One-Time-Only by selecting Y/N from the drop down menu under the OTO column. The default for this field is "N", not an OTO, please override if the default does not apply for you.</t>
  </si>
  <si>
    <t xml:space="preserve">Enter the Service / Modification Effective Date and /or End dates in applicable payment lines in date format dd-mmm-yy. </t>
  </si>
  <si>
    <t>Please note: An Error Alert message will show under each payment line section if any service effective/end dates entered are NOT consistent with the contract start/end dates. As well, a warning message will display above each payment line section if any service end dates cross the CLBC March 31 fiscal year end. Please correct dates entered before you proceed to the next step.</t>
  </si>
  <si>
    <t>Please Input the corresponding payment line number from your Contract Template into the "Pmt Line" field shaded in yellow.</t>
  </si>
  <si>
    <r>
      <t xml:space="preserve">FYI:  The "Old Payment Line" is used for modifications only and should remain unpopulated for </t>
    </r>
    <r>
      <rPr>
        <i/>
        <sz val="10"/>
        <rFont val="Calibri"/>
        <family val="2"/>
        <scheme val="minor"/>
      </rPr>
      <t>new</t>
    </r>
    <r>
      <rPr>
        <sz val="10"/>
        <rFont val="Calibri"/>
        <family val="2"/>
        <scheme val="minor"/>
      </rPr>
      <t xml:space="preserve"> contracts.</t>
    </r>
  </si>
  <si>
    <r>
      <t xml:space="preserve">If you are performing a modification on an existing contract, and </t>
    </r>
    <r>
      <rPr>
        <b/>
        <sz val="10"/>
        <color rgb="FFFF0000"/>
        <rFont val="Calibri"/>
        <family val="2"/>
        <scheme val="minor"/>
      </rPr>
      <t>BEFORE MAKING ANY CHANGES TO THIS TEMPLATE, OR SENDING THIS TEMPLATE BACK TO THE SERVICE PROVIDER</t>
    </r>
    <r>
      <rPr>
        <sz val="10"/>
        <rFont val="Calibri"/>
        <family val="2"/>
        <scheme val="minor"/>
      </rPr>
      <t>, please enter the date you wish to end the original payment line into the "Service / Modification End Date" field in date format dd-mmm-yy. Please repeat this for the Medical Benefits payment line if this modification applies to medical benefits.</t>
    </r>
  </si>
  <si>
    <t>Once you input the new End Date, the "Payment Line" will automatically update to calculate cost from the original effective date to the new end date.</t>
  </si>
  <si>
    <t>E.g. In our example, the Payment Line will calculate cost from 15-Apr-10 to 30-Jun-10.</t>
  </si>
  <si>
    <r>
      <t xml:space="preserve">Once the Payment Line is updated, you will need to </t>
    </r>
    <r>
      <rPr>
        <b/>
        <sz val="10"/>
        <rFont val="Calibri"/>
        <family val="2"/>
        <scheme val="minor"/>
      </rPr>
      <t>MANUALLY TYPE</t>
    </r>
    <r>
      <rPr>
        <sz val="10"/>
        <rFont val="Calibri"/>
        <family val="2"/>
        <scheme val="minor"/>
      </rPr>
      <t xml:space="preserve"> the information into the "Old Payment Line". The fields that need to be entered are shaded in yellow: 
     - Pmt Line #
     - Service Line (select from the drop down menu)
     - OTO (select from the drop down menu, default is "N")
     - Service / Modification Start Date
     - Service / Modification End Date
     - Variable Unit Rate
     - # of Variable Units. (not applicable to Medical Benefits Payment Line)
Please</t>
    </r>
    <r>
      <rPr>
        <b/>
        <sz val="10"/>
        <rFont val="Calibri"/>
        <family val="2"/>
        <scheme val="minor"/>
      </rPr>
      <t xml:space="preserve"> </t>
    </r>
    <r>
      <rPr>
        <b/>
        <i/>
        <u/>
        <sz val="10"/>
        <rFont val="Calibri"/>
        <family val="2"/>
        <scheme val="minor"/>
      </rPr>
      <t>DO NOT</t>
    </r>
    <r>
      <rPr>
        <sz val="10"/>
        <rFont val="Calibri"/>
        <family val="2"/>
        <scheme val="minor"/>
      </rPr>
      <t xml:space="preserve"> copy and "paste" from the "payment line" directly as it will affect formulas in the "old payment line" section. 
If you are familiar with MS Excel, you may </t>
    </r>
    <r>
      <rPr>
        <i/>
        <sz val="10"/>
        <rFont val="Calibri"/>
        <family val="2"/>
        <scheme val="minor"/>
      </rPr>
      <t>carefully</t>
    </r>
    <r>
      <rPr>
        <sz val="10"/>
        <rFont val="Calibri"/>
        <family val="2"/>
        <scheme val="minor"/>
      </rPr>
      <t xml:space="preserve"> use the "</t>
    </r>
    <r>
      <rPr>
        <b/>
        <sz val="10"/>
        <rFont val="Calibri"/>
        <family val="2"/>
        <scheme val="minor"/>
      </rPr>
      <t>paste special</t>
    </r>
    <r>
      <rPr>
        <sz val="10"/>
        <rFont val="Calibri"/>
        <family val="2"/>
        <scheme val="minor"/>
      </rPr>
      <t>" function to copy data from New Payment Line to Old Payment Line.
This "Old Payment Line" will give you the info you need for your Contact Template's "Old" Payment Line.</t>
    </r>
  </si>
  <si>
    <t>Once data such as dollars and / or service levels are updated in this FGT, you may now input new Service / Modification Start Date and Service / Modification End Date in the affected payment lines.</t>
  </si>
  <si>
    <t>E.g. In our example, the Service / Modification Start Date will be 1-Jul-10 and the Service / Modification End Date will be 1-Feb-12.</t>
  </si>
  <si>
    <r>
      <t xml:space="preserve">If you plan to use this OTO page as a "stand alone" function, please go to </t>
    </r>
    <r>
      <rPr>
        <b/>
        <sz val="10"/>
        <rFont val="Calibri"/>
        <family val="2"/>
        <scheme val="minor"/>
      </rPr>
      <t>PTPage 7</t>
    </r>
    <r>
      <rPr>
        <sz val="10"/>
        <rFont val="Calibri"/>
        <family val="2"/>
        <scheme val="minor"/>
      </rPr>
      <t xml:space="preserve"> to enter the contract start and contract end dates. If you are using OTO page in conjunction with fixed funding, please ensure you have already input the contract start and end dates into PTPage 7. Once contract terms are entered on PTPage 7, it will auto-populate for you on OTOPage 6B. </t>
    </r>
  </si>
  <si>
    <r>
      <t xml:space="preserve">Enter OTO Start Date </t>
    </r>
    <r>
      <rPr>
        <i/>
        <sz val="10"/>
        <rFont val="Calibri"/>
        <family val="2"/>
        <scheme val="minor"/>
      </rPr>
      <t>first</t>
    </r>
    <r>
      <rPr>
        <sz val="10"/>
        <rFont val="Calibri"/>
        <family val="2"/>
        <scheme val="minor"/>
      </rPr>
      <t xml:space="preserve">, and OTO End Date </t>
    </r>
    <r>
      <rPr>
        <i/>
        <sz val="10"/>
        <rFont val="Calibri"/>
        <family val="2"/>
        <scheme val="minor"/>
      </rPr>
      <t>next</t>
    </r>
    <r>
      <rPr>
        <sz val="10"/>
        <rFont val="Calibri"/>
        <family val="2"/>
        <scheme val="minor"/>
      </rPr>
      <t xml:space="preserve"> in date format dd-mmm-yy.</t>
    </r>
  </si>
  <si>
    <t xml:space="preserve">Information in the "Payment Lines" section such as service level hours and dollars will auto-populate based on data entered in this page. The Medical Benefits payment lines will also auto-populate if such funding was requested.
</t>
  </si>
  <si>
    <t xml:space="preserve">Enter the Service / Modification Effective Date and /or End dates in applicable payment lines in date format dd-mmm-yy. 
</t>
  </si>
  <si>
    <t>Please note: An Error Alert message will show under each payment line if the service effective/end dates entered are NOT consistent with the contract start/end dates. As well, a warning message will display above each payment line if the service end date crosses the CLBC March 31 fiscal year end. Please correct dates entered before you proceed to the next step.</t>
  </si>
  <si>
    <r>
      <t xml:space="preserve">Partial month payment amounts are auto-populated if any dates resulted in partial months.  Partial month payment amounts, and partial month service level hours </t>
    </r>
    <r>
      <rPr>
        <u/>
        <sz val="10"/>
        <rFont val="Calibri"/>
        <family val="2"/>
        <scheme val="minor"/>
      </rPr>
      <t>are already included</t>
    </r>
    <r>
      <rPr>
        <sz val="10"/>
        <rFont val="Calibri"/>
        <family val="2"/>
        <scheme val="minor"/>
      </rPr>
      <t xml:space="preserve"> in the Pmt Line Total and Service Level hours in each year.  This row simply assists Accounting Services process the partial months payments to service providers. Medical Benefits payment lines do not have any service level and will always show N/A under service level sections.</t>
    </r>
  </si>
  <si>
    <t>Please select the appropriate service line from the drop down menu for non-medical benefits OTO Supports. For Medical Benefits payment lines, service lines are default to 15036 - Medical Benefits.</t>
  </si>
  <si>
    <t>Once you input the new End Date, the "Payment Line" will automatically update to calculate cost and service levels from the original effective date to the new end date.</t>
  </si>
  <si>
    <t>E.g. In our example, the Payment Line will calculate cost and service levels from 15-Apr-10 to 30-Jun-10.</t>
  </si>
  <si>
    <r>
      <t xml:space="preserve">Once the Payment Line is updated, you will need to </t>
    </r>
    <r>
      <rPr>
        <b/>
        <sz val="10"/>
        <rFont val="Calibri"/>
        <family val="2"/>
        <scheme val="minor"/>
      </rPr>
      <t>MANUALLY TYPE</t>
    </r>
    <r>
      <rPr>
        <sz val="10"/>
        <rFont val="Calibri"/>
        <family val="2"/>
        <scheme val="minor"/>
      </rPr>
      <t xml:space="preserve"> the information into the "Old Payment Line". The fields that need to be entered are shaded in yellow: 
     - Pmt Line #
     - Service Line (select from the drop down menu)
     - Lump Sum Indicator (select "Y" or "N" from the drop down menu)
     - Service / Modification Start Date
     - Service / Modification End Date
     - Fixed Monthly Amount
     - Lump Sum Amount
     - Service Level Hours per Month. (not applicable to Medical Benefits Payment Line)
Please</t>
    </r>
    <r>
      <rPr>
        <b/>
        <sz val="10"/>
        <rFont val="Calibri"/>
        <family val="2"/>
        <scheme val="minor"/>
      </rPr>
      <t xml:space="preserve"> </t>
    </r>
    <r>
      <rPr>
        <b/>
        <i/>
        <u/>
        <sz val="10"/>
        <rFont val="Calibri"/>
        <family val="2"/>
        <scheme val="minor"/>
      </rPr>
      <t>DO NOT</t>
    </r>
    <r>
      <rPr>
        <sz val="10"/>
        <rFont val="Calibri"/>
        <family val="2"/>
        <scheme val="minor"/>
      </rPr>
      <t xml:space="preserve"> copy and "paste" from the "payment line" directly as it will affect formulas in the "old payment line" section. 
If you are familiar with MS Excel, you may </t>
    </r>
    <r>
      <rPr>
        <i/>
        <sz val="10"/>
        <rFont val="Calibri"/>
        <family val="2"/>
        <scheme val="minor"/>
      </rPr>
      <t xml:space="preserve">carefully </t>
    </r>
    <r>
      <rPr>
        <sz val="10"/>
        <rFont val="Calibri"/>
        <family val="2"/>
        <scheme val="minor"/>
      </rPr>
      <t>use the "</t>
    </r>
    <r>
      <rPr>
        <b/>
        <sz val="10"/>
        <rFont val="Calibri"/>
        <family val="2"/>
        <scheme val="minor"/>
      </rPr>
      <t>paste special</t>
    </r>
    <r>
      <rPr>
        <sz val="10"/>
        <rFont val="Calibri"/>
        <family val="2"/>
        <scheme val="minor"/>
      </rPr>
      <t>" function to copy data from New Payment Line to Old Payment Line.
This "Old Payment Line" will give you the info you need for your Contact Template's "Old" Payment Line.</t>
    </r>
  </si>
  <si>
    <t>Your funding template is now ready to accept updated dollar or service level information in page 1 and page 6B to make the OTO service modification you desire.  You may make changes in this FGT or send this template to your Service Provider at this stage.</t>
  </si>
  <si>
    <t>Once data such as dollars and / or service levels are updated in prior pages, you may now input new Service / Modification Start Date and Service / Modification End Date in the affected payment lines.</t>
  </si>
  <si>
    <r>
      <t xml:space="preserve">The (Special Extended) End date can extend </t>
    </r>
    <r>
      <rPr>
        <i/>
        <sz val="10"/>
        <rFont val="Calibri"/>
        <family val="2"/>
        <scheme val="minor"/>
      </rPr>
      <t>after</t>
    </r>
    <r>
      <rPr>
        <sz val="10"/>
        <rFont val="Calibri"/>
        <family val="2"/>
        <scheme val="minor"/>
      </rPr>
      <t xml:space="preserve"> the Original overall Contract End Date.  If this situation occurs, there will be payments and service levels associated with a "Year 3" of the contract in the systems.  This situation is expected to be a rare occurrence.  Please consult your Contracting Instructions for more details if needed.</t>
    </r>
  </si>
  <si>
    <t>Complete steps 1 to 3 from instruction "For Modification - Year 1 and Year 2".</t>
  </si>
  <si>
    <t xml:space="preserve">Once data such as dollars and / or service levels are updated in relevant pages, you may now enter the revised contract end date to the "(Special Extended) Contract End Date" field on the top of PTPage 7. Once the "(Special Extended) Contract End date is entered on PTPage 7, it will auto-populate for you on OTOPage 6B. </t>
  </si>
  <si>
    <t>E.g. Original Contract is from 15-Apr-10 to 1-Feb-12. The Contract is extended for 5 months, ending June 30, 2012. You will enter 30-Jun-12 in the (Special Extended) Contract End Date field in Page 7.</t>
  </si>
  <si>
    <t>Manually input new Service / Modification Start Date and Service / Modification End Dates in the affected payment lines.</t>
  </si>
  <si>
    <t>E.g. In our example, the Service / Modification Start Date will be 2-Feb-12 and the Service / Modification End Date will be 30-Jun-12.</t>
  </si>
  <si>
    <r>
      <t xml:space="preserve">Enter Contract Start Date </t>
    </r>
    <r>
      <rPr>
        <i/>
        <sz val="10"/>
        <rFont val="Calibri"/>
        <family val="2"/>
        <scheme val="minor"/>
      </rPr>
      <t>first</t>
    </r>
    <r>
      <rPr>
        <sz val="10"/>
        <rFont val="Calibri"/>
        <family val="2"/>
        <scheme val="minor"/>
      </rPr>
      <t xml:space="preserve">, and Contract End Date </t>
    </r>
    <r>
      <rPr>
        <i/>
        <sz val="10"/>
        <rFont val="Calibri"/>
        <family val="2"/>
        <scheme val="minor"/>
      </rPr>
      <t>next</t>
    </r>
    <r>
      <rPr>
        <sz val="10"/>
        <rFont val="Calibri"/>
        <family val="2"/>
        <scheme val="minor"/>
      </rPr>
      <t xml:space="preserve"> in date format dd-mmm-yy.</t>
    </r>
  </si>
  <si>
    <t xml:space="preserve">Information in the "Payment Lines" section such as service level hours and dollars will auto-populate based on data entered in the prior pages of this funding template. The Medical Benefits Payment lines will also auto-populate if such funding was requested on Page 3.
</t>
  </si>
  <si>
    <t xml:space="preserve">The Payment table "Service / Modification Effective Date" and "Service / Modification End Date" will auto-populate to be the Contract Start and End dates - this is the default for a new contract for your convenience.  When the Service / Modification Effective Date and /or End dates are different than the "Contract" Start Date and End Date (which will be likely once you are modifying the contract), you can override the dates in date format dd-mmm-yy. </t>
  </si>
  <si>
    <t>Please note: An Error Alert message will show under each payment line if the service effective/end dates entered are NOT consistent with the overall contract start/end dates. Please correct dates entered before you proceed to the next step.</t>
  </si>
  <si>
    <r>
      <t xml:space="preserve">Partial month payment amounts are auto-populated if any dates resulted in partial months.  Partial month payment amounts, and partial month service level hours </t>
    </r>
    <r>
      <rPr>
        <u/>
        <sz val="10"/>
        <rFont val="Calibri"/>
        <family val="2"/>
        <scheme val="minor"/>
      </rPr>
      <t>are already included</t>
    </r>
    <r>
      <rPr>
        <sz val="10"/>
        <rFont val="Calibri"/>
        <family val="2"/>
        <scheme val="minor"/>
      </rPr>
      <t xml:space="preserve"> in the Pmt Line Total and Service Level hours in each year.  This row simply assists Accounting Services process the partial months payments to service providers. Medical Benefits payment lines do not have any service levels and will always show N/A under service level sections.</t>
    </r>
  </si>
  <si>
    <t>Please select the appropriate service line from the drop down menu for Primary Supports - Fixed Ongoing. For Medical Benefits payment lines, service lines are defaulted to 15036 - Medical Benefits.</t>
  </si>
  <si>
    <r>
      <t xml:space="preserve">Once the Payment Line is updated, you will need to </t>
    </r>
    <r>
      <rPr>
        <b/>
        <sz val="10"/>
        <rFont val="Calibri"/>
        <family val="2"/>
        <scheme val="minor"/>
      </rPr>
      <t>MANUALLY TYPE</t>
    </r>
    <r>
      <rPr>
        <sz val="10"/>
        <rFont val="Calibri"/>
        <family val="2"/>
        <scheme val="minor"/>
      </rPr>
      <t xml:space="preserve"> the information into the "Old Payment Line". The fields that need to be entered are shaded in yellow: 
     - Pmt Line #
     - Service / Modification Start Date
     - Service / Modification End Date
     - Service Line (select from the drop down menu)
     - Fixed Monthly Amount
     - Fixed Monthly Service Level. (not applicable to Medical Benefits Payment Line)
Please</t>
    </r>
    <r>
      <rPr>
        <b/>
        <sz val="10"/>
        <rFont val="Calibri"/>
        <family val="2"/>
        <scheme val="minor"/>
      </rPr>
      <t xml:space="preserve"> </t>
    </r>
    <r>
      <rPr>
        <b/>
        <i/>
        <u/>
        <sz val="10"/>
        <rFont val="Calibri"/>
        <family val="2"/>
        <scheme val="minor"/>
      </rPr>
      <t>DO NOT</t>
    </r>
    <r>
      <rPr>
        <sz val="10"/>
        <rFont val="Calibri"/>
        <family val="2"/>
        <scheme val="minor"/>
      </rPr>
      <t xml:space="preserve"> copy and "paste" from the "payment line" directly as it will affect formulas in the "old payment line" section. 
If you are familiar with MS Excel, you may </t>
    </r>
    <r>
      <rPr>
        <i/>
        <sz val="10"/>
        <rFont val="Calibri"/>
        <family val="2"/>
        <scheme val="minor"/>
      </rPr>
      <t>carefully</t>
    </r>
    <r>
      <rPr>
        <sz val="10"/>
        <rFont val="Calibri"/>
        <family val="2"/>
        <scheme val="minor"/>
      </rPr>
      <t xml:space="preserve"> use the "</t>
    </r>
    <r>
      <rPr>
        <b/>
        <sz val="10"/>
        <rFont val="Calibri"/>
        <family val="2"/>
        <scheme val="minor"/>
      </rPr>
      <t>paste special</t>
    </r>
    <r>
      <rPr>
        <sz val="10"/>
        <rFont val="Calibri"/>
        <family val="2"/>
        <scheme val="minor"/>
      </rPr>
      <t>" function to copy data from New Payment Line to Old Payment Line.
This "Old Payment Line" will give you the info you need for your Contact Template's "Old" Payment Line.</t>
    </r>
  </si>
  <si>
    <t>Complete steps 1 to 3 from instructions "For Modification - Year 1 and Year 2".</t>
  </si>
  <si>
    <t>Once data such as dollars and / or service levels are updated in prior pages, you may now enter the revised contract end date to the "(Special Extended) Contract End Date" field on the top of the page. 
Note: you should already have entered the Contract Start Date and (regular) Contract End Dates.</t>
  </si>
  <si>
    <t>Taken to Line 13 in Page 3</t>
  </si>
  <si>
    <t>Total Regular Wages and Benefits</t>
  </si>
  <si>
    <r>
      <t xml:space="preserve">If you plan to use this Variable page as a "stand alone" function, please </t>
    </r>
    <r>
      <rPr>
        <b/>
        <sz val="10"/>
        <rFont val="Calibri"/>
        <family val="2"/>
        <scheme val="minor"/>
      </rPr>
      <t>go to</t>
    </r>
    <r>
      <rPr>
        <sz val="10"/>
        <rFont val="Calibri"/>
        <family val="2"/>
        <scheme val="minor"/>
      </rPr>
      <t xml:space="preserve"> </t>
    </r>
    <r>
      <rPr>
        <b/>
        <sz val="10"/>
        <rFont val="Calibri"/>
        <family val="2"/>
        <scheme val="minor"/>
      </rPr>
      <t>PTPage 7</t>
    </r>
    <r>
      <rPr>
        <sz val="10"/>
        <rFont val="Calibri"/>
        <family val="2"/>
        <scheme val="minor"/>
      </rPr>
      <t xml:space="preserve"> to enter the contract start and contract end dates. </t>
    </r>
  </si>
  <si>
    <r>
      <t xml:space="preserve">If you are using in conjunction with fixed funding, please ensure you have input the contract start and end dates into </t>
    </r>
    <r>
      <rPr>
        <b/>
        <sz val="10"/>
        <rFont val="Calibri"/>
        <family val="2"/>
        <scheme val="minor"/>
      </rPr>
      <t>PTPage 7</t>
    </r>
    <r>
      <rPr>
        <sz val="10"/>
        <rFont val="Calibri"/>
        <family val="2"/>
        <scheme val="minor"/>
      </rPr>
      <t>.</t>
    </r>
  </si>
  <si>
    <r>
      <t xml:space="preserve">If you plan to use this OTO page as a "stand alone" function, please </t>
    </r>
    <r>
      <rPr>
        <b/>
        <sz val="10"/>
        <rFont val="Calibri"/>
        <family val="2"/>
        <scheme val="minor"/>
      </rPr>
      <t>go to PTPage 7</t>
    </r>
    <r>
      <rPr>
        <sz val="10"/>
        <rFont val="Calibri"/>
        <family val="2"/>
        <scheme val="minor"/>
      </rPr>
      <t xml:space="preserve"> to enter the contract start and contract end dates. </t>
    </r>
  </si>
  <si>
    <r>
      <t xml:space="preserve">If you are using in conjunction with fixed funding, please ensure you have input the contract start and end dates into </t>
    </r>
    <r>
      <rPr>
        <b/>
        <sz val="10"/>
        <rFont val="Calibri"/>
        <family val="2"/>
        <scheme val="minor"/>
      </rPr>
      <t>PTPage 7.</t>
    </r>
  </si>
  <si>
    <t>Backfill % Hash Total</t>
  </si>
  <si>
    <t>Funding to Support Payment Lines</t>
  </si>
  <si>
    <t>General Wage Grid Data:</t>
  </si>
  <si>
    <t>Grid % Increase:</t>
  </si>
  <si>
    <t>Supervisor Wage Rate Negotiated Effective:</t>
  </si>
  <si>
    <t>Supervisor Hourly Rate:</t>
  </si>
  <si>
    <t>Supervisor hourly rate used</t>
  </si>
  <si>
    <t>Final Rate to use</t>
  </si>
  <si>
    <t>Rate to Use - before negotiation</t>
  </si>
  <si>
    <t>Final Rate to use - after negotiation</t>
  </si>
  <si>
    <t>Comments:</t>
  </si>
  <si>
    <t>MPP Effective %:</t>
  </si>
  <si>
    <t>Wages &amp; Benefits</t>
  </si>
  <si>
    <t>Used in Prior FGT iteration designs - No longer Used - Do not Delete - Supervisor Benefit Table</t>
  </si>
  <si>
    <t>MPP Effective % - for variance comparison only</t>
  </si>
  <si>
    <t>LTD - for variance comparison only</t>
  </si>
  <si>
    <t>Backfill MPP</t>
  </si>
  <si>
    <t>MPP Breakdown:</t>
  </si>
  <si>
    <t>Total MPP</t>
  </si>
  <si>
    <t>Backfill MPP %</t>
  </si>
  <si>
    <t>Supervisor / Senior Worker Monthly Backfill MPP Adjustment</t>
  </si>
  <si>
    <t>per month**</t>
  </si>
  <si>
    <t>** Migration Team Funding Alert</t>
  </si>
  <si>
    <t>Direct Staff</t>
  </si>
  <si>
    <t>MPP Dollar Breakdown - Monthly</t>
  </si>
  <si>
    <t>MPP Dollar Breakdown - Annual</t>
  </si>
  <si>
    <t>Monthly Cost</t>
  </si>
  <si>
    <t>Please determine if any of the "grandfathering" provisions apply to your organization, and include a detailed calculation below of the Incremental cost to you.  The final incremental cost will then be taken to the Page 3 worksheet, Line #13.  Your CLBC Senior Contract Coordinator (SCC) can assist you in compiling this information.</t>
  </si>
  <si>
    <t>Taken to Line 14 in Page 3</t>
  </si>
  <si>
    <t>Please calculate any Supervisor / Senior Worker "reduction" below and take to Page 3, Line # 14, should you choose Option B:</t>
  </si>
  <si>
    <t>Medical Benefits per Line #19 above</t>
  </si>
  <si>
    <t>Monthly 
Cost</t>
  </si>
  <si>
    <t>Annual 
Cost</t>
  </si>
  <si>
    <t>Backfill Staff</t>
  </si>
  <si>
    <t xml:space="preserve">This is a free-form page. The reason for this is you may have multiple senior workers who need to be adjusted for / reduced, or you may have a variety of wages or benefits that have been grandfathered, and again, they may apply to multiple workers.  The above templates help you with the "thought process" of the calculation required for "one" worker, in a "common" scenario.  You may need to use this thought process in the free form (unlocked) cells below to make the calculations most appropriate to your situation, and then you will input the final adjustments to E18 and E20.  </t>
  </si>
  <si>
    <t>Please copy and paste the above templates into the cells below for as many workers as you need.  Then, please add up the adjustments and take to E18 and E20.</t>
  </si>
  <si>
    <t>Health &amp; Welfare</t>
  </si>
  <si>
    <t>Please Note:  Wage grid data on this page is taken to Page 10.  If any subsequent negotiations to grid data are made, it will be shown in Page 10, not here.</t>
  </si>
  <si>
    <t>Wage Grid</t>
  </si>
  <si>
    <t>LOOKUP TABLES</t>
  </si>
  <si>
    <t>RATE TABLE - Program Costs, Wages and Benefits</t>
  </si>
  <si>
    <t>The following data is used to compute values throughout this Excel Workbook -- cells are locked down and you cannot change the values.</t>
  </si>
  <si>
    <t xml:space="preserve">The following data is used to compute values throughout this Excel Workbook.  This page is locked down and values  cannot be changed. </t>
  </si>
  <si>
    <t>SL Post-Adjustment per contract</t>
  </si>
  <si>
    <t>One-time-Use - Feb 2013 Stat - SL Adjustment</t>
  </si>
  <si>
    <t>per CSSEA collective agreement effective April 22, 2013</t>
  </si>
  <si>
    <t>Person-Centred Society:</t>
  </si>
  <si>
    <t>Administration - Person-Centred Society</t>
  </si>
  <si>
    <t>Person-Centred Society</t>
  </si>
  <si>
    <r>
      <rPr>
        <b/>
        <sz val="10"/>
        <rFont val="Arial"/>
        <family val="2"/>
      </rPr>
      <t xml:space="preserve">Supervision:  </t>
    </r>
    <r>
      <rPr>
        <sz val="10"/>
        <rFont val="Arial"/>
        <family val="2"/>
      </rPr>
      <t xml:space="preserve">CLBC funds supervision wages at a standard rate per hour which includes an element for vacation coverage.  This fixed rate applies to union service providers.  For service providers that use on-line senior workers to fulfill certain supervisory responsibilities, CLBC will still fund at the ratio of 1 FTE supervisor for every 8 FTE direct staff. </t>
    </r>
  </si>
  <si>
    <t xml:space="preserve">For example, say a Residence Worker makes $18.00 / hour and say a Senior Residence Worker makes $20.00 / hour. If a staffed residential service employs 7 FTE Residence Workers and 1 FTE Senior Residence Worker, the service provider will receive funding for 1 FTE supervisor. However, $3,918.75 will be reduced from the total funding provided to the service provider for annual supervisor wages (@ $2.00 / hour x 37.5 hours / week x 52.25 weeks / year - in this scenario, we assume the program runs 52 weeks per year). Reduction in basic benefits, MPP/RRSP/LTD, and backfill benefits are based on your organization's benefit %, and auto-calculated in the mini-template.  Note: Reduction in backfill wages depends on the program type (residential vs. non-residential). </t>
  </si>
  <si>
    <t>% of Increase negotiated</t>
  </si>
  <si>
    <t>Rate at Step 3.XX</t>
  </si>
  <si>
    <t>Wage Grid % Increase</t>
  </si>
  <si>
    <t>Supervisor rate is a negotiated hourly rate which is irrelevant to step rates.</t>
  </si>
  <si>
    <t>Wage Grid % between Steps 3 and 4 for Direct Staff</t>
  </si>
  <si>
    <r>
      <rPr>
        <b/>
        <sz val="10"/>
        <color rgb="FFFF0000"/>
        <rFont val="Calibri"/>
        <family val="2"/>
        <scheme val="minor"/>
      </rPr>
      <t>CSSEA</t>
    </r>
    <r>
      <rPr>
        <b/>
        <sz val="10"/>
        <rFont val="Calibri"/>
        <family val="2"/>
        <scheme val="minor"/>
      </rPr>
      <t xml:space="preserve"> Direct Worker Wage Grid Negotiated Effective</t>
    </r>
  </si>
  <si>
    <r>
      <rPr>
        <b/>
        <sz val="10"/>
        <color rgb="FFFF0000"/>
        <rFont val="Calibri"/>
        <family val="2"/>
        <scheme val="minor"/>
      </rPr>
      <t>HEABC</t>
    </r>
    <r>
      <rPr>
        <b/>
        <sz val="10"/>
        <rFont val="Calibri"/>
        <family val="2"/>
        <scheme val="minor"/>
      </rPr>
      <t xml:space="preserve"> Direct Worker Wage Grid Negotiated Effective</t>
    </r>
  </si>
  <si>
    <t>CSSEA Grid % increase used</t>
  </si>
  <si>
    <t>HEABC Grid % increase used</t>
  </si>
  <si>
    <t>Last Updated: Sep 5, 2013</t>
  </si>
  <si>
    <t xml:space="preserve">(CURRENT) January 1 2014 </t>
  </si>
  <si>
    <t>Wage Grid:  Negotiated rates as at April 1, 2013</t>
  </si>
  <si>
    <r>
      <rPr>
        <u/>
        <sz val="10"/>
        <rFont val="Arial"/>
        <family val="2"/>
      </rPr>
      <t>Rate Table</t>
    </r>
    <r>
      <rPr>
        <sz val="10"/>
        <rFont val="Arial"/>
        <family val="2"/>
      </rPr>
      <t xml:space="preserve"> Last Updated: Sep 16, 2013</t>
    </r>
  </si>
  <si>
    <r>
      <rPr>
        <b/>
        <u/>
        <sz val="10"/>
        <color rgb="FF9C0006"/>
        <rFont val="Arial"/>
        <family val="2"/>
      </rPr>
      <t>Please Note:</t>
    </r>
    <r>
      <rPr>
        <sz val="10"/>
        <color rgb="FF9C0006"/>
        <rFont val="Arial"/>
        <family val="2"/>
      </rPr>
      <t xml:space="preserve">  Wage grid data below may be invalid if you have not input data into Page 1 if the negotiated rates have changed post-January 1, 2014</t>
    </r>
  </si>
  <si>
    <t>A. Incremental FGT (Gap) Premium April 1, 2013 - Cooperative Gains</t>
  </si>
  <si>
    <t>FGT (Gap)</t>
  </si>
  <si>
    <t>Admin</t>
  </si>
  <si>
    <t>Maximum</t>
  </si>
  <si>
    <t>Admin Max</t>
  </si>
  <si>
    <t>B. Incremental FGT (Gap) Premium April 1, 2013 - Health &amp; Welfare/Other Changes</t>
  </si>
  <si>
    <t>CSSEA / HEABC Step 3.6</t>
  </si>
  <si>
    <t>For Non-Residential programs, a special one-time service level reduction may apply.  If this applies, it will be shown on the Cover Sheet as a result of a Centrally Migrated FGT in 2013/14.  If this is NOT involving a partial-month situation (detailed in the Central FGT Migration Guidance PDF), you will use this one-time functionality to close your old line and make any service level adjustment shown on the Cover Sheet.  If you have a partial month situation, the Guidance will direct you on the use of the Partial Month Calculator - Old Methodology - Service Level Reduction (SLR) Tool v1Apr13.</t>
  </si>
  <si>
    <t>Eligibility / Portfolio:</t>
  </si>
  <si>
    <t>FGT (Gap) Premium</t>
  </si>
  <si>
    <t>Pre-Migration FGT (Gap) Premium</t>
  </si>
  <si>
    <t xml:space="preserve">New FGT (Gap) Premium </t>
  </si>
  <si>
    <t>P-1</t>
  </si>
  <si>
    <t>Wage Grid:  Negotiated rates as at January 1, 2014 (calculated by applying 1.5% increase to April 1, 2013 rates and matched to CSSEA wage grid as at Jan 1, 2014)</t>
  </si>
  <si>
    <t>Funding Template Version of 1Apr13</t>
  </si>
  <si>
    <t>Burnaby Assocication for Community Inclusion</t>
  </si>
  <si>
    <t>BACI</t>
  </si>
  <si>
    <t>2702 Norland Ave</t>
  </si>
  <si>
    <t>Burnaby BC</t>
  </si>
  <si>
    <t>V5B 3A6</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</si>
</sst>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8" formatCode="&quot;$&quot;#,##0.00_);[Red]\(&quot;$&quot;#,##0.00\)"/>
    <numFmt numFmtId="44" formatCode="_(&quot;$&quot;* #,##0.00_);_(&quot;$&quot;* \(#,##0.00\);_(&quot;$&quot;* &quot;-&quot;??_);_(@_)"/>
    <numFmt numFmtId="43" formatCode="_(* #,##0.00_);_(* \(#,##0.00\);_(* &quot;-&quot;??_);_(@_)"/>
    <numFmt numFmtId="164" formatCode="_-* #,##0.00_-;\-* #,##0.00_-;_-* &quot;-&quot;??_-;_-@_-"/>
    <numFmt numFmtId="165" formatCode="_(&quot;$&quot;* #,##0_);_(&quot;$&quot;* \(#,##0\);_(&quot;$&quot;* &quot;-&quot;??_);_(@_)"/>
    <numFmt numFmtId="166" formatCode="0.0%"/>
    <numFmt numFmtId="167" formatCode="_(* #,##0_);_(* \(#,##0\);_(* &quot;-&quot;??_);_(@_)"/>
    <numFmt numFmtId="168" formatCode="_-* #,##0.0000_-;\-* #,##0.0000_-;_-* &quot;-&quot;??_-;_-@_-"/>
    <numFmt numFmtId="169" formatCode="0.0000"/>
    <numFmt numFmtId="170" formatCode="[&lt;=9999999]###\-####;###\-###\-####"/>
    <numFmt numFmtId="171" formatCode="0.00000"/>
    <numFmt numFmtId="172" formatCode="_(* #,##0.00000_);_(* \(#,##0.00000\);_(* &quot;-&quot;??_);_(@_)"/>
    <numFmt numFmtId="173" formatCode="[$-1009]d/mmm/yy;@"/>
    <numFmt numFmtId="174" formatCode="0.0000%"/>
    <numFmt numFmtId="175" formatCode="_(* #,##0.0000_);_(* \(#,##0.0000\);_(* &quot;-&quot;????_);_(@_)"/>
    <numFmt numFmtId="176" formatCode="_(* #,##0.000000_);_(* \(#,##0.000000\);_(* &quot;-&quot;??_);_(@_)"/>
  </numFmts>
  <fonts count="12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color indexed="81"/>
      <name val="Tahoma"/>
      <family val="2"/>
    </font>
    <font>
      <u/>
      <sz val="10"/>
      <color indexed="12"/>
      <name val="Arial"/>
      <family val="2"/>
    </font>
    <font>
      <b/>
      <i/>
      <sz val="10"/>
      <name val="Century Gothic"/>
      <family val="2"/>
    </font>
    <font>
      <sz val="10"/>
      <name val="Century Gothic"/>
      <family val="2"/>
    </font>
    <font>
      <u/>
      <sz val="10"/>
      <name val="Century Gothic"/>
      <family val="2"/>
    </font>
    <font>
      <b/>
      <sz val="10"/>
      <name val="Century Gothic"/>
      <family val="2"/>
    </font>
    <font>
      <b/>
      <sz val="12"/>
      <name val="Century Gothic"/>
      <family val="2"/>
    </font>
    <font>
      <sz val="8"/>
      <name val="Arial"/>
      <family val="2"/>
    </font>
    <font>
      <b/>
      <sz val="10"/>
      <color indexed="14"/>
      <name val="Century Gothic"/>
      <family val="2"/>
    </font>
    <font>
      <sz val="8"/>
      <name val="Century Gothic"/>
      <family val="2"/>
    </font>
    <font>
      <sz val="8"/>
      <color indexed="81"/>
      <name val="Century Gothic"/>
      <family val="2"/>
    </font>
    <font>
      <b/>
      <sz val="8"/>
      <color indexed="8"/>
      <name val="Century Gothic"/>
      <family val="2"/>
    </font>
    <font>
      <sz val="10"/>
      <name val="Arial"/>
      <family val="2"/>
    </font>
    <font>
      <sz val="8"/>
      <color indexed="8"/>
      <name val="Century Gothic"/>
      <family val="2"/>
    </font>
    <font>
      <b/>
      <sz val="8"/>
      <name val="Century Gothic"/>
      <family val="2"/>
    </font>
    <font>
      <u/>
      <sz val="8"/>
      <name val="Century Gothic"/>
      <family val="2"/>
    </font>
    <font>
      <sz val="10"/>
      <name val="Arial"/>
      <family val="2"/>
    </font>
    <font>
      <b/>
      <sz val="10"/>
      <name val="Arial"/>
      <family val="2"/>
    </font>
    <font>
      <b/>
      <sz val="14"/>
      <name val="Arial"/>
      <family val="2"/>
    </font>
    <font>
      <b/>
      <sz val="12"/>
      <name val="Arial"/>
      <family val="2"/>
    </font>
    <font>
      <sz val="9"/>
      <color indexed="81"/>
      <name val="Tahoma"/>
      <family val="2"/>
    </font>
    <font>
      <b/>
      <sz val="9"/>
      <name val="Century Gothic"/>
      <family val="2"/>
    </font>
    <font>
      <sz val="10"/>
      <color indexed="8"/>
      <name val="Arial"/>
      <family val="2"/>
    </font>
    <font>
      <sz val="12"/>
      <name val="Arial"/>
      <family val="2"/>
    </font>
    <font>
      <b/>
      <sz val="10"/>
      <color rgb="FFFF0000"/>
      <name val="Century Gothic"/>
      <family val="2"/>
    </font>
    <font>
      <b/>
      <sz val="10"/>
      <name val="Arial Unicode MS"/>
      <family val="2"/>
    </font>
    <font>
      <b/>
      <sz val="8"/>
      <name val="Arial"/>
      <family val="2"/>
    </font>
    <font>
      <b/>
      <sz val="10"/>
      <name val="Calibri"/>
      <family val="2"/>
      <scheme val="minor"/>
    </font>
    <font>
      <sz val="10"/>
      <name val="Calibri"/>
      <family val="2"/>
      <scheme val="minor"/>
    </font>
    <font>
      <b/>
      <sz val="10"/>
      <color indexed="14"/>
      <name val="Calibri"/>
      <family val="2"/>
      <scheme val="minor"/>
    </font>
    <font>
      <b/>
      <sz val="12"/>
      <name val="Calibri"/>
      <family val="2"/>
      <scheme val="minor"/>
    </font>
    <font>
      <b/>
      <sz val="11"/>
      <name val="Calibri"/>
      <family val="2"/>
      <scheme val="minor"/>
    </font>
    <font>
      <b/>
      <u/>
      <sz val="11"/>
      <name val="Calibri"/>
      <family val="2"/>
      <scheme val="minor"/>
    </font>
    <font>
      <u/>
      <sz val="10"/>
      <name val="Calibri"/>
      <family val="2"/>
      <scheme val="minor"/>
    </font>
    <font>
      <b/>
      <u/>
      <sz val="13"/>
      <name val="Calibri"/>
      <family val="2"/>
      <scheme val="minor"/>
    </font>
    <font>
      <sz val="16"/>
      <name val="Aharoni"/>
      <charset val="177"/>
    </font>
    <font>
      <sz val="9"/>
      <color indexed="81"/>
      <name val="Century Gothic"/>
      <family val="2"/>
    </font>
    <font>
      <b/>
      <sz val="14"/>
      <color rgb="FFFF0000"/>
      <name val="Calibri"/>
      <family val="2"/>
      <scheme val="minor"/>
    </font>
    <font>
      <b/>
      <i/>
      <sz val="10"/>
      <name val="Calibri"/>
      <family val="2"/>
      <scheme val="minor"/>
    </font>
    <font>
      <b/>
      <sz val="13"/>
      <name val="Cambria"/>
      <family val="1"/>
      <scheme val="major"/>
    </font>
    <font>
      <b/>
      <u/>
      <sz val="12"/>
      <color indexed="8"/>
      <name val="Century Gothic"/>
      <family val="2"/>
    </font>
    <font>
      <b/>
      <u/>
      <sz val="10"/>
      <name val="Calibri"/>
      <family val="2"/>
      <scheme val="minor"/>
    </font>
    <font>
      <sz val="7"/>
      <name val="Century Gothic"/>
      <family val="2"/>
    </font>
    <font>
      <sz val="11"/>
      <name val="Calibri"/>
      <family val="2"/>
      <scheme val="minor"/>
    </font>
    <font>
      <b/>
      <sz val="11"/>
      <color rgb="FF0070C0"/>
      <name val="Baskerville Old Face"/>
      <family val="1"/>
    </font>
    <font>
      <b/>
      <sz val="10"/>
      <color indexed="8"/>
      <name val="Century Gothic"/>
      <family val="2"/>
    </font>
    <font>
      <b/>
      <sz val="11"/>
      <name val="Century Gothic"/>
      <family val="2"/>
    </font>
    <font>
      <b/>
      <u/>
      <sz val="8"/>
      <name val="Century Gothic"/>
      <family val="2"/>
    </font>
    <font>
      <b/>
      <u/>
      <sz val="11"/>
      <name val="Century Gothic"/>
      <family val="2"/>
    </font>
    <font>
      <b/>
      <i/>
      <sz val="12"/>
      <name val="Century Gothic"/>
      <family val="2"/>
    </font>
    <font>
      <b/>
      <i/>
      <sz val="11"/>
      <name val="Calibri"/>
      <family val="2"/>
      <scheme val="minor"/>
    </font>
    <font>
      <b/>
      <i/>
      <sz val="8"/>
      <name val="Century Gothic"/>
      <family val="2"/>
    </font>
    <font>
      <sz val="9.5"/>
      <name val="Calibri"/>
      <family val="2"/>
      <scheme val="minor"/>
    </font>
    <font>
      <b/>
      <sz val="11"/>
      <color theme="3" tint="0.39997558519241921"/>
      <name val="Baskerville Old Face"/>
      <family val="1"/>
    </font>
    <font>
      <i/>
      <u/>
      <sz val="10"/>
      <name val="Century Gothic"/>
      <family val="2"/>
    </font>
    <font>
      <sz val="12"/>
      <name val="Century Gothic"/>
      <family val="2"/>
    </font>
    <font>
      <sz val="9"/>
      <name val="Century Gothic"/>
      <family val="2"/>
    </font>
    <font>
      <u/>
      <sz val="9"/>
      <name val="Century Gothic"/>
      <family val="2"/>
    </font>
    <font>
      <sz val="9"/>
      <name val="Calibri"/>
      <family val="2"/>
      <scheme val="minor"/>
    </font>
    <font>
      <b/>
      <sz val="10"/>
      <color rgb="FF00B0F0"/>
      <name val="Arial"/>
      <family val="2"/>
    </font>
    <font>
      <b/>
      <sz val="11"/>
      <name val="Baskerville Old Face"/>
      <family val="1"/>
    </font>
    <font>
      <b/>
      <sz val="11"/>
      <color rgb="FFFF0000"/>
      <name val="Baskerville Old Face"/>
      <family val="1"/>
    </font>
    <font>
      <b/>
      <sz val="11"/>
      <color rgb="FF00B0F0"/>
      <name val="Baskerville Old Face"/>
      <family val="1"/>
    </font>
    <font>
      <b/>
      <sz val="9.5"/>
      <color rgb="FF00B0F0"/>
      <name val="Arial"/>
      <family val="2"/>
    </font>
    <font>
      <b/>
      <sz val="9.5"/>
      <name val="Calibri"/>
      <family val="2"/>
      <scheme val="minor"/>
    </font>
    <font>
      <b/>
      <sz val="8"/>
      <color indexed="81"/>
      <name val="Century Gothic"/>
      <family val="2"/>
    </font>
    <font>
      <b/>
      <i/>
      <u/>
      <sz val="10"/>
      <name val="Arial"/>
      <family val="2"/>
    </font>
    <font>
      <b/>
      <sz val="10"/>
      <color rgb="FFC00000"/>
      <name val="Cambria"/>
      <family val="1"/>
      <scheme val="major"/>
    </font>
    <font>
      <b/>
      <sz val="8"/>
      <color rgb="FFFF0000"/>
      <name val="Arial"/>
      <family val="2"/>
    </font>
    <font>
      <b/>
      <u/>
      <sz val="10"/>
      <name val="Arial"/>
      <family val="2"/>
    </font>
    <font>
      <b/>
      <sz val="13"/>
      <name val="Calibri"/>
      <family val="2"/>
      <scheme val="minor"/>
    </font>
    <font>
      <b/>
      <sz val="12"/>
      <color rgb="FFFF0000"/>
      <name val="Calibri"/>
      <family val="2"/>
      <scheme val="minor"/>
    </font>
    <font>
      <b/>
      <sz val="10"/>
      <color rgb="FFFF0000"/>
      <name val="Arial"/>
      <family val="2"/>
    </font>
    <font>
      <b/>
      <sz val="10.5"/>
      <name val="Calibri"/>
      <family val="2"/>
      <scheme val="minor"/>
    </font>
    <font>
      <b/>
      <sz val="9"/>
      <color indexed="81"/>
      <name val="Century Gothic"/>
      <family val="2"/>
    </font>
    <font>
      <b/>
      <sz val="9"/>
      <color indexed="81"/>
      <name val="Tahoma"/>
      <family val="2"/>
    </font>
    <font>
      <i/>
      <sz val="10"/>
      <name val="Calibri"/>
      <family val="2"/>
      <scheme val="minor"/>
    </font>
    <font>
      <b/>
      <sz val="9"/>
      <color indexed="8"/>
      <name val="Century Gothic"/>
      <family val="2"/>
    </font>
    <font>
      <sz val="7"/>
      <name val="Arial"/>
      <family val="2"/>
    </font>
    <font>
      <b/>
      <sz val="10"/>
      <color rgb="FFFF0000"/>
      <name val="Calibri"/>
      <family val="2"/>
      <scheme val="minor"/>
    </font>
    <font>
      <b/>
      <sz val="11"/>
      <color rgb="FFFF0000"/>
      <name val="Calibri"/>
      <family val="2"/>
      <scheme val="minor"/>
    </font>
    <font>
      <sz val="12"/>
      <name val="Calibri"/>
      <family val="2"/>
      <scheme val="minor"/>
    </font>
    <font>
      <b/>
      <u/>
      <sz val="12"/>
      <name val="Calibri"/>
      <family val="2"/>
      <scheme val="minor"/>
    </font>
    <font>
      <b/>
      <sz val="12"/>
      <color theme="1"/>
      <name val="Calibri"/>
      <family val="2"/>
      <scheme val="minor"/>
    </font>
    <font>
      <i/>
      <sz val="9"/>
      <color theme="1"/>
      <name val="Calibri"/>
      <family val="2"/>
      <scheme val="minor"/>
    </font>
    <font>
      <b/>
      <sz val="9"/>
      <name val="Calibri"/>
      <family val="2"/>
      <scheme val="minor"/>
    </font>
    <font>
      <b/>
      <sz val="8"/>
      <name val="Calibri"/>
      <family val="2"/>
      <scheme val="minor"/>
    </font>
    <font>
      <b/>
      <sz val="12"/>
      <name val="Cambria"/>
      <family val="1"/>
      <scheme val="major"/>
    </font>
    <font>
      <sz val="10"/>
      <color rgb="FFFF0000"/>
      <name val="Calibri"/>
      <family val="2"/>
      <scheme val="minor"/>
    </font>
    <font>
      <sz val="7"/>
      <name val="Calibri"/>
      <family val="2"/>
      <scheme val="minor"/>
    </font>
    <font>
      <sz val="8"/>
      <name val="Calibri"/>
      <family val="2"/>
      <scheme val="minor"/>
    </font>
    <font>
      <b/>
      <sz val="9"/>
      <color indexed="8"/>
      <name val="Calibri"/>
      <family val="2"/>
      <scheme val="minor"/>
    </font>
    <font>
      <b/>
      <sz val="10"/>
      <name val="Cambria"/>
      <family val="1"/>
      <scheme val="major"/>
    </font>
    <font>
      <sz val="10"/>
      <color rgb="FFFF0000"/>
      <name val="Arial"/>
      <family val="2"/>
    </font>
    <font>
      <b/>
      <i/>
      <u/>
      <sz val="10"/>
      <name val="Calibri"/>
      <family val="2"/>
      <scheme val="minor"/>
    </font>
    <font>
      <b/>
      <sz val="8"/>
      <color indexed="8"/>
      <name val="Calibri"/>
      <family val="2"/>
      <scheme val="minor"/>
    </font>
    <font>
      <b/>
      <sz val="10"/>
      <color rgb="FF0066FF"/>
      <name val="Calibri"/>
      <family val="2"/>
      <scheme val="minor"/>
    </font>
    <font>
      <sz val="10"/>
      <color rgb="FF9C0006"/>
      <name val="Calibri"/>
      <family val="2"/>
      <scheme val="minor"/>
    </font>
    <font>
      <i/>
      <sz val="8"/>
      <name val="Century Gothic"/>
      <family val="2"/>
    </font>
    <font>
      <i/>
      <sz val="9"/>
      <name val="Calibri"/>
      <family val="2"/>
      <scheme val="minor"/>
    </font>
    <font>
      <b/>
      <i/>
      <sz val="9"/>
      <name val="Calibri"/>
      <family val="2"/>
      <scheme val="minor"/>
    </font>
    <font>
      <i/>
      <sz val="8"/>
      <color indexed="81"/>
      <name val="Century Gothic"/>
      <family val="2"/>
    </font>
    <font>
      <sz val="10"/>
      <color indexed="8"/>
      <name val="Calibri"/>
      <family val="2"/>
      <scheme val="minor"/>
    </font>
    <font>
      <sz val="9"/>
      <color indexed="8"/>
      <name val="Calibri"/>
      <family val="2"/>
      <scheme val="minor"/>
    </font>
    <font>
      <sz val="9"/>
      <color theme="1"/>
      <name val="Calibri"/>
      <family val="2"/>
      <scheme val="minor"/>
    </font>
    <font>
      <u/>
      <sz val="8"/>
      <color indexed="81"/>
      <name val="Century Gothic"/>
      <family val="2"/>
    </font>
    <font>
      <b/>
      <i/>
      <sz val="8"/>
      <color indexed="81"/>
      <name val="Century Gothic"/>
      <family val="2"/>
    </font>
    <font>
      <b/>
      <sz val="9"/>
      <name val="Arial"/>
      <family val="2"/>
    </font>
    <font>
      <i/>
      <sz val="8"/>
      <name val="Calibri"/>
      <family val="2"/>
      <scheme val="minor"/>
    </font>
    <font>
      <sz val="10"/>
      <color rgb="FF9C0006"/>
      <name val="Arial"/>
      <family val="2"/>
    </font>
    <font>
      <b/>
      <u/>
      <sz val="10"/>
      <color rgb="FF9C0006"/>
      <name val="Arial"/>
      <family val="2"/>
    </font>
    <font>
      <b/>
      <sz val="12"/>
      <color rgb="FFFF0000"/>
      <name val="Arial"/>
      <family val="2"/>
    </font>
    <font>
      <i/>
      <sz val="9"/>
      <color indexed="81"/>
      <name val="Tahoma"/>
      <family val="2"/>
    </font>
    <font>
      <i/>
      <sz val="8"/>
      <name val="Arial"/>
      <family val="2"/>
    </font>
    <font>
      <b/>
      <sz val="10"/>
      <color indexed="8"/>
      <name val="Calibri"/>
      <family val="2"/>
      <scheme val="minor"/>
    </font>
    <font>
      <u/>
      <sz val="10"/>
      <name val="Arial"/>
      <family val="2"/>
    </font>
    <font>
      <b/>
      <sz val="10"/>
      <color rgb="FFFF0000"/>
      <name val="Cambria"/>
      <family val="1"/>
      <scheme val="major"/>
    </font>
    <font>
      <b/>
      <sz val="14"/>
      <color rgb="FFFF0000"/>
      <name val="Arial"/>
      <family val="2"/>
    </font>
    <font>
      <b/>
      <sz val="13"/>
      <color rgb="FFFF0000"/>
      <name val="Cambria"/>
      <family val="1"/>
      <scheme val="major"/>
    </font>
    <font>
      <sz val="16"/>
      <color rgb="FF0070C0"/>
      <name val="Aharoni"/>
      <charset val="177"/>
    </font>
    <font>
      <u/>
      <sz val="9"/>
      <name val="Arial"/>
      <family val="2"/>
    </font>
  </fonts>
  <fills count="19">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CFFCC"/>
        <bgColor indexed="64"/>
      </patternFill>
    </fill>
    <fill>
      <patternFill patternType="solid">
        <fgColor rgb="FFFFFFCC"/>
        <bgColor auto="1"/>
      </patternFill>
    </fill>
    <fill>
      <patternFill patternType="solid">
        <fgColor rgb="FFFFC000"/>
        <bgColor indexed="64"/>
      </patternFill>
    </fill>
    <fill>
      <patternFill patternType="solid">
        <fgColor rgb="FFFFFFC5"/>
        <bgColor indexed="64"/>
      </patternFill>
    </fill>
    <fill>
      <patternFill patternType="solid">
        <fgColor theme="9" tint="0.39997558519241921"/>
        <bgColor indexed="64"/>
      </patternFill>
    </fill>
    <fill>
      <patternFill patternType="solid">
        <fgColor rgb="FFFAFECA"/>
        <bgColor indexed="64"/>
      </patternFill>
    </fill>
    <fill>
      <patternFill patternType="solid">
        <fgColor theme="4" tint="0.59999389629810485"/>
        <bgColor indexed="64"/>
      </patternFill>
    </fill>
    <fill>
      <patternFill patternType="solid">
        <fgColor rgb="FF00FFFF"/>
        <bgColor indexed="64"/>
      </patternFill>
    </fill>
    <fill>
      <patternFill patternType="solid">
        <fgColor rgb="FFFFC7CE"/>
        <bgColor indexed="64"/>
      </patternFill>
    </fill>
    <fill>
      <patternFill patternType="solid">
        <fgColor theme="1"/>
        <bgColor indexed="64"/>
      </patternFill>
    </fill>
    <fill>
      <patternFill patternType="solid">
        <fgColor rgb="FF00B050"/>
        <bgColor indexed="64"/>
      </patternFill>
    </fill>
    <fill>
      <patternFill patternType="solid">
        <fgColor theme="0" tint="-0.249977111117893"/>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double">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style="thick">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s>
  <cellStyleXfs count="17">
    <xf numFmtId="0" fontId="0" fillId="0" borderId="0"/>
    <xf numFmtId="43" fontId="4" fillId="0" borderId="0" applyFont="0" applyFill="0" applyBorder="0" applyAlignment="0" applyProtection="0"/>
    <xf numFmtId="44" fontId="4" fillId="0" borderId="0" applyFont="0" applyFill="0" applyBorder="0" applyAlignment="0" applyProtection="0"/>
    <xf numFmtId="0" fontId="6" fillId="0" borderId="0" applyNumberFormat="0" applyFill="0" applyBorder="0" applyAlignment="0" applyProtection="0">
      <alignment vertical="top"/>
      <protection locked="0"/>
    </xf>
    <xf numFmtId="9" fontId="4"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cellStyleXfs>
  <cellXfs count="1795">
    <xf numFmtId="0" fontId="0" fillId="0" borderId="0" xfId="0"/>
    <xf numFmtId="0" fontId="8" fillId="0" borderId="0" xfId="0" applyFont="1" applyFill="1" applyBorder="1" applyProtection="1">
      <protection locked="0"/>
    </xf>
    <xf numFmtId="0" fontId="27" fillId="0" borderId="15" xfId="0" applyFont="1" applyFill="1" applyBorder="1" applyProtection="1"/>
    <xf numFmtId="0" fontId="16" fillId="0" borderId="0" xfId="0" applyFont="1" applyFill="1" applyBorder="1" applyAlignment="1" applyProtection="1">
      <alignment horizontal="center"/>
    </xf>
    <xf numFmtId="44" fontId="16" fillId="0" borderId="0" xfId="2" applyNumberFormat="1" applyFont="1" applyFill="1" applyBorder="1" applyAlignment="1" applyProtection="1">
      <alignment horizontal="center"/>
    </xf>
    <xf numFmtId="165" fontId="16" fillId="0" borderId="0" xfId="2" applyNumberFormat="1" applyFont="1" applyFill="1" applyBorder="1" applyProtection="1"/>
    <xf numFmtId="0" fontId="45" fillId="0" borderId="0" xfId="0" applyFont="1" applyFill="1" applyBorder="1" applyAlignment="1" applyProtection="1">
      <alignment vertical="center"/>
    </xf>
    <xf numFmtId="165" fontId="50" fillId="5" borderId="25" xfId="2" applyNumberFormat="1" applyFont="1" applyFill="1" applyBorder="1" applyProtection="1"/>
    <xf numFmtId="0" fontId="14" fillId="0" borderId="9" xfId="3" quotePrefix="1" applyFont="1" applyFill="1" applyBorder="1" applyAlignment="1" applyProtection="1">
      <alignment horizontal="left" vertical="center" wrapText="1"/>
    </xf>
    <xf numFmtId="0" fontId="14" fillId="0" borderId="14" xfId="3" quotePrefix="1" applyFont="1" applyFill="1" applyBorder="1" applyAlignment="1" applyProtection="1">
      <alignment horizontal="left" vertical="center" wrapText="1"/>
    </xf>
    <xf numFmtId="0" fontId="14" fillId="0" borderId="6" xfId="3" quotePrefix="1" applyFont="1" applyFill="1" applyBorder="1" applyAlignment="1" applyProtection="1">
      <alignment horizontal="left" vertical="center" wrapText="1"/>
    </xf>
    <xf numFmtId="0" fontId="16" fillId="0" borderId="0" xfId="0" applyFont="1" applyFill="1" applyBorder="1" applyAlignment="1" applyProtection="1">
      <alignment horizontal="center" vertical="center"/>
    </xf>
    <xf numFmtId="0" fontId="16" fillId="0" borderId="23" xfId="0" applyFont="1" applyFill="1" applyBorder="1" applyAlignment="1" applyProtection="1">
      <alignment horizontal="center" vertical="center"/>
    </xf>
    <xf numFmtId="0" fontId="16" fillId="5" borderId="14" xfId="0" applyFont="1" applyFill="1" applyBorder="1" applyAlignment="1" applyProtection="1">
      <alignment horizontal="center" vertical="center"/>
    </xf>
    <xf numFmtId="0" fontId="16" fillId="5" borderId="0" xfId="0" applyFont="1" applyFill="1" applyBorder="1" applyAlignment="1" applyProtection="1">
      <alignment horizontal="center" vertical="center"/>
    </xf>
    <xf numFmtId="0" fontId="16" fillId="5" borderId="23" xfId="0" applyFont="1" applyFill="1" applyBorder="1" applyAlignment="1" applyProtection="1">
      <alignment horizontal="center" vertical="center"/>
    </xf>
    <xf numFmtId="0" fontId="16" fillId="3" borderId="14" xfId="0" applyFont="1" applyFill="1" applyBorder="1" applyAlignment="1" applyProtection="1">
      <alignment horizontal="center" vertical="center"/>
    </xf>
    <xf numFmtId="0" fontId="16" fillId="3" borderId="0" xfId="0" applyFont="1" applyFill="1" applyBorder="1" applyAlignment="1" applyProtection="1">
      <alignment horizontal="center" vertical="center"/>
    </xf>
    <xf numFmtId="0" fontId="16" fillId="3" borderId="23" xfId="0" applyFont="1" applyFill="1" applyBorder="1" applyAlignment="1" applyProtection="1">
      <alignment horizontal="center" vertical="center"/>
    </xf>
    <xf numFmtId="0" fontId="14" fillId="0" borderId="6" xfId="3" quotePrefix="1" applyFont="1" applyFill="1" applyBorder="1" applyAlignment="1" applyProtection="1">
      <alignment horizontal="left" vertical="center"/>
    </xf>
    <xf numFmtId="2" fontId="18" fillId="0" borderId="8" xfId="0" applyNumberFormat="1" applyFont="1" applyFill="1" applyBorder="1" applyAlignment="1" applyProtection="1">
      <alignment vertical="center"/>
    </xf>
    <xf numFmtId="44" fontId="18" fillId="5" borderId="6" xfId="2" applyFont="1" applyFill="1" applyBorder="1" applyAlignment="1" applyProtection="1">
      <alignment vertical="center"/>
    </xf>
    <xf numFmtId="43" fontId="16" fillId="5" borderId="3" xfId="1" applyFont="1" applyFill="1" applyBorder="1" applyAlignment="1" applyProtection="1">
      <alignment horizontal="right" vertical="center"/>
    </xf>
    <xf numFmtId="43" fontId="16" fillId="5" borderId="3" xfId="1" applyFont="1" applyFill="1" applyBorder="1" applyAlignment="1" applyProtection="1">
      <alignment vertical="center"/>
    </xf>
    <xf numFmtId="44" fontId="16" fillId="5" borderId="1" xfId="2" applyNumberFormat="1" applyFont="1" applyFill="1" applyBorder="1" applyAlignment="1" applyProtection="1">
      <alignment vertical="center"/>
    </xf>
    <xf numFmtId="165" fontId="16" fillId="5" borderId="1" xfId="2" applyNumberFormat="1" applyFont="1" applyFill="1" applyBorder="1" applyAlignment="1" applyProtection="1">
      <alignment vertical="center"/>
    </xf>
    <xf numFmtId="165" fontId="16" fillId="5" borderId="11" xfId="2" applyNumberFormat="1" applyFont="1" applyFill="1" applyBorder="1" applyAlignment="1" applyProtection="1">
      <alignment vertical="center"/>
    </xf>
    <xf numFmtId="1" fontId="18" fillId="0" borderId="4" xfId="0" applyNumberFormat="1" applyFont="1" applyFill="1" applyBorder="1" applyAlignment="1" applyProtection="1">
      <alignment vertical="center"/>
    </xf>
    <xf numFmtId="1" fontId="18" fillId="0" borderId="0" xfId="0" applyNumberFormat="1" applyFont="1" applyFill="1" applyBorder="1" applyAlignment="1" applyProtection="1">
      <alignment vertical="center"/>
    </xf>
    <xf numFmtId="1" fontId="18" fillId="0" borderId="7" xfId="0" applyNumberFormat="1" applyFont="1" applyFill="1" applyBorder="1" applyAlignment="1" applyProtection="1">
      <alignment vertical="center"/>
    </xf>
    <xf numFmtId="0" fontId="14" fillId="0" borderId="14" xfId="3" applyFont="1" applyFill="1" applyBorder="1" applyAlignment="1" applyProtection="1">
      <alignment horizontal="left" vertical="center" wrapText="1"/>
    </xf>
    <xf numFmtId="1" fontId="18" fillId="0" borderId="23" xfId="1" applyNumberFormat="1" applyFont="1" applyFill="1" applyBorder="1" applyAlignment="1" applyProtection="1">
      <alignment horizontal="left" vertical="center" indent="1"/>
    </xf>
    <xf numFmtId="0" fontId="0" fillId="0" borderId="0" xfId="0" applyProtection="1">
      <protection locked="0"/>
    </xf>
    <xf numFmtId="0" fontId="23" fillId="0" borderId="0" xfId="0" applyFont="1" applyProtection="1"/>
    <xf numFmtId="0" fontId="0" fillId="0" borderId="0" xfId="0" applyProtection="1"/>
    <xf numFmtId="0" fontId="40" fillId="0" borderId="0" xfId="0" applyFont="1" applyFill="1" applyAlignment="1" applyProtection="1"/>
    <xf numFmtId="0" fontId="21" fillId="0" borderId="0" xfId="0" applyFont="1" applyProtection="1"/>
    <xf numFmtId="0" fontId="44" fillId="0" borderId="0" xfId="0" applyFont="1" applyAlignment="1" applyProtection="1"/>
    <xf numFmtId="0" fontId="4" fillId="0" borderId="0" xfId="0" applyFont="1" applyProtection="1"/>
    <xf numFmtId="43" fontId="4" fillId="7" borderId="1" xfId="1" applyFont="1" applyFill="1" applyBorder="1" applyProtection="1">
      <protection locked="0"/>
    </xf>
    <xf numFmtId="0" fontId="28" fillId="0" borderId="0" xfId="0" applyFont="1" applyProtection="1"/>
    <xf numFmtId="10" fontId="4" fillId="0" borderId="1" xfId="4" applyNumberFormat="1" applyFont="1" applyFill="1" applyBorder="1" applyProtection="1"/>
    <xf numFmtId="43" fontId="4" fillId="0" borderId="0" xfId="1" applyFont="1" applyFill="1" applyBorder="1" applyProtection="1"/>
    <xf numFmtId="0" fontId="24" fillId="0" borderId="0" xfId="0" applyFont="1" applyProtection="1"/>
    <xf numFmtId="0" fontId="22" fillId="0" borderId="1" xfId="0" applyFont="1" applyFill="1" applyBorder="1" applyProtection="1"/>
    <xf numFmtId="0" fontId="4" fillId="0" borderId="1" xfId="0" applyFont="1" applyBorder="1" applyAlignment="1" applyProtection="1">
      <alignment vertical="top"/>
    </xf>
    <xf numFmtId="0" fontId="4" fillId="0" borderId="1" xfId="0" applyFont="1" applyBorder="1" applyAlignment="1" applyProtection="1">
      <alignment horizontal="center" vertical="top"/>
    </xf>
    <xf numFmtId="0" fontId="4" fillId="0" borderId="1" xfId="0" applyFont="1" applyFill="1" applyBorder="1" applyAlignment="1" applyProtection="1">
      <alignment vertical="top"/>
    </xf>
    <xf numFmtId="0" fontId="4" fillId="0" borderId="1" xfId="0" applyFont="1" applyFill="1" applyBorder="1" applyAlignment="1" applyProtection="1">
      <alignment horizontal="center" vertical="top"/>
    </xf>
    <xf numFmtId="8" fontId="0" fillId="0" borderId="0" xfId="0" applyNumberFormat="1" applyProtection="1"/>
    <xf numFmtId="0" fontId="4" fillId="0" borderId="4" xfId="0" applyFont="1" applyFill="1" applyBorder="1" applyAlignment="1" applyProtection="1">
      <alignment horizontal="center" vertical="top"/>
    </xf>
    <xf numFmtId="0" fontId="4" fillId="0" borderId="0" xfId="0" applyFont="1" applyFill="1" applyBorder="1" applyAlignment="1" applyProtection="1">
      <alignment horizontal="center" vertical="top"/>
    </xf>
    <xf numFmtId="0" fontId="0" fillId="0" borderId="0" xfId="0" applyFill="1" applyProtection="1"/>
    <xf numFmtId="8" fontId="0" fillId="0" borderId="0" xfId="0" applyNumberFormat="1" applyFill="1" applyProtection="1"/>
    <xf numFmtId="0" fontId="4" fillId="0" borderId="0" xfId="0" applyFont="1" applyFill="1" applyProtection="1"/>
    <xf numFmtId="0" fontId="22" fillId="0" borderId="0" xfId="0" applyFont="1" applyProtection="1"/>
    <xf numFmtId="0" fontId="4" fillId="0" borderId="19" xfId="0" applyFont="1" applyBorder="1" applyProtection="1"/>
    <xf numFmtId="0" fontId="0" fillId="0" borderId="1" xfId="0" applyBorder="1" applyProtection="1"/>
    <xf numFmtId="169" fontId="0" fillId="0" borderId="1" xfId="0" applyNumberFormat="1" applyBorder="1" applyProtection="1"/>
    <xf numFmtId="0" fontId="4" fillId="0" borderId="21" xfId="0" applyFont="1" applyBorder="1" applyProtection="1"/>
    <xf numFmtId="0" fontId="4" fillId="0" borderId="15" xfId="0" applyFont="1" applyBorder="1" applyAlignment="1" applyProtection="1">
      <alignment vertical="top"/>
    </xf>
    <xf numFmtId="0" fontId="0" fillId="0" borderId="15" xfId="0" applyBorder="1" applyProtection="1"/>
    <xf numFmtId="169" fontId="0" fillId="0" borderId="15" xfId="0" applyNumberFormat="1" applyBorder="1" applyProtection="1"/>
    <xf numFmtId="0" fontId="4" fillId="0" borderId="16" xfId="0" applyFont="1" applyBorder="1" applyProtection="1"/>
    <xf numFmtId="0" fontId="4" fillId="0" borderId="17" xfId="0" applyFont="1" applyBorder="1" applyAlignment="1" applyProtection="1">
      <alignment vertical="top"/>
    </xf>
    <xf numFmtId="0" fontId="0" fillId="0" borderId="17" xfId="0" applyBorder="1" applyProtection="1"/>
    <xf numFmtId="169" fontId="0" fillId="0" borderId="17" xfId="0" applyNumberFormat="1" applyBorder="1" applyProtection="1"/>
    <xf numFmtId="2" fontId="0" fillId="0" borderId="0" xfId="0" applyNumberFormat="1" applyProtection="1"/>
    <xf numFmtId="0" fontId="22" fillId="0" borderId="1" xfId="0" applyFont="1" applyBorder="1" applyProtection="1"/>
    <xf numFmtId="0" fontId="22" fillId="2" borderId="1" xfId="0" applyFont="1" applyFill="1" applyBorder="1" applyProtection="1"/>
    <xf numFmtId="0" fontId="22" fillId="0" borderId="0" xfId="0" applyFont="1" applyBorder="1" applyProtection="1"/>
    <xf numFmtId="0" fontId="4" fillId="0" borderId="1" xfId="0" applyFont="1" applyBorder="1" applyProtection="1"/>
    <xf numFmtId="10" fontId="0" fillId="2" borderId="1" xfId="0" applyNumberFormat="1" applyFill="1" applyBorder="1" applyProtection="1"/>
    <xf numFmtId="10" fontId="0" fillId="0" borderId="1" xfId="0" applyNumberFormat="1" applyFill="1" applyBorder="1" applyProtection="1"/>
    <xf numFmtId="0" fontId="28" fillId="0" borderId="0" xfId="0" applyFont="1" applyFill="1" applyProtection="1"/>
    <xf numFmtId="0" fontId="33" fillId="0" borderId="0" xfId="0" applyFont="1" applyAlignment="1" applyProtection="1">
      <alignment vertical="center"/>
    </xf>
    <xf numFmtId="0" fontId="8" fillId="0" borderId="0" xfId="0" applyFont="1" applyAlignment="1" applyProtection="1">
      <alignment vertical="center"/>
    </xf>
    <xf numFmtId="0" fontId="8" fillId="0" borderId="0" xfId="0" applyFont="1" applyFill="1" applyAlignment="1" applyProtection="1">
      <alignmen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0" fontId="24" fillId="0" borderId="0" xfId="0" applyFont="1" applyAlignment="1" applyProtection="1">
      <alignment vertical="center"/>
    </xf>
    <xf numFmtId="0" fontId="8" fillId="0" borderId="0" xfId="0" applyFont="1" applyAlignment="1" applyProtection="1">
      <alignment horizontal="center" vertical="center"/>
    </xf>
    <xf numFmtId="0" fontId="24" fillId="0" borderId="9" xfId="0" applyFont="1" applyBorder="1" applyAlignment="1" applyProtection="1">
      <alignment vertical="center"/>
    </xf>
    <xf numFmtId="0" fontId="11" fillId="0" borderId="9" xfId="0" applyFont="1" applyFill="1" applyBorder="1" applyAlignment="1" applyProtection="1">
      <alignment vertical="center"/>
    </xf>
    <xf numFmtId="0" fontId="11" fillId="0" borderId="4" xfId="0" applyFont="1" applyFill="1" applyBorder="1" applyAlignment="1" applyProtection="1">
      <alignment vertical="center"/>
    </xf>
    <xf numFmtId="0" fontId="11" fillId="0" borderId="5" xfId="0" applyFont="1" applyFill="1" applyBorder="1" applyAlignment="1" applyProtection="1">
      <alignment vertical="center"/>
    </xf>
    <xf numFmtId="0" fontId="19" fillId="0" borderId="9" xfId="0" applyFont="1" applyBorder="1" applyAlignment="1" applyProtection="1">
      <alignment horizontal="center" vertical="center"/>
    </xf>
    <xf numFmtId="0" fontId="14" fillId="0" borderId="14" xfId="0" applyFont="1" applyFill="1" applyBorder="1" applyAlignment="1" applyProtection="1">
      <alignment vertical="center"/>
    </xf>
    <xf numFmtId="0" fontId="14" fillId="0" borderId="0" xfId="0" applyFont="1" applyAlignment="1" applyProtection="1">
      <alignment vertical="center"/>
    </xf>
    <xf numFmtId="0" fontId="19" fillId="0" borderId="3" xfId="0" applyFont="1" applyBorder="1" applyAlignment="1" applyProtection="1">
      <alignment horizontal="center" vertical="center"/>
    </xf>
    <xf numFmtId="0" fontId="20" fillId="0" borderId="0" xfId="0" applyFont="1" applyAlignment="1" applyProtection="1">
      <alignment vertical="center"/>
    </xf>
    <xf numFmtId="1" fontId="14" fillId="0" borderId="3" xfId="0" applyNumberFormat="1" applyFont="1" applyFill="1" applyBorder="1" applyAlignment="1" applyProtection="1">
      <alignment horizontal="center" vertical="center"/>
    </xf>
    <xf numFmtId="165" fontId="14" fillId="5" borderId="0" xfId="0" applyNumberFormat="1" applyFont="1" applyFill="1" applyBorder="1" applyAlignment="1" applyProtection="1">
      <alignment vertical="center"/>
    </xf>
    <xf numFmtId="165" fontId="14" fillId="5" borderId="23" xfId="0" applyNumberFormat="1" applyFont="1" applyFill="1" applyBorder="1" applyAlignment="1" applyProtection="1">
      <alignment vertical="center"/>
    </xf>
    <xf numFmtId="10" fontId="14" fillId="3" borderId="14" xfId="4" applyNumberFormat="1" applyFont="1" applyFill="1" applyBorder="1" applyAlignment="1" applyProtection="1">
      <alignment vertical="center"/>
    </xf>
    <xf numFmtId="165" fontId="14" fillId="3" borderId="0" xfId="0" applyNumberFormat="1" applyFont="1" applyFill="1" applyBorder="1" applyAlignment="1" applyProtection="1">
      <alignment vertical="center"/>
    </xf>
    <xf numFmtId="165" fontId="14" fillId="3" borderId="23" xfId="0" applyNumberFormat="1" applyFont="1" applyFill="1" applyBorder="1" applyAlignment="1" applyProtection="1">
      <alignment vertical="center"/>
    </xf>
    <xf numFmtId="10" fontId="14" fillId="5" borderId="14" xfId="4" applyNumberFormat="1" applyFont="1" applyFill="1" applyBorder="1" applyAlignment="1" applyProtection="1">
      <alignment vertical="center"/>
    </xf>
    <xf numFmtId="1" fontId="14" fillId="0" borderId="1" xfId="0" applyNumberFormat="1" applyFont="1" applyFill="1" applyBorder="1" applyAlignment="1" applyProtection="1">
      <alignment horizontal="center" vertical="center"/>
    </xf>
    <xf numFmtId="43" fontId="12" fillId="0" borderId="6" xfId="1" applyFont="1" applyFill="1" applyBorder="1" applyAlignment="1" applyProtection="1">
      <alignment horizontal="right" vertical="center"/>
    </xf>
    <xf numFmtId="165" fontId="14" fillId="5" borderId="7" xfId="0" applyNumberFormat="1" applyFont="1" applyFill="1" applyBorder="1" applyAlignment="1" applyProtection="1">
      <alignment vertical="center"/>
    </xf>
    <xf numFmtId="10" fontId="14" fillId="3" borderId="6" xfId="4" applyNumberFormat="1" applyFont="1" applyFill="1" applyBorder="1" applyAlignment="1" applyProtection="1">
      <alignment vertical="center"/>
    </xf>
    <xf numFmtId="165" fontId="14" fillId="3" borderId="7" xfId="0" applyNumberFormat="1" applyFont="1" applyFill="1" applyBorder="1" applyAlignment="1" applyProtection="1">
      <alignment vertical="center"/>
    </xf>
    <xf numFmtId="165" fontId="14" fillId="3" borderId="8" xfId="0" applyNumberFormat="1" applyFont="1" applyFill="1" applyBorder="1" applyAlignment="1" applyProtection="1">
      <alignment vertical="center"/>
    </xf>
    <xf numFmtId="10" fontId="14" fillId="5" borderId="6" xfId="4" applyNumberFormat="1" applyFont="1" applyFill="1" applyBorder="1" applyAlignment="1" applyProtection="1">
      <alignment vertical="center"/>
    </xf>
    <xf numFmtId="165" fontId="14" fillId="5" borderId="8" xfId="0" applyNumberFormat="1" applyFont="1" applyFill="1" applyBorder="1" applyAlignment="1" applyProtection="1">
      <alignment vertical="center"/>
    </xf>
    <xf numFmtId="10" fontId="14" fillId="3" borderId="7" xfId="4" applyNumberFormat="1" applyFont="1" applyFill="1" applyBorder="1" applyAlignment="1" applyProtection="1">
      <alignment vertical="center"/>
    </xf>
    <xf numFmtId="10" fontId="14" fillId="5" borderId="7" xfId="4" applyNumberFormat="1" applyFont="1" applyFill="1" applyBorder="1" applyAlignment="1" applyProtection="1">
      <alignment vertical="center"/>
    </xf>
    <xf numFmtId="0" fontId="17" fillId="0" borderId="7" xfId="0" applyFont="1" applyBorder="1" applyAlignment="1" applyProtection="1">
      <alignment horizontal="center" vertical="center"/>
    </xf>
    <xf numFmtId="1" fontId="14" fillId="0" borderId="6" xfId="0" applyNumberFormat="1" applyFont="1" applyFill="1" applyBorder="1" applyAlignment="1" applyProtection="1">
      <alignment horizontal="center" vertical="center"/>
    </xf>
    <xf numFmtId="44" fontId="14" fillId="5" borderId="9" xfId="0" applyNumberFormat="1" applyFont="1" applyFill="1" applyBorder="1" applyAlignment="1" applyProtection="1">
      <alignment vertical="center"/>
    </xf>
    <xf numFmtId="10" fontId="14" fillId="3" borderId="9" xfId="4" applyNumberFormat="1" applyFont="1" applyFill="1" applyBorder="1" applyAlignment="1" applyProtection="1">
      <alignment vertical="center"/>
    </xf>
    <xf numFmtId="10" fontId="14" fillId="5" borderId="9" xfId="4" applyNumberFormat="1" applyFont="1" applyFill="1" applyBorder="1" applyAlignment="1" applyProtection="1">
      <alignment vertical="center"/>
    </xf>
    <xf numFmtId="1" fontId="14" fillId="0" borderId="11" xfId="0" applyNumberFormat="1" applyFont="1" applyFill="1" applyBorder="1" applyAlignment="1" applyProtection="1">
      <alignment horizontal="center" vertical="center"/>
    </xf>
    <xf numFmtId="44" fontId="14" fillId="5" borderId="14" xfId="0" applyNumberFormat="1" applyFont="1" applyFill="1" applyBorder="1" applyAlignment="1" applyProtection="1">
      <alignment vertical="center"/>
    </xf>
    <xf numFmtId="44" fontId="14" fillId="5" borderId="6" xfId="0" applyNumberFormat="1" applyFont="1" applyFill="1" applyBorder="1" applyAlignment="1" applyProtection="1">
      <alignment vertical="center"/>
    </xf>
    <xf numFmtId="0" fontId="8" fillId="0" borderId="14" xfId="0" applyFont="1" applyBorder="1" applyAlignment="1" applyProtection="1">
      <alignment horizontal="center" vertical="center"/>
    </xf>
    <xf numFmtId="0" fontId="0" fillId="0" borderId="0" xfId="0" applyBorder="1" applyAlignment="1" applyProtection="1">
      <alignment vertical="center"/>
    </xf>
    <xf numFmtId="0" fontId="52" fillId="0" borderId="0" xfId="0" applyFont="1" applyBorder="1" applyAlignment="1" applyProtection="1">
      <alignment horizontal="center" vertical="center"/>
    </xf>
    <xf numFmtId="0" fontId="8" fillId="0" borderId="0" xfId="0" applyFont="1" applyBorder="1" applyAlignment="1" applyProtection="1">
      <alignment horizontal="center" vertical="center"/>
    </xf>
    <xf numFmtId="0" fontId="8" fillId="0" borderId="0" xfId="0" applyFont="1" applyBorder="1" applyAlignment="1" applyProtection="1">
      <alignment vertical="center"/>
    </xf>
    <xf numFmtId="0" fontId="46" fillId="0" borderId="0" xfId="0" applyFont="1" applyBorder="1" applyAlignment="1" applyProtection="1">
      <alignment horizontal="center" vertical="center"/>
    </xf>
    <xf numFmtId="0" fontId="8" fillId="0" borderId="23" xfId="0" applyFont="1" applyFill="1" applyBorder="1" applyAlignment="1" applyProtection="1">
      <alignment vertical="center"/>
    </xf>
    <xf numFmtId="0" fontId="19" fillId="0" borderId="0" xfId="0" applyFont="1" applyBorder="1" applyAlignment="1" applyProtection="1">
      <alignment horizontal="right" vertical="center"/>
    </xf>
    <xf numFmtId="10" fontId="14" fillId="0" borderId="0" xfId="0" applyNumberFormat="1" applyFont="1" applyBorder="1" applyAlignment="1" applyProtection="1">
      <alignment vertical="center"/>
    </xf>
    <xf numFmtId="0" fontId="47" fillId="0" borderId="0" xfId="0" applyFont="1" applyBorder="1" applyAlignment="1" applyProtection="1">
      <alignment vertical="center"/>
    </xf>
    <xf numFmtId="0" fontId="19" fillId="0" borderId="0" xfId="0" applyFont="1" applyFill="1" applyBorder="1" applyAlignment="1" applyProtection="1">
      <alignment horizontal="right" vertical="center"/>
    </xf>
    <xf numFmtId="10" fontId="14" fillId="0" borderId="0" xfId="0" applyNumberFormat="1" applyFont="1" applyFill="1" applyBorder="1" applyAlignment="1" applyProtection="1">
      <alignment vertical="center"/>
    </xf>
    <xf numFmtId="0" fontId="47" fillId="0" borderId="0" xfId="0" applyFont="1" applyFill="1" applyBorder="1" applyAlignment="1" applyProtection="1">
      <alignment vertical="center"/>
    </xf>
    <xf numFmtId="0" fontId="8" fillId="0" borderId="23" xfId="0" applyFont="1" applyBorder="1" applyAlignment="1" applyProtection="1">
      <alignment vertical="center"/>
    </xf>
    <xf numFmtId="43" fontId="33" fillId="0" borderId="23" xfId="0" applyNumberFormat="1" applyFont="1" applyFill="1" applyBorder="1" applyAlignment="1" applyProtection="1">
      <alignment vertical="center"/>
    </xf>
    <xf numFmtId="10" fontId="14" fillId="0" borderId="24" xfId="0" applyNumberFormat="1" applyFont="1" applyFill="1" applyBorder="1" applyAlignment="1" applyProtection="1">
      <alignment vertical="center"/>
    </xf>
    <xf numFmtId="0" fontId="33" fillId="0" borderId="23" xfId="0" applyFont="1" applyBorder="1" applyAlignment="1" applyProtection="1">
      <alignment vertical="center"/>
    </xf>
    <xf numFmtId="0" fontId="8" fillId="0" borderId="6" xfId="0" applyFont="1" applyBorder="1" applyAlignment="1" applyProtection="1">
      <alignment horizontal="center" vertical="center"/>
    </xf>
    <xf numFmtId="0" fontId="0" fillId="0" borderId="7" xfId="0" applyBorder="1" applyAlignment="1" applyProtection="1">
      <alignment vertical="center"/>
    </xf>
    <xf numFmtId="0" fontId="0" fillId="0" borderId="8" xfId="0" applyBorder="1" applyAlignment="1" applyProtection="1">
      <alignment vertical="center"/>
    </xf>
    <xf numFmtId="0" fontId="8" fillId="0" borderId="7" xfId="0" applyFont="1" applyBorder="1" applyAlignment="1" applyProtection="1">
      <alignment vertical="center"/>
    </xf>
    <xf numFmtId="0" fontId="0" fillId="0" borderId="0" xfId="0" applyAlignment="1" applyProtection="1">
      <alignment vertical="center"/>
    </xf>
    <xf numFmtId="0" fontId="33" fillId="0" borderId="0" xfId="0" applyFont="1" applyProtection="1">
      <protection locked="0"/>
    </xf>
    <xf numFmtId="0" fontId="8" fillId="0" borderId="0" xfId="0" applyFont="1" applyProtection="1">
      <protection locked="0"/>
    </xf>
    <xf numFmtId="0" fontId="33" fillId="0" borderId="0" xfId="0" applyFont="1" applyAlignment="1" applyProtection="1">
      <alignment horizontal="center"/>
    </xf>
    <xf numFmtId="0" fontId="33" fillId="0" borderId="0" xfId="0" applyFont="1" applyProtection="1"/>
    <xf numFmtId="0" fontId="8" fillId="0" borderId="0" xfId="0" applyFont="1" applyAlignment="1" applyProtection="1">
      <alignment horizontal="center"/>
    </xf>
    <xf numFmtId="0" fontId="8" fillId="0" borderId="0" xfId="0" applyFont="1" applyProtection="1"/>
    <xf numFmtId="167" fontId="8" fillId="0" borderId="0" xfId="1" applyNumberFormat="1" applyFont="1" applyProtection="1"/>
    <xf numFmtId="0" fontId="8" fillId="0" borderId="0" xfId="0" applyFont="1" applyFill="1" applyBorder="1" applyProtection="1"/>
    <xf numFmtId="0" fontId="39" fillId="0" borderId="0" xfId="0" applyFont="1" applyAlignment="1" applyProtection="1">
      <alignment vertical="center"/>
    </xf>
    <xf numFmtId="0" fontId="14" fillId="0" borderId="0" xfId="0" applyFont="1" applyFill="1" applyAlignment="1" applyProtection="1">
      <alignment horizontal="center"/>
    </xf>
    <xf numFmtId="0" fontId="19" fillId="0" borderId="2" xfId="0" applyFont="1" applyBorder="1" applyAlignment="1" applyProtection="1">
      <alignment horizontal="center"/>
    </xf>
    <xf numFmtId="0" fontId="19" fillId="0" borderId="2" xfId="0" applyFont="1" applyFill="1" applyBorder="1" applyAlignment="1" applyProtection="1">
      <alignment horizontal="center"/>
    </xf>
    <xf numFmtId="0" fontId="10" fillId="0" borderId="9" xfId="0" applyFont="1" applyBorder="1" applyAlignment="1" applyProtection="1"/>
    <xf numFmtId="0" fontId="10" fillId="0" borderId="4" xfId="0" applyFont="1" applyBorder="1" applyAlignment="1" applyProtection="1"/>
    <xf numFmtId="0" fontId="19" fillId="0" borderId="4" xfId="0" applyFont="1" applyFill="1" applyBorder="1" applyAlignment="1" applyProtection="1"/>
    <xf numFmtId="0" fontId="19" fillId="0" borderId="5" xfId="0" applyFont="1" applyFill="1" applyBorder="1" applyAlignment="1" applyProtection="1"/>
    <xf numFmtId="0" fontId="19" fillId="0" borderId="3" xfId="0" applyFont="1" applyBorder="1" applyAlignment="1" applyProtection="1">
      <alignment horizontal="center"/>
    </xf>
    <xf numFmtId="0" fontId="19" fillId="0" borderId="3" xfId="0" applyFont="1" applyFill="1" applyBorder="1" applyAlignment="1" applyProtection="1">
      <alignment horizontal="center"/>
    </xf>
    <xf numFmtId="0" fontId="19" fillId="0" borderId="6" xfId="0" applyFont="1" applyFill="1" applyBorder="1" applyAlignment="1" applyProtection="1"/>
    <xf numFmtId="0" fontId="19" fillId="0" borderId="7" xfId="0" applyFont="1" applyFill="1" applyBorder="1" applyAlignment="1" applyProtection="1"/>
    <xf numFmtId="0" fontId="19" fillId="0" borderId="8" xfId="0" applyFont="1" applyFill="1" applyBorder="1" applyAlignment="1" applyProtection="1"/>
    <xf numFmtId="0" fontId="19" fillId="0" borderId="0" xfId="0" applyFont="1" applyBorder="1" applyAlignment="1" applyProtection="1">
      <alignment horizontal="center"/>
    </xf>
    <xf numFmtId="1" fontId="14" fillId="0" borderId="1" xfId="0" applyNumberFormat="1" applyFont="1" applyFill="1" applyBorder="1" applyAlignment="1" applyProtection="1">
      <alignment horizontal="center"/>
    </xf>
    <xf numFmtId="167" fontId="14" fillId="5" borderId="11" xfId="1" applyNumberFormat="1" applyFont="1" applyFill="1" applyBorder="1" applyProtection="1"/>
    <xf numFmtId="167" fontId="14" fillId="5" borderId="12" xfId="1" applyNumberFormat="1" applyFont="1" applyFill="1" applyBorder="1" applyProtection="1"/>
    <xf numFmtId="167" fontId="14" fillId="5" borderId="10" xfId="1" applyNumberFormat="1" applyFont="1" applyFill="1" applyBorder="1" applyProtection="1"/>
    <xf numFmtId="167" fontId="26" fillId="5" borderId="11" xfId="1" applyNumberFormat="1" applyFont="1" applyFill="1" applyBorder="1" applyProtection="1"/>
    <xf numFmtId="0" fontId="10" fillId="0" borderId="11" xfId="0" applyFont="1" applyBorder="1" applyAlignment="1" applyProtection="1"/>
    <xf numFmtId="0" fontId="10" fillId="0" borderId="12" xfId="0" applyFont="1" applyBorder="1" applyAlignment="1" applyProtection="1"/>
    <xf numFmtId="0" fontId="19" fillId="0" borderId="0" xfId="0" applyFont="1" applyFill="1" applyBorder="1" applyAlignment="1" applyProtection="1">
      <alignment horizontal="center"/>
    </xf>
    <xf numFmtId="0" fontId="19" fillId="0" borderId="0" xfId="0" applyFont="1" applyFill="1" applyBorder="1" applyAlignment="1" applyProtection="1"/>
    <xf numFmtId="167" fontId="14" fillId="0" borderId="11" xfId="1" applyNumberFormat="1" applyFont="1" applyFill="1" applyBorder="1" applyProtection="1"/>
    <xf numFmtId="167" fontId="14" fillId="0" borderId="12" xfId="1" applyNumberFormat="1" applyFont="1" applyFill="1" applyBorder="1" applyProtection="1"/>
    <xf numFmtId="165" fontId="14" fillId="0" borderId="1" xfId="2" applyNumberFormat="1" applyFont="1" applyFill="1" applyBorder="1" applyProtection="1"/>
    <xf numFmtId="166" fontId="14" fillId="0" borderId="1" xfId="4" applyNumberFormat="1" applyFont="1" applyFill="1" applyBorder="1" applyProtection="1"/>
    <xf numFmtId="167" fontId="8" fillId="0" borderId="0" xfId="0" applyNumberFormat="1" applyFont="1" applyProtection="1"/>
    <xf numFmtId="166" fontId="19" fillId="0" borderId="0" xfId="4" applyNumberFormat="1" applyFont="1" applyFill="1" applyBorder="1" applyAlignment="1" applyProtection="1">
      <alignment horizontal="center"/>
    </xf>
    <xf numFmtId="0" fontId="8" fillId="0" borderId="0" xfId="0" applyFont="1" applyFill="1" applyAlignment="1" applyProtection="1">
      <alignment horizontal="center"/>
    </xf>
    <xf numFmtId="0" fontId="10" fillId="0" borderId="0" xfId="0" applyFont="1" applyBorder="1" applyAlignment="1" applyProtection="1">
      <alignment horizontal="left"/>
    </xf>
    <xf numFmtId="167" fontId="10" fillId="0" borderId="0" xfId="1" applyNumberFormat="1" applyFont="1" applyFill="1" applyBorder="1" applyProtection="1"/>
    <xf numFmtId="10" fontId="10" fillId="0" borderId="0" xfId="4" applyNumberFormat="1" applyFont="1" applyFill="1" applyBorder="1" applyProtection="1"/>
    <xf numFmtId="0" fontId="10" fillId="0" borderId="9" xfId="0" applyFont="1" applyBorder="1" applyProtection="1"/>
    <xf numFmtId="0" fontId="10" fillId="0" borderId="1" xfId="0" applyFont="1" applyFill="1" applyBorder="1" applyAlignment="1" applyProtection="1">
      <alignment horizontal="center"/>
    </xf>
    <xf numFmtId="10" fontId="10" fillId="0" borderId="1" xfId="4" applyNumberFormat="1" applyFont="1" applyBorder="1" applyAlignment="1" applyProtection="1">
      <alignment horizontal="center"/>
    </xf>
    <xf numFmtId="0" fontId="14" fillId="0" borderId="0" xfId="0" applyFont="1" applyProtection="1"/>
    <xf numFmtId="166" fontId="8" fillId="0" borderId="0" xfId="4" applyNumberFormat="1" applyFont="1" applyProtection="1"/>
    <xf numFmtId="166" fontId="10" fillId="0" borderId="1" xfId="4" applyNumberFormat="1" applyFont="1" applyBorder="1" applyAlignment="1" applyProtection="1">
      <alignment horizontal="center"/>
    </xf>
    <xf numFmtId="0" fontId="8" fillId="0" borderId="0" xfId="0" applyFont="1" applyFill="1" applyBorder="1" applyAlignment="1" applyProtection="1">
      <alignment horizontal="center"/>
    </xf>
    <xf numFmtId="0" fontId="10" fillId="0" borderId="0" xfId="0" applyFont="1" applyFill="1" applyBorder="1" applyAlignment="1" applyProtection="1">
      <alignment horizontal="left"/>
    </xf>
    <xf numFmtId="165" fontId="8" fillId="0" borderId="0" xfId="2" applyNumberFormat="1" applyFont="1" applyFill="1" applyBorder="1" applyProtection="1"/>
    <xf numFmtId="10" fontId="8" fillId="0" borderId="0" xfId="4" applyNumberFormat="1" applyFont="1" applyFill="1" applyBorder="1" applyProtection="1"/>
    <xf numFmtId="166" fontId="14" fillId="0" borderId="0" xfId="4" applyNumberFormat="1" applyFont="1" applyFill="1" applyBorder="1" applyAlignment="1" applyProtection="1">
      <alignment horizontal="center"/>
    </xf>
    <xf numFmtId="0" fontId="8" fillId="0" borderId="0" xfId="0" applyFont="1" applyFill="1" applyBorder="1" applyAlignment="1" applyProtection="1"/>
    <xf numFmtId="0" fontId="10" fillId="0" borderId="1" xfId="0" applyFont="1" applyBorder="1" applyAlignment="1" applyProtection="1">
      <alignment horizontal="center"/>
    </xf>
    <xf numFmtId="0" fontId="9" fillId="0" borderId="0" xfId="0" applyFont="1" applyProtection="1"/>
    <xf numFmtId="166" fontId="8" fillId="0" borderId="0" xfId="0" applyNumberFormat="1" applyFont="1" applyFill="1" applyBorder="1" applyAlignment="1" applyProtection="1">
      <alignment horizontal="center"/>
    </xf>
    <xf numFmtId="1" fontId="14" fillId="0" borderId="0" xfId="0" applyNumberFormat="1" applyFont="1" applyFill="1" applyBorder="1" applyAlignment="1" applyProtection="1">
      <alignment horizontal="center"/>
    </xf>
    <xf numFmtId="166" fontId="60" fillId="0" borderId="0" xfId="0" applyNumberFormat="1" applyFont="1" applyFill="1" applyBorder="1" applyAlignment="1" applyProtection="1">
      <alignment horizontal="center"/>
    </xf>
    <xf numFmtId="0" fontId="60" fillId="0" borderId="0" xfId="0" applyFont="1" applyFill="1" applyBorder="1" applyAlignment="1" applyProtection="1"/>
    <xf numFmtId="0" fontId="40" fillId="0" borderId="0" xfId="0" applyFont="1" applyProtection="1"/>
    <xf numFmtId="0" fontId="39" fillId="0" borderId="0" xfId="0" applyFont="1" applyProtection="1"/>
    <xf numFmtId="0" fontId="38" fillId="0" borderId="0" xfId="0" applyFont="1" applyBorder="1" applyProtection="1"/>
    <xf numFmtId="0" fontId="38" fillId="0" borderId="0" xfId="0" applyFont="1" applyBorder="1" applyAlignment="1" applyProtection="1"/>
    <xf numFmtId="0" fontId="33" fillId="0" borderId="0" xfId="0" applyFont="1" applyBorder="1" applyAlignment="1" applyProtection="1"/>
    <xf numFmtId="0" fontId="33" fillId="0" borderId="0" xfId="0" applyFont="1" applyBorder="1" applyProtection="1"/>
    <xf numFmtId="0" fontId="35" fillId="0" borderId="0" xfId="0" applyFont="1" applyProtection="1"/>
    <xf numFmtId="0" fontId="36" fillId="5" borderId="12" xfId="0" applyFont="1" applyFill="1" applyBorder="1" applyAlignment="1" applyProtection="1">
      <alignment horizontal="left" vertical="center"/>
    </xf>
    <xf numFmtId="2" fontId="36" fillId="5" borderId="1" xfId="0" applyNumberFormat="1" applyFont="1" applyFill="1" applyBorder="1" applyAlignment="1" applyProtection="1">
      <alignment horizontal="center"/>
    </xf>
    <xf numFmtId="9" fontId="36" fillId="5" borderId="1" xfId="4" applyNumberFormat="1" applyFont="1" applyFill="1" applyBorder="1" applyAlignment="1" applyProtection="1">
      <alignment horizontal="center" vertical="center"/>
    </xf>
    <xf numFmtId="43" fontId="36" fillId="5" borderId="1" xfId="1" applyFont="1" applyFill="1" applyBorder="1" applyAlignment="1" applyProtection="1">
      <alignment horizontal="center"/>
    </xf>
    <xf numFmtId="0" fontId="36" fillId="5" borderId="1" xfId="0" applyFont="1" applyFill="1" applyBorder="1" applyAlignment="1" applyProtection="1">
      <alignment horizontal="center"/>
    </xf>
    <xf numFmtId="0" fontId="48" fillId="0" borderId="0" xfId="0" applyFont="1" applyFill="1" applyAlignment="1" applyProtection="1"/>
    <xf numFmtId="0" fontId="48" fillId="0" borderId="0" xfId="0" applyFont="1" applyProtection="1"/>
    <xf numFmtId="0" fontId="33" fillId="0" borderId="3" xfId="0" applyFont="1" applyFill="1" applyBorder="1" applyProtection="1"/>
    <xf numFmtId="0" fontId="33" fillId="0" borderId="0" xfId="0" applyFont="1" applyFill="1" applyBorder="1" applyAlignment="1" applyProtection="1"/>
    <xf numFmtId="0" fontId="42" fillId="0" borderId="0" xfId="0" applyFont="1" applyProtection="1"/>
    <xf numFmtId="49" fontId="33" fillId="0" borderId="0" xfId="0" applyNumberFormat="1" applyFont="1" applyAlignment="1" applyProtection="1">
      <alignment horizontal="center"/>
    </xf>
    <xf numFmtId="0" fontId="40" fillId="0" borderId="0" xfId="0" applyFont="1" applyAlignment="1" applyProtection="1"/>
    <xf numFmtId="0" fontId="33" fillId="0" borderId="0" xfId="0" applyFont="1" applyFill="1" applyProtection="1"/>
    <xf numFmtId="0" fontId="32" fillId="0" borderId="0" xfId="0" applyFont="1" applyFill="1" applyBorder="1" applyProtection="1"/>
    <xf numFmtId="0" fontId="34" fillId="0" borderId="0" xfId="0" applyFont="1" applyFill="1" applyBorder="1" applyProtection="1"/>
    <xf numFmtId="0" fontId="33" fillId="0" borderId="0" xfId="0" applyFont="1" applyFill="1" applyBorder="1" applyProtection="1"/>
    <xf numFmtId="0" fontId="32" fillId="0" borderId="0" xfId="0" applyFont="1" applyBorder="1" applyProtection="1"/>
    <xf numFmtId="0" fontId="33" fillId="0" borderId="0" xfId="0" applyFont="1" applyFill="1" applyBorder="1" applyAlignment="1" applyProtection="1">
      <alignment horizontal="left"/>
    </xf>
    <xf numFmtId="0" fontId="33" fillId="0" borderId="0" xfId="0" applyNumberFormat="1" applyFont="1" applyFill="1" applyBorder="1" applyAlignment="1" applyProtection="1">
      <alignment horizontal="left"/>
    </xf>
    <xf numFmtId="0" fontId="32" fillId="0" borderId="0" xfId="0" applyFont="1" applyFill="1" applyBorder="1" applyAlignment="1" applyProtection="1"/>
    <xf numFmtId="0" fontId="36" fillId="0" borderId="0" xfId="0" applyFont="1" applyAlignment="1" applyProtection="1">
      <alignment horizontal="left" vertical="center"/>
    </xf>
    <xf numFmtId="0" fontId="43" fillId="0" borderId="0" xfId="0" applyFont="1" applyAlignment="1" applyProtection="1">
      <alignment vertical="center"/>
    </xf>
    <xf numFmtId="0" fontId="32" fillId="0" borderId="0" xfId="0" applyFont="1" applyAlignment="1" applyProtection="1">
      <alignment vertical="center"/>
    </xf>
    <xf numFmtId="9" fontId="33" fillId="0" borderId="0" xfId="0" applyNumberFormat="1" applyFont="1" applyProtection="1"/>
    <xf numFmtId="10" fontId="33" fillId="0" borderId="0" xfId="0" applyNumberFormat="1" applyFont="1" applyBorder="1" applyAlignment="1" applyProtection="1"/>
    <xf numFmtId="10" fontId="33" fillId="0" borderId="0" xfId="0" applyNumberFormat="1" applyFont="1" applyProtection="1"/>
    <xf numFmtId="9" fontId="33" fillId="0" borderId="0" xfId="0" applyNumberFormat="1" applyFont="1" applyFill="1" applyProtection="1"/>
    <xf numFmtId="10" fontId="33" fillId="0" borderId="0" xfId="0" applyNumberFormat="1" applyFont="1" applyFill="1" applyBorder="1" applyAlignment="1" applyProtection="1">
      <alignment horizontal="left"/>
    </xf>
    <xf numFmtId="0" fontId="54" fillId="0" borderId="0" xfId="0" applyFont="1" applyAlignment="1" applyProtection="1">
      <alignment horizontal="center"/>
    </xf>
    <xf numFmtId="0" fontId="7" fillId="0" borderId="0" xfId="0" applyFont="1" applyProtection="1"/>
    <xf numFmtId="49" fontId="8" fillId="0" borderId="0" xfId="0" applyNumberFormat="1" applyFont="1" applyFill="1" applyAlignment="1" applyProtection="1">
      <alignment horizontal="right" vertical="top"/>
    </xf>
    <xf numFmtId="49" fontId="8" fillId="0" borderId="0" xfId="0" applyNumberFormat="1" applyFont="1" applyFill="1" applyAlignment="1" applyProtection="1">
      <alignment horizontal="right"/>
    </xf>
    <xf numFmtId="0" fontId="8" fillId="0" borderId="0" xfId="0" applyFont="1" applyFill="1" applyAlignment="1" applyProtection="1">
      <alignment vertical="top" wrapText="1"/>
    </xf>
    <xf numFmtId="0" fontId="29" fillId="0" borderId="0" xfId="0" applyFont="1" applyProtection="1"/>
    <xf numFmtId="49" fontId="8" fillId="0" borderId="0" xfId="0" applyNumberFormat="1" applyFont="1" applyAlignment="1" applyProtection="1">
      <alignment horizontal="right" vertical="top"/>
    </xf>
    <xf numFmtId="49" fontId="8" fillId="0" borderId="0" xfId="0" applyNumberFormat="1" applyFont="1" applyAlignment="1" applyProtection="1">
      <alignment horizontal="right"/>
    </xf>
    <xf numFmtId="0" fontId="8" fillId="0" borderId="0" xfId="0" applyFont="1" applyAlignment="1" applyProtection="1">
      <alignment vertical="top" wrapText="1"/>
    </xf>
    <xf numFmtId="0" fontId="10" fillId="0" borderId="0" xfId="0" applyFont="1" applyProtection="1"/>
    <xf numFmtId="0" fontId="8" fillId="0" borderId="0" xfId="0" applyFont="1" applyFill="1" applyProtection="1"/>
    <xf numFmtId="0" fontId="29" fillId="0" borderId="0" xfId="0" applyFont="1" applyFill="1" applyProtection="1"/>
    <xf numFmtId="0" fontId="8" fillId="0" borderId="0" xfId="0" applyFont="1" applyBorder="1" applyProtection="1"/>
    <xf numFmtId="0" fontId="0" fillId="0" borderId="23" xfId="0" applyBorder="1" applyProtection="1"/>
    <xf numFmtId="0" fontId="63" fillId="0" borderId="0" xfId="0" applyFont="1" applyAlignment="1" applyProtection="1"/>
    <xf numFmtId="0" fontId="64" fillId="0" borderId="0" xfId="0" applyFont="1" applyProtection="1"/>
    <xf numFmtId="44" fontId="0" fillId="4" borderId="1" xfId="2" applyFont="1" applyFill="1" applyBorder="1" applyProtection="1">
      <protection locked="0"/>
    </xf>
    <xf numFmtId="2" fontId="0" fillId="4" borderId="1" xfId="0" applyNumberFormat="1" applyFill="1" applyBorder="1" applyProtection="1">
      <protection locked="0"/>
    </xf>
    <xf numFmtId="0" fontId="33" fillId="0" borderId="0" xfId="0" applyFont="1" applyAlignment="1" applyProtection="1">
      <alignment wrapText="1"/>
    </xf>
    <xf numFmtId="20" fontId="57" fillId="8" borderId="3" xfId="0" applyNumberFormat="1" applyFont="1" applyFill="1" applyBorder="1" applyAlignment="1" applyProtection="1">
      <alignment horizontal="center"/>
      <protection locked="0"/>
    </xf>
    <xf numFmtId="0" fontId="33" fillId="0" borderId="3" xfId="0" applyFont="1" applyFill="1" applyBorder="1" applyAlignment="1" applyProtection="1">
      <alignment vertical="center"/>
    </xf>
    <xf numFmtId="0" fontId="22" fillId="0" borderId="0" xfId="0" applyFont="1" applyFill="1" applyBorder="1" applyProtection="1"/>
    <xf numFmtId="0" fontId="0" fillId="0" borderId="0" xfId="0" applyFill="1" applyBorder="1" applyProtection="1"/>
    <xf numFmtId="0" fontId="36" fillId="5" borderId="8" xfId="0" applyFont="1" applyFill="1" applyBorder="1" applyAlignment="1" applyProtection="1">
      <alignment horizontal="left" vertical="center"/>
    </xf>
    <xf numFmtId="2" fontId="36" fillId="5" borderId="6" xfId="0" applyNumberFormat="1" applyFont="1" applyFill="1" applyBorder="1" applyAlignment="1" applyProtection="1">
      <alignment horizontal="center"/>
    </xf>
    <xf numFmtId="2" fontId="36" fillId="5" borderId="8" xfId="0" applyNumberFormat="1" applyFont="1" applyFill="1" applyBorder="1" applyAlignment="1" applyProtection="1">
      <alignment horizontal="center"/>
    </xf>
    <xf numFmtId="2" fontId="36" fillId="5" borderId="2" xfId="0" applyNumberFormat="1" applyFont="1" applyFill="1" applyBorder="1" applyAlignment="1" applyProtection="1">
      <alignment horizontal="center"/>
    </xf>
    <xf numFmtId="0" fontId="36" fillId="5" borderId="2" xfId="0" applyFont="1" applyFill="1" applyBorder="1" applyAlignment="1" applyProtection="1">
      <alignment horizontal="center"/>
    </xf>
    <xf numFmtId="0" fontId="48" fillId="5" borderId="9" xfId="0" applyFont="1" applyFill="1" applyBorder="1" applyAlignment="1" applyProtection="1">
      <alignment horizontal="center" vertical="center"/>
    </xf>
    <xf numFmtId="0" fontId="48" fillId="5" borderId="4" xfId="0" applyFont="1" applyFill="1" applyBorder="1" applyAlignment="1" applyProtection="1">
      <alignment horizontal="center" vertical="center"/>
    </xf>
    <xf numFmtId="0" fontId="48" fillId="5" borderId="5" xfId="0" applyFont="1" applyFill="1" applyBorder="1" applyAlignment="1" applyProtection="1">
      <alignment horizontal="center" vertical="center"/>
    </xf>
    <xf numFmtId="0" fontId="69" fillId="0" borderId="1" xfId="0" applyFont="1" applyFill="1" applyBorder="1" applyAlignment="1" applyProtection="1">
      <alignment horizontal="center" vertical="center" wrapText="1"/>
    </xf>
    <xf numFmtId="43" fontId="36" fillId="5" borderId="1" xfId="1" applyNumberFormat="1" applyFont="1" applyFill="1" applyBorder="1" applyAlignment="1" applyProtection="1">
      <alignment horizontal="center"/>
    </xf>
    <xf numFmtId="0" fontId="57" fillId="0" borderId="1" xfId="0" applyFont="1" applyFill="1" applyBorder="1" applyProtection="1"/>
    <xf numFmtId="0" fontId="57" fillId="0" borderId="0" xfId="0" applyFont="1" applyAlignment="1" applyProtection="1">
      <alignment vertical="center"/>
    </xf>
    <xf numFmtId="0" fontId="14" fillId="0" borderId="0" xfId="0" applyFont="1" applyFill="1" applyBorder="1" applyAlignment="1" applyProtection="1"/>
    <xf numFmtId="0" fontId="22" fillId="0" borderId="9" xfId="0" applyFont="1" applyBorder="1" applyProtection="1"/>
    <xf numFmtId="0" fontId="0" fillId="0" borderId="4" xfId="0" applyBorder="1" applyProtection="1"/>
    <xf numFmtId="0" fontId="0" fillId="0" borderId="5" xfId="0" applyBorder="1" applyProtection="1"/>
    <xf numFmtId="0" fontId="0" fillId="0" borderId="14" xfId="0" applyBorder="1" applyProtection="1"/>
    <xf numFmtId="0" fontId="0" fillId="0" borderId="0" xfId="0" applyBorder="1" applyProtection="1"/>
    <xf numFmtId="0" fontId="4" fillId="0" borderId="14" xfId="0" applyFont="1" applyBorder="1" applyProtection="1"/>
    <xf numFmtId="0" fontId="12" fillId="0" borderId="0" xfId="0" applyFont="1" applyBorder="1" applyProtection="1"/>
    <xf numFmtId="44" fontId="0" fillId="0" borderId="0" xfId="2" applyFont="1" applyBorder="1" applyProtection="1"/>
    <xf numFmtId="0" fontId="12" fillId="0" borderId="23" xfId="0" applyFont="1" applyBorder="1" applyProtection="1"/>
    <xf numFmtId="10" fontId="0" fillId="0" borderId="0" xfId="2" applyNumberFormat="1" applyFont="1" applyBorder="1" applyProtection="1"/>
    <xf numFmtId="10" fontId="0" fillId="0" borderId="0" xfId="0" applyNumberFormat="1" applyBorder="1" applyProtection="1"/>
    <xf numFmtId="44" fontId="0" fillId="0" borderId="0" xfId="0" applyNumberFormat="1" applyBorder="1" applyProtection="1"/>
    <xf numFmtId="0" fontId="22" fillId="0" borderId="14" xfId="0" applyFont="1" applyBorder="1" applyProtection="1"/>
    <xf numFmtId="44" fontId="22" fillId="0" borderId="24" xfId="0" applyNumberFormat="1" applyFont="1" applyBorder="1" applyProtection="1"/>
    <xf numFmtId="0" fontId="31" fillId="0" borderId="23" xfId="0" applyFont="1" applyBorder="1" applyProtection="1"/>
    <xf numFmtId="0" fontId="0" fillId="0" borderId="7" xfId="0" applyBorder="1" applyProtection="1"/>
    <xf numFmtId="44" fontId="73" fillId="0" borderId="7" xfId="0" applyNumberFormat="1" applyFont="1" applyBorder="1" applyProtection="1"/>
    <xf numFmtId="0" fontId="4" fillId="0" borderId="8" xfId="0" applyFont="1" applyBorder="1" applyProtection="1"/>
    <xf numFmtId="0" fontId="33" fillId="0" borderId="0" xfId="0" applyFont="1" applyFill="1" applyAlignment="1" applyProtection="1">
      <alignment horizontal="center"/>
    </xf>
    <xf numFmtId="0" fontId="58" fillId="0" borderId="0" xfId="0" applyFont="1" applyFill="1" applyAlignment="1" applyProtection="1">
      <alignment horizontal="left"/>
    </xf>
    <xf numFmtId="0" fontId="10" fillId="0" borderId="0" xfId="0" applyFont="1" applyFill="1" applyBorder="1" applyProtection="1"/>
    <xf numFmtId="0" fontId="13" fillId="0" borderId="0" xfId="0" applyFont="1" applyFill="1" applyBorder="1" applyProtection="1"/>
    <xf numFmtId="0" fontId="49" fillId="0" borderId="0" xfId="0" applyFont="1" applyFill="1" applyAlignment="1" applyProtection="1"/>
    <xf numFmtId="0" fontId="17" fillId="0" borderId="0" xfId="0" applyFont="1" applyFill="1" applyBorder="1" applyAlignment="1" applyProtection="1">
      <alignment horizontal="center"/>
    </xf>
    <xf numFmtId="0" fontId="17" fillId="0" borderId="0" xfId="0" applyFont="1" applyFill="1" applyBorder="1" applyProtection="1"/>
    <xf numFmtId="0" fontId="17" fillId="0" borderId="0" xfId="0" applyFont="1" applyFill="1" applyAlignment="1" applyProtection="1">
      <alignment horizontal="center"/>
    </xf>
    <xf numFmtId="0" fontId="17" fillId="0" borderId="0" xfId="0" applyFont="1" applyProtection="1"/>
    <xf numFmtId="0" fontId="51" fillId="0" borderId="0" xfId="0" applyFont="1" applyFill="1" applyAlignment="1" applyProtection="1">
      <alignment horizontal="left"/>
    </xf>
    <xf numFmtId="0" fontId="51" fillId="0" borderId="0" xfId="0" applyFont="1" applyFill="1" applyProtection="1"/>
    <xf numFmtId="0" fontId="51" fillId="0" borderId="0" xfId="0" applyFont="1" applyFill="1" applyAlignment="1" applyProtection="1">
      <alignment horizontal="center"/>
    </xf>
    <xf numFmtId="0" fontId="0" fillId="0" borderId="0" xfId="0" applyFill="1" applyAlignment="1" applyProtection="1">
      <alignment horizontal="center"/>
    </xf>
    <xf numFmtId="0" fontId="24" fillId="0" borderId="0" xfId="0" applyFont="1" applyFill="1" applyBorder="1" applyProtection="1"/>
    <xf numFmtId="0" fontId="11" fillId="0" borderId="9" xfId="0" applyFont="1" applyBorder="1" applyAlignment="1" applyProtection="1">
      <alignment vertical="center"/>
    </xf>
    <xf numFmtId="0" fontId="11" fillId="0" borderId="4" xfId="0" applyFont="1" applyBorder="1" applyAlignment="1" applyProtection="1">
      <alignment vertical="center"/>
    </xf>
    <xf numFmtId="0" fontId="11" fillId="0" borderId="5" xfId="0" applyFont="1" applyBorder="1" applyAlignment="1" applyProtection="1">
      <alignment vertical="center"/>
    </xf>
    <xf numFmtId="0" fontId="10" fillId="5" borderId="4" xfId="0" applyFont="1" applyFill="1" applyBorder="1" applyProtection="1"/>
    <xf numFmtId="0" fontId="10" fillId="5" borderId="5" xfId="0" applyFont="1" applyFill="1" applyBorder="1" applyProtection="1"/>
    <xf numFmtId="0" fontId="11" fillId="0" borderId="0" xfId="0" applyFont="1" applyFill="1" applyBorder="1" applyAlignment="1" applyProtection="1"/>
    <xf numFmtId="0" fontId="11" fillId="0" borderId="6" xfId="0" applyFont="1" applyBorder="1" applyAlignment="1" applyProtection="1">
      <alignment vertical="center"/>
    </xf>
    <xf numFmtId="0" fontId="11" fillId="0" borderId="7" xfId="0" applyFont="1" applyBorder="1" applyAlignment="1" applyProtection="1">
      <alignment vertical="center"/>
    </xf>
    <xf numFmtId="0" fontId="11" fillId="0" borderId="8" xfId="0" applyFont="1" applyBorder="1" applyAlignment="1" applyProtection="1">
      <alignment vertical="center"/>
    </xf>
    <xf numFmtId="0" fontId="19" fillId="5" borderId="0" xfId="0" applyFont="1" applyFill="1" applyBorder="1" applyAlignment="1" applyProtection="1">
      <alignment horizontal="center"/>
    </xf>
    <xf numFmtId="0" fontId="19" fillId="5" borderId="0" xfId="0" applyFont="1" applyFill="1" applyBorder="1" applyAlignment="1" applyProtection="1">
      <alignment horizontal="center" wrapText="1"/>
    </xf>
    <xf numFmtId="0" fontId="19" fillId="5" borderId="23" xfId="0" applyFont="1" applyFill="1" applyBorder="1" applyAlignment="1" applyProtection="1">
      <alignment horizontal="center"/>
    </xf>
    <xf numFmtId="0" fontId="10" fillId="0" borderId="0" xfId="0" applyFont="1" applyFill="1" applyBorder="1" applyAlignment="1" applyProtection="1"/>
    <xf numFmtId="1" fontId="14" fillId="0" borderId="1" xfId="0" applyNumberFormat="1" applyFont="1" applyBorder="1" applyAlignment="1" applyProtection="1">
      <alignment horizontal="center"/>
    </xf>
    <xf numFmtId="0" fontId="33" fillId="0" borderId="9" xfId="0" applyFont="1" applyFill="1" applyBorder="1" applyAlignment="1" applyProtection="1"/>
    <xf numFmtId="0" fontId="33" fillId="0" borderId="4" xfId="0" applyFont="1" applyFill="1" applyBorder="1" applyAlignment="1" applyProtection="1"/>
    <xf numFmtId="0" fontId="33" fillId="0" borderId="5" xfId="0" applyFont="1" applyFill="1" applyBorder="1" applyAlignment="1" applyProtection="1"/>
    <xf numFmtId="10" fontId="14" fillId="5" borderId="0" xfId="0" applyNumberFormat="1" applyFont="1" applyFill="1" applyBorder="1" applyAlignment="1" applyProtection="1">
      <alignment horizontal="center"/>
    </xf>
    <xf numFmtId="10" fontId="14" fillId="5" borderId="23" xfId="0" applyNumberFormat="1" applyFont="1" applyFill="1" applyBorder="1" applyAlignment="1" applyProtection="1">
      <alignment horizontal="center"/>
    </xf>
    <xf numFmtId="0" fontId="26" fillId="0" borderId="0" xfId="0" applyFont="1" applyProtection="1"/>
    <xf numFmtId="0" fontId="20" fillId="0" borderId="0" xfId="0" applyFont="1" applyProtection="1"/>
    <xf numFmtId="0" fontId="33" fillId="0" borderId="6" xfId="0" applyFont="1" applyBorder="1" applyAlignment="1" applyProtection="1"/>
    <xf numFmtId="0" fontId="33" fillId="0" borderId="7" xfId="0" applyFont="1" applyBorder="1" applyAlignment="1" applyProtection="1"/>
    <xf numFmtId="0" fontId="33" fillId="0" borderId="8" xfId="0" applyFont="1" applyBorder="1" applyAlignment="1" applyProtection="1"/>
    <xf numFmtId="10" fontId="14" fillId="5" borderId="7" xfId="0" applyNumberFormat="1" applyFont="1" applyFill="1" applyBorder="1" applyAlignment="1" applyProtection="1">
      <alignment horizontal="center"/>
    </xf>
    <xf numFmtId="10" fontId="14" fillId="5" borderId="8" xfId="0" applyNumberFormat="1" applyFont="1" applyFill="1" applyBorder="1" applyAlignment="1" applyProtection="1">
      <alignment horizontal="center"/>
    </xf>
    <xf numFmtId="10" fontId="14" fillId="0" borderId="0" xfId="4" applyNumberFormat="1" applyFont="1" applyFill="1" applyBorder="1" applyProtection="1"/>
    <xf numFmtId="165" fontId="14" fillId="0" borderId="0" xfId="0" applyNumberFormat="1" applyFont="1" applyFill="1" applyBorder="1" applyProtection="1"/>
    <xf numFmtId="0" fontId="10" fillId="0" borderId="0" xfId="0" applyFont="1" applyAlignment="1" applyProtection="1">
      <alignment horizontal="center"/>
    </xf>
    <xf numFmtId="44" fontId="14" fillId="0" borderId="0" xfId="0" applyNumberFormat="1" applyFont="1" applyFill="1" applyBorder="1" applyProtection="1"/>
    <xf numFmtId="0" fontId="24" fillId="0" borderId="4" xfId="0" applyFont="1" applyBorder="1" applyAlignment="1" applyProtection="1">
      <alignment vertical="center"/>
    </xf>
    <xf numFmtId="0" fontId="24" fillId="0" borderId="5" xfId="0" applyFont="1" applyBorder="1" applyAlignment="1" applyProtection="1">
      <alignment vertical="center"/>
    </xf>
    <xf numFmtId="0" fontId="19" fillId="5" borderId="9" xfId="0" applyFont="1" applyFill="1" applyBorder="1" applyAlignment="1" applyProtection="1">
      <alignment horizontal="center"/>
    </xf>
    <xf numFmtId="0" fontId="19" fillId="5" borderId="5" xfId="0" applyFont="1" applyFill="1" applyBorder="1" applyAlignment="1" applyProtection="1">
      <alignment horizontal="center"/>
    </xf>
    <xf numFmtId="167" fontId="14" fillId="0" borderId="0" xfId="1" applyNumberFormat="1" applyFont="1" applyFill="1" applyBorder="1" applyProtection="1"/>
    <xf numFmtId="0" fontId="24" fillId="0" borderId="6" xfId="0" applyFont="1" applyBorder="1" applyAlignment="1" applyProtection="1">
      <alignment vertical="center"/>
    </xf>
    <xf numFmtId="0" fontId="24" fillId="0" borderId="7" xfId="0" applyFont="1" applyBorder="1" applyAlignment="1" applyProtection="1">
      <alignment vertical="center"/>
    </xf>
    <xf numFmtId="0" fontId="24" fillId="0" borderId="8" xfId="0" applyFont="1" applyBorder="1" applyAlignment="1" applyProtection="1">
      <alignment vertical="center"/>
    </xf>
    <xf numFmtId="0" fontId="19" fillId="5" borderId="14" xfId="0" applyFont="1" applyFill="1" applyBorder="1" applyAlignment="1" applyProtection="1">
      <alignment horizontal="center"/>
    </xf>
    <xf numFmtId="1" fontId="8" fillId="0" borderId="1" xfId="0" applyNumberFormat="1" applyFont="1" applyBorder="1" applyAlignment="1" applyProtection="1">
      <alignment horizontal="center"/>
    </xf>
    <xf numFmtId="167" fontId="14" fillId="0" borderId="11" xfId="1" applyNumberFormat="1" applyFont="1" applyFill="1" applyBorder="1" applyAlignment="1" applyProtection="1"/>
    <xf numFmtId="167" fontId="14" fillId="0" borderId="12" xfId="1" applyNumberFormat="1" applyFont="1" applyFill="1" applyBorder="1" applyAlignment="1" applyProtection="1"/>
    <xf numFmtId="38" fontId="14" fillId="5" borderId="14" xfId="0" applyNumberFormat="1" applyFont="1" applyFill="1" applyBorder="1" applyProtection="1"/>
    <xf numFmtId="38" fontId="14" fillId="5" borderId="23" xfId="0" applyNumberFormat="1" applyFont="1" applyFill="1" applyBorder="1" applyProtection="1"/>
    <xf numFmtId="0" fontId="10" fillId="0" borderId="10" xfId="0" applyFont="1" applyBorder="1" applyAlignment="1" applyProtection="1"/>
    <xf numFmtId="10" fontId="14" fillId="0" borderId="1" xfId="4" applyNumberFormat="1" applyFont="1" applyFill="1" applyBorder="1" applyProtection="1"/>
    <xf numFmtId="2" fontId="0" fillId="4" borderId="3" xfId="0" applyNumberFormat="1" applyFill="1" applyBorder="1" applyProtection="1">
      <protection locked="0"/>
    </xf>
    <xf numFmtId="44" fontId="0" fillId="0" borderId="12" xfId="2" applyFont="1" applyBorder="1" applyProtection="1"/>
    <xf numFmtId="0" fontId="17" fillId="0" borderId="12" xfId="0" applyFont="1" applyBorder="1" applyAlignment="1" applyProtection="1">
      <alignment vertical="center"/>
    </xf>
    <xf numFmtId="0" fontId="8" fillId="0" borderId="0" xfId="0" applyFont="1" applyFill="1" applyBorder="1" applyAlignment="1" applyProtection="1">
      <alignment vertical="center"/>
    </xf>
    <xf numFmtId="43" fontId="33" fillId="0" borderId="0" xfId="0" applyNumberFormat="1" applyFont="1" applyFill="1" applyBorder="1" applyAlignment="1" applyProtection="1">
      <alignment vertical="center"/>
    </xf>
    <xf numFmtId="0" fontId="33" fillId="0" borderId="0" xfId="0" applyFont="1" applyBorder="1" applyAlignment="1" applyProtection="1">
      <alignment vertical="center"/>
    </xf>
    <xf numFmtId="43" fontId="16" fillId="5" borderId="25" xfId="1" applyFont="1" applyFill="1" applyBorder="1" applyAlignment="1" applyProtection="1">
      <alignment horizontal="right" vertical="center"/>
    </xf>
    <xf numFmtId="43" fontId="16" fillId="5" borderId="25" xfId="1" applyFont="1" applyFill="1" applyBorder="1" applyAlignment="1" applyProtection="1">
      <alignment vertical="center"/>
    </xf>
    <xf numFmtId="44" fontId="16" fillId="5" borderId="25" xfId="2" applyNumberFormat="1" applyFont="1" applyFill="1" applyBorder="1" applyAlignment="1" applyProtection="1">
      <alignment vertical="center"/>
    </xf>
    <xf numFmtId="0" fontId="10" fillId="0" borderId="0" xfId="0" applyFont="1" applyAlignment="1" applyProtection="1">
      <alignment vertical="center"/>
    </xf>
    <xf numFmtId="43" fontId="50" fillId="5" borderId="31" xfId="1" applyFont="1" applyFill="1" applyBorder="1" applyAlignment="1" applyProtection="1">
      <alignment vertical="center"/>
    </xf>
    <xf numFmtId="44" fontId="50" fillId="5" borderId="31" xfId="2" applyNumberFormat="1" applyFont="1" applyFill="1" applyBorder="1" applyAlignment="1" applyProtection="1">
      <alignment vertical="center"/>
    </xf>
    <xf numFmtId="0" fontId="22" fillId="0" borderId="0" xfId="0" applyFont="1" applyBorder="1" applyAlignment="1" applyProtection="1">
      <alignment vertical="center"/>
    </xf>
    <xf numFmtId="0" fontId="4" fillId="0" borderId="0" xfId="0" applyFont="1" applyFill="1" applyBorder="1" applyAlignment="1" applyProtection="1">
      <alignment horizontal="left" vertical="center" wrapText="1"/>
    </xf>
    <xf numFmtId="0" fontId="22" fillId="0" borderId="0" xfId="0" applyFont="1" applyFill="1" applyBorder="1" applyAlignment="1" applyProtection="1">
      <alignment vertical="center"/>
    </xf>
    <xf numFmtId="0" fontId="0" fillId="0" borderId="0" xfId="0" applyFill="1" applyBorder="1" applyProtection="1">
      <protection locked="0"/>
    </xf>
    <xf numFmtId="0" fontId="63" fillId="0" borderId="14" xfId="0" applyFont="1" applyBorder="1" applyProtection="1"/>
    <xf numFmtId="0" fontId="63" fillId="0" borderId="0" xfId="0" applyFont="1" applyBorder="1" applyProtection="1"/>
    <xf numFmtId="0" fontId="74" fillId="0" borderId="0" xfId="0" applyFont="1" applyProtection="1"/>
    <xf numFmtId="0" fontId="44" fillId="0" borderId="0" xfId="0" applyFont="1" applyAlignment="1" applyProtection="1">
      <alignment vertical="center"/>
    </xf>
    <xf numFmtId="0" fontId="32" fillId="0" borderId="0" xfId="0" quotePrefix="1" applyFont="1" applyFill="1" applyBorder="1" applyAlignment="1" applyProtection="1"/>
    <xf numFmtId="0" fontId="75" fillId="0" borderId="0" xfId="0" applyFont="1" applyFill="1" applyBorder="1" applyAlignment="1" applyProtection="1">
      <alignment horizontal="left"/>
    </xf>
    <xf numFmtId="0" fontId="75" fillId="0" borderId="0" xfId="0" quotePrefix="1" applyFont="1" applyFill="1" applyBorder="1" applyAlignment="1" applyProtection="1">
      <alignment horizontal="left"/>
    </xf>
    <xf numFmtId="0" fontId="76" fillId="0" borderId="0" xfId="0" applyFont="1" applyAlignment="1" applyProtection="1">
      <alignment horizontal="center"/>
    </xf>
    <xf numFmtId="0" fontId="76" fillId="0" borderId="0" xfId="0" applyFont="1" applyProtection="1"/>
    <xf numFmtId="0" fontId="33" fillId="0" borderId="0" xfId="0" applyFont="1" applyFill="1" applyAlignment="1" applyProtection="1">
      <alignment wrapText="1"/>
    </xf>
    <xf numFmtId="1" fontId="33" fillId="0" borderId="1" xfId="0" applyNumberFormat="1" applyFont="1" applyFill="1" applyBorder="1" applyAlignment="1" applyProtection="1">
      <alignment horizontal="center" vertical="center"/>
    </xf>
    <xf numFmtId="0" fontId="72" fillId="0" borderId="0" xfId="0" applyFont="1" applyFill="1" applyBorder="1" applyAlignment="1" applyProtection="1">
      <alignment horizontal="center"/>
    </xf>
    <xf numFmtId="44" fontId="33" fillId="5" borderId="9" xfId="2" applyFont="1" applyFill="1" applyBorder="1" applyAlignment="1" applyProtection="1">
      <alignment horizontal="center" vertical="center"/>
    </xf>
    <xf numFmtId="44" fontId="33" fillId="5" borderId="14" xfId="2" applyFont="1" applyFill="1" applyBorder="1" applyAlignment="1" applyProtection="1">
      <alignment horizontal="center" vertical="center"/>
    </xf>
    <xf numFmtId="43" fontId="33" fillId="0" borderId="2" xfId="1" applyFont="1" applyFill="1" applyBorder="1" applyAlignment="1" applyProtection="1">
      <alignment horizontal="center" vertical="center"/>
    </xf>
    <xf numFmtId="167" fontId="33" fillId="0" borderId="2" xfId="1" applyNumberFormat="1" applyFont="1" applyFill="1" applyBorder="1" applyAlignment="1" applyProtection="1">
      <alignment horizontal="center" vertical="center"/>
    </xf>
    <xf numFmtId="43" fontId="36" fillId="9" borderId="1" xfId="1" applyNumberFormat="1" applyFont="1" applyFill="1" applyBorder="1" applyAlignment="1" applyProtection="1">
      <alignment horizontal="center" vertical="center"/>
    </xf>
    <xf numFmtId="2" fontId="36" fillId="5" borderId="1" xfId="0" applyNumberFormat="1" applyFont="1" applyFill="1" applyBorder="1" applyAlignment="1" applyProtection="1">
      <alignment horizontal="center" vertical="center"/>
    </xf>
    <xf numFmtId="0" fontId="32" fillId="0" borderId="0" xfId="0" applyFont="1" applyFill="1" applyProtection="1"/>
    <xf numFmtId="0" fontId="32" fillId="0" borderId="0" xfId="0" applyFont="1" applyProtection="1"/>
    <xf numFmtId="0" fontId="32" fillId="5" borderId="15" xfId="0" applyFont="1" applyFill="1" applyBorder="1" applyAlignment="1" applyProtection="1">
      <alignment horizontal="center"/>
    </xf>
    <xf numFmtId="43" fontId="36" fillId="9" borderId="1" xfId="1" applyNumberFormat="1" applyFont="1" applyFill="1" applyBorder="1" applyAlignment="1" applyProtection="1">
      <alignment horizontal="center"/>
    </xf>
    <xf numFmtId="44" fontId="33" fillId="3" borderId="2" xfId="0" applyNumberFormat="1" applyFont="1" applyFill="1" applyBorder="1" applyAlignment="1" applyProtection="1">
      <alignment horizontal="center" vertical="center"/>
    </xf>
    <xf numFmtId="44" fontId="33" fillId="3" borderId="34" xfId="1" applyNumberFormat="1" applyFont="1" applyFill="1" applyBorder="1" applyAlignment="1" applyProtection="1">
      <alignment horizontal="center" vertical="center"/>
    </xf>
    <xf numFmtId="0" fontId="22" fillId="0" borderId="0" xfId="0" applyFont="1" applyFill="1" applyProtection="1"/>
    <xf numFmtId="0" fontId="12" fillId="0" borderId="0" xfId="0" applyFont="1" applyProtection="1"/>
    <xf numFmtId="44" fontId="33" fillId="5" borderId="14" xfId="2" applyNumberFormat="1" applyFont="1" applyFill="1" applyBorder="1" applyAlignment="1" applyProtection="1">
      <alignment horizontal="center" vertical="center"/>
    </xf>
    <xf numFmtId="44" fontId="33" fillId="5" borderId="2" xfId="0" applyNumberFormat="1" applyFont="1" applyFill="1" applyBorder="1" applyAlignment="1" applyProtection="1">
      <alignment horizontal="center" vertical="center"/>
    </xf>
    <xf numFmtId="44" fontId="33" fillId="5" borderId="34" xfId="1" applyNumberFormat="1" applyFont="1" applyFill="1" applyBorder="1" applyAlignment="1" applyProtection="1">
      <alignment horizontal="center" vertical="center"/>
    </xf>
    <xf numFmtId="0" fontId="22" fillId="0" borderId="0" xfId="0" applyFont="1" applyAlignment="1" applyProtection="1">
      <alignment vertical="center"/>
    </xf>
    <xf numFmtId="169" fontId="0" fillId="9" borderId="15" xfId="0" applyNumberFormat="1" applyFill="1" applyBorder="1" applyProtection="1"/>
    <xf numFmtId="0" fontId="11" fillId="3" borderId="8" xfId="0" applyFont="1" applyFill="1" applyBorder="1" applyAlignment="1" applyProtection="1">
      <alignment horizontal="left"/>
    </xf>
    <xf numFmtId="165" fontId="10" fillId="0" borderId="0" xfId="2" applyNumberFormat="1" applyFont="1" applyFill="1" applyBorder="1" applyProtection="1"/>
    <xf numFmtId="166" fontId="10" fillId="0" borderId="0" xfId="4" applyNumberFormat="1" applyFont="1" applyFill="1" applyBorder="1" applyProtection="1"/>
    <xf numFmtId="44" fontId="14" fillId="5" borderId="1" xfId="2" applyNumberFormat="1" applyFont="1" applyFill="1" applyBorder="1" applyProtection="1"/>
    <xf numFmtId="44" fontId="19" fillId="5" borderId="1" xfId="2" applyNumberFormat="1" applyFont="1" applyFill="1" applyBorder="1" applyProtection="1"/>
    <xf numFmtId="44" fontId="26" fillId="5" borderId="1" xfId="2" applyNumberFormat="1" applyFont="1" applyFill="1" applyBorder="1" applyProtection="1"/>
    <xf numFmtId="44" fontId="14" fillId="4" borderId="1" xfId="2" applyNumberFormat="1" applyFont="1" applyFill="1" applyBorder="1" applyProtection="1">
      <protection locked="0"/>
    </xf>
    <xf numFmtId="44" fontId="14" fillId="0" borderId="1" xfId="2" applyNumberFormat="1" applyFont="1" applyFill="1" applyBorder="1" applyProtection="1"/>
    <xf numFmtId="44" fontId="10" fillId="5" borderId="1" xfId="2" applyNumberFormat="1" applyFont="1" applyFill="1" applyBorder="1" applyProtection="1"/>
    <xf numFmtId="44" fontId="14" fillId="4" borderId="1" xfId="1" applyNumberFormat="1" applyFont="1" applyFill="1" applyBorder="1" applyProtection="1">
      <protection locked="0"/>
    </xf>
    <xf numFmtId="44" fontId="14" fillId="0" borderId="1" xfId="1" applyNumberFormat="1" applyFont="1" applyFill="1" applyBorder="1" applyProtection="1"/>
    <xf numFmtId="44" fontId="11" fillId="3" borderId="3" xfId="2" applyNumberFormat="1" applyFont="1" applyFill="1" applyBorder="1" applyProtection="1"/>
    <xf numFmtId="44" fontId="14" fillId="4" borderId="1" xfId="1" applyNumberFormat="1" applyFont="1" applyFill="1" applyBorder="1" applyAlignment="1" applyProtection="1">
      <alignment vertical="center"/>
      <protection locked="0"/>
    </xf>
    <xf numFmtId="44" fontId="14" fillId="0" borderId="1" xfId="1" applyNumberFormat="1" applyFont="1" applyFill="1" applyBorder="1" applyAlignment="1" applyProtection="1">
      <alignment vertical="center"/>
    </xf>
    <xf numFmtId="44" fontId="11" fillId="3" borderId="1" xfId="2" applyNumberFormat="1" applyFont="1" applyFill="1" applyBorder="1" applyProtection="1"/>
    <xf numFmtId="10" fontId="0" fillId="4" borderId="1" xfId="4" applyNumberFormat="1" applyFont="1" applyFill="1" applyBorder="1" applyProtection="1">
      <protection locked="0"/>
    </xf>
    <xf numFmtId="44" fontId="14" fillId="5" borderId="0" xfId="0" applyNumberFormat="1" applyFont="1" applyFill="1" applyBorder="1" applyAlignment="1" applyProtection="1">
      <alignment vertical="center"/>
    </xf>
    <xf numFmtId="44" fontId="14" fillId="5" borderId="23" xfId="0" applyNumberFormat="1" applyFont="1" applyFill="1" applyBorder="1" applyAlignment="1" applyProtection="1">
      <alignment vertical="center"/>
    </xf>
    <xf numFmtId="44" fontId="14" fillId="5" borderId="7" xfId="0" applyNumberFormat="1" applyFont="1" applyFill="1" applyBorder="1" applyAlignment="1" applyProtection="1">
      <alignment vertical="center"/>
    </xf>
    <xf numFmtId="44" fontId="14" fillId="5" borderId="8" xfId="1" applyNumberFormat="1" applyFont="1" applyFill="1" applyBorder="1" applyAlignment="1" applyProtection="1">
      <alignment vertical="center"/>
    </xf>
    <xf numFmtId="44" fontId="14" fillId="3" borderId="0" xfId="0" applyNumberFormat="1" applyFont="1" applyFill="1" applyBorder="1" applyAlignment="1" applyProtection="1">
      <alignment vertical="center"/>
    </xf>
    <xf numFmtId="44" fontId="14" fillId="3" borderId="23" xfId="0" applyNumberFormat="1" applyFont="1" applyFill="1" applyBorder="1" applyAlignment="1" applyProtection="1">
      <alignment vertical="center"/>
    </xf>
    <xf numFmtId="44" fontId="14" fillId="3" borderId="7" xfId="0" applyNumberFormat="1" applyFont="1" applyFill="1" applyBorder="1" applyAlignment="1" applyProtection="1">
      <alignment vertical="center"/>
    </xf>
    <xf numFmtId="44" fontId="14" fillId="3" borderId="8" xfId="0" applyNumberFormat="1" applyFont="1" applyFill="1" applyBorder="1" applyAlignment="1" applyProtection="1">
      <alignment vertical="center"/>
    </xf>
    <xf numFmtId="44" fontId="14" fillId="5" borderId="8" xfId="0" applyNumberFormat="1" applyFont="1" applyFill="1" applyBorder="1" applyAlignment="1" applyProtection="1">
      <alignment vertical="center"/>
    </xf>
    <xf numFmtId="44" fontId="14" fillId="5" borderId="4" xfId="0" applyNumberFormat="1" applyFont="1" applyFill="1" applyBorder="1" applyAlignment="1" applyProtection="1">
      <alignment vertical="center"/>
    </xf>
    <xf numFmtId="44" fontId="14" fillId="3" borderId="4" xfId="0" applyNumberFormat="1" applyFont="1" applyFill="1" applyBorder="1" applyAlignment="1" applyProtection="1">
      <alignment vertical="center"/>
    </xf>
    <xf numFmtId="44" fontId="14" fillId="3" borderId="5" xfId="0" applyNumberFormat="1" applyFont="1" applyFill="1" applyBorder="1" applyAlignment="1" applyProtection="1">
      <alignment vertical="center"/>
    </xf>
    <xf numFmtId="44" fontId="14" fillId="5" borderId="5" xfId="0" applyNumberFormat="1" applyFont="1" applyFill="1" applyBorder="1" applyAlignment="1" applyProtection="1">
      <alignment vertical="center"/>
    </xf>
    <xf numFmtId="43" fontId="14" fillId="5" borderId="0" xfId="1" applyNumberFormat="1" applyFont="1" applyFill="1" applyBorder="1" applyAlignment="1" applyProtection="1">
      <alignment vertical="center"/>
    </xf>
    <xf numFmtId="43" fontId="14" fillId="5" borderId="7" xfId="1" applyNumberFormat="1" applyFont="1" applyFill="1" applyBorder="1" applyAlignment="1" applyProtection="1">
      <alignment vertical="center"/>
    </xf>
    <xf numFmtId="43" fontId="14" fillId="5" borderId="23" xfId="1" applyNumberFormat="1" applyFont="1" applyFill="1" applyBorder="1" applyAlignment="1" applyProtection="1">
      <alignment vertical="center"/>
    </xf>
    <xf numFmtId="43" fontId="14" fillId="5" borderId="8" xfId="1" applyNumberFormat="1" applyFont="1" applyFill="1" applyBorder="1" applyAlignment="1" applyProtection="1">
      <alignment vertical="center"/>
    </xf>
    <xf numFmtId="43" fontId="14" fillId="3" borderId="0" xfId="1" applyNumberFormat="1" applyFont="1" applyFill="1" applyBorder="1" applyAlignment="1" applyProtection="1">
      <alignment vertical="center"/>
    </xf>
    <xf numFmtId="43" fontId="14" fillId="3" borderId="23" xfId="1" applyNumberFormat="1" applyFont="1" applyFill="1" applyBorder="1" applyAlignment="1" applyProtection="1">
      <alignment vertical="center"/>
    </xf>
    <xf numFmtId="43" fontId="14" fillId="3" borderId="7" xfId="1" applyNumberFormat="1" applyFont="1" applyFill="1" applyBorder="1" applyAlignment="1" applyProtection="1">
      <alignment vertical="center"/>
    </xf>
    <xf numFmtId="43" fontId="14" fillId="3" borderId="8" xfId="1" applyNumberFormat="1" applyFont="1" applyFill="1" applyBorder="1" applyAlignment="1" applyProtection="1">
      <alignment vertical="center"/>
    </xf>
    <xf numFmtId="8" fontId="16" fillId="5" borderId="25" xfId="2" applyNumberFormat="1" applyFont="1" applyFill="1" applyBorder="1" applyAlignment="1" applyProtection="1">
      <alignment vertical="center"/>
    </xf>
    <xf numFmtId="8" fontId="50" fillId="5" borderId="31" xfId="2" applyNumberFormat="1" applyFont="1" applyFill="1" applyBorder="1" applyAlignment="1" applyProtection="1">
      <alignment vertical="center"/>
    </xf>
    <xf numFmtId="44" fontId="33" fillId="3" borderId="2" xfId="2" applyNumberFormat="1" applyFont="1" applyFill="1" applyBorder="1" applyAlignment="1" applyProtection="1">
      <alignment horizontal="center" vertical="center"/>
    </xf>
    <xf numFmtId="44" fontId="33" fillId="3" borderId="34" xfId="0" applyNumberFormat="1" applyFont="1" applyFill="1" applyBorder="1" applyAlignment="1" applyProtection="1">
      <alignment horizontal="center" vertical="center"/>
    </xf>
    <xf numFmtId="44" fontId="32" fillId="5" borderId="15" xfId="2" applyNumberFormat="1" applyFont="1" applyFill="1" applyBorder="1" applyAlignment="1" applyProtection="1">
      <alignment horizontal="center"/>
    </xf>
    <xf numFmtId="9" fontId="14" fillId="5" borderId="1" xfId="4" applyNumberFormat="1" applyFont="1" applyFill="1" applyBorder="1" applyProtection="1"/>
    <xf numFmtId="9" fontId="19" fillId="5" borderId="1" xfId="4" applyNumberFormat="1" applyFont="1" applyFill="1" applyBorder="1" applyProtection="1"/>
    <xf numFmtId="9" fontId="26" fillId="5" borderId="1" xfId="4" applyNumberFormat="1" applyFont="1" applyFill="1" applyBorder="1" applyProtection="1"/>
    <xf numFmtId="9" fontId="14" fillId="0" borderId="1" xfId="4" applyNumberFormat="1" applyFont="1" applyFill="1" applyBorder="1" applyProtection="1"/>
    <xf numFmtId="9" fontId="10" fillId="5" borderId="1" xfId="4" applyNumberFormat="1" applyFont="1" applyFill="1" applyBorder="1" applyProtection="1"/>
    <xf numFmtId="9" fontId="19" fillId="0" borderId="1" xfId="4" applyNumberFormat="1" applyFont="1" applyFill="1" applyBorder="1" applyProtection="1"/>
    <xf numFmtId="9" fontId="11" fillId="3" borderId="3" xfId="4" applyNumberFormat="1" applyFont="1" applyFill="1" applyBorder="1" applyProtection="1"/>
    <xf numFmtId="9" fontId="11" fillId="3" borderId="1" xfId="4" applyNumberFormat="1" applyFont="1" applyFill="1" applyBorder="1" applyProtection="1"/>
    <xf numFmtId="9" fontId="0" fillId="0" borderId="0" xfId="0" applyNumberFormat="1" applyFill="1" applyBorder="1" applyAlignment="1" applyProtection="1">
      <alignment horizontal="right"/>
    </xf>
    <xf numFmtId="164" fontId="33" fillId="0" borderId="0" xfId="0" applyNumberFormat="1" applyFont="1" applyProtection="1"/>
    <xf numFmtId="0" fontId="72" fillId="0" borderId="0" xfId="0" applyFont="1" applyFill="1" applyBorder="1" applyAlignment="1" applyProtection="1">
      <alignment vertical="center"/>
    </xf>
    <xf numFmtId="2" fontId="33" fillId="0" borderId="0" xfId="0" applyNumberFormat="1" applyFont="1" applyProtection="1"/>
    <xf numFmtId="171" fontId="33" fillId="0" borderId="0" xfId="0" applyNumberFormat="1" applyFont="1" applyProtection="1"/>
    <xf numFmtId="168" fontId="36" fillId="0" borderId="0" xfId="0" applyNumberFormat="1" applyFont="1" applyAlignment="1" applyProtection="1">
      <alignment horizontal="left" vertical="center" wrapText="1"/>
    </xf>
    <xf numFmtId="43" fontId="36" fillId="5" borderId="1" xfId="1" applyNumberFormat="1" applyFont="1" applyFill="1" applyBorder="1" applyAlignment="1" applyProtection="1">
      <alignment horizontal="center" vertical="center"/>
    </xf>
    <xf numFmtId="39" fontId="18" fillId="0" borderId="0" xfId="1" applyNumberFormat="1" applyFont="1" applyFill="1" applyBorder="1" applyAlignment="1" applyProtection="1">
      <alignment vertical="center"/>
    </xf>
    <xf numFmtId="39" fontId="18" fillId="0" borderId="7" xfId="0" applyNumberFormat="1" applyFont="1" applyFill="1" applyBorder="1" applyAlignment="1" applyProtection="1">
      <alignment vertical="center"/>
    </xf>
    <xf numFmtId="39" fontId="16" fillId="5" borderId="3" xfId="1" applyNumberFormat="1" applyFont="1" applyFill="1" applyBorder="1" applyAlignment="1" applyProtection="1">
      <alignment vertical="center"/>
    </xf>
    <xf numFmtId="39" fontId="17" fillId="0" borderId="0" xfId="0" applyNumberFormat="1" applyFont="1" applyAlignment="1" applyProtection="1">
      <alignment vertical="center"/>
    </xf>
    <xf numFmtId="39" fontId="18" fillId="0" borderId="4" xfId="0" applyNumberFormat="1" applyFont="1" applyFill="1" applyBorder="1" applyAlignment="1" applyProtection="1">
      <alignment vertical="center"/>
    </xf>
    <xf numFmtId="39" fontId="18" fillId="0" borderId="7" xfId="1" applyNumberFormat="1" applyFont="1" applyFill="1" applyBorder="1" applyAlignment="1" applyProtection="1">
      <alignment vertical="center"/>
    </xf>
    <xf numFmtId="39" fontId="16" fillId="5" borderId="25" xfId="1" applyNumberFormat="1" applyFont="1" applyFill="1" applyBorder="1" applyAlignment="1" applyProtection="1">
      <alignment vertical="center"/>
    </xf>
    <xf numFmtId="43" fontId="14" fillId="0" borderId="14" xfId="1" applyFont="1" applyFill="1" applyBorder="1" applyAlignment="1" applyProtection="1">
      <alignment horizontal="right" vertical="center"/>
    </xf>
    <xf numFmtId="43" fontId="14" fillId="0" borderId="9" xfId="1" applyFont="1" applyFill="1" applyBorder="1" applyAlignment="1" applyProtection="1">
      <alignment horizontal="right" vertical="center"/>
    </xf>
    <xf numFmtId="43" fontId="14" fillId="0" borderId="6" xfId="1" applyFont="1" applyFill="1" applyBorder="1" applyAlignment="1" applyProtection="1">
      <alignment horizontal="right" vertical="center"/>
    </xf>
    <xf numFmtId="44" fontId="10" fillId="0" borderId="0" xfId="2" applyNumberFormat="1" applyFont="1" applyFill="1" applyBorder="1" applyAlignment="1" applyProtection="1">
      <alignment horizontal="center"/>
    </xf>
    <xf numFmtId="0" fontId="44" fillId="0" borderId="0" xfId="0" applyFont="1" applyFill="1" applyAlignment="1" applyProtection="1">
      <alignment vertical="center"/>
    </xf>
    <xf numFmtId="0" fontId="12" fillId="0" borderId="0" xfId="0" applyFont="1" applyFill="1" applyProtection="1"/>
    <xf numFmtId="0" fontId="77" fillId="0" borderId="0" xfId="0" applyFont="1" applyFill="1" applyProtection="1"/>
    <xf numFmtId="0" fontId="81" fillId="0" borderId="0" xfId="0" applyFont="1" applyAlignment="1" applyProtection="1">
      <alignment vertical="center"/>
    </xf>
    <xf numFmtId="0" fontId="16" fillId="0" borderId="14" xfId="0" applyFont="1" applyFill="1" applyBorder="1" applyAlignment="1" applyProtection="1">
      <alignment horizontal="center" vertical="center"/>
    </xf>
    <xf numFmtId="167" fontId="10" fillId="0" borderId="1" xfId="1" applyNumberFormat="1" applyFont="1" applyBorder="1" applyAlignment="1" applyProtection="1">
      <alignment horizontal="center"/>
    </xf>
    <xf numFmtId="10" fontId="10" fillId="0" borderId="1" xfId="0" applyNumberFormat="1" applyFont="1" applyBorder="1" applyAlignment="1" applyProtection="1">
      <alignment horizontal="center"/>
    </xf>
    <xf numFmtId="44" fontId="32" fillId="0" borderId="0" xfId="2" applyNumberFormat="1" applyFont="1" applyFill="1" applyBorder="1" applyAlignment="1" applyProtection="1">
      <alignment horizontal="center"/>
    </xf>
    <xf numFmtId="0" fontId="10" fillId="0" borderId="0" xfId="0" applyFont="1" applyFill="1" applyBorder="1" applyAlignment="1" applyProtection="1">
      <alignment horizontal="center" vertical="center" wrapText="1"/>
    </xf>
    <xf numFmtId="44" fontId="33" fillId="0" borderId="0" xfId="0" applyNumberFormat="1" applyFont="1" applyFill="1" applyBorder="1" applyAlignment="1" applyProtection="1">
      <alignment horizontal="center" vertical="center"/>
    </xf>
    <xf numFmtId="9" fontId="11" fillId="0" borderId="0" xfId="4" applyNumberFormat="1" applyFont="1" applyFill="1" applyBorder="1" applyAlignment="1" applyProtection="1">
      <alignment horizontal="right"/>
    </xf>
    <xf numFmtId="44" fontId="35" fillId="0" borderId="0" xfId="0" applyNumberFormat="1" applyFont="1" applyFill="1" applyProtection="1"/>
    <xf numFmtId="167" fontId="10" fillId="0" borderId="0" xfId="1" applyNumberFormat="1" applyFont="1" applyFill="1" applyBorder="1" applyAlignment="1" applyProtection="1">
      <alignment horizontal="right"/>
    </xf>
    <xf numFmtId="43" fontId="33" fillId="0" borderId="0" xfId="1" applyFont="1" applyFill="1" applyBorder="1" applyAlignment="1" applyProtection="1">
      <alignment horizontal="center" vertical="center"/>
    </xf>
    <xf numFmtId="44" fontId="33" fillId="0" borderId="0" xfId="0" applyNumberFormat="1" applyFont="1" applyFill="1" applyBorder="1" applyAlignment="1" applyProtection="1">
      <alignment horizontal="left" vertical="center"/>
    </xf>
    <xf numFmtId="0" fontId="69" fillId="0" borderId="0" xfId="0" applyFont="1" applyFill="1" applyBorder="1" applyAlignment="1" applyProtection="1">
      <alignment horizontal="center" vertical="center" wrapText="1"/>
    </xf>
    <xf numFmtId="9" fontId="61" fillId="0" borderId="0" xfId="4" applyNumberFormat="1" applyFont="1" applyFill="1" applyBorder="1" applyAlignment="1" applyProtection="1">
      <alignment horizontal="center"/>
    </xf>
    <xf numFmtId="44" fontId="33" fillId="0" borderId="0" xfId="0" applyNumberFormat="1" applyFont="1" applyFill="1" applyProtection="1"/>
    <xf numFmtId="0" fontId="78" fillId="0" borderId="0" xfId="0" applyFont="1" applyFill="1" applyBorder="1" applyAlignment="1" applyProtection="1"/>
    <xf numFmtId="0" fontId="82" fillId="3" borderId="3" xfId="0" applyFont="1" applyFill="1" applyBorder="1" applyAlignment="1" applyProtection="1">
      <alignment horizontal="center" vertical="center"/>
    </xf>
    <xf numFmtId="167" fontId="10" fillId="0" borderId="12" xfId="1" applyNumberFormat="1" applyFont="1" applyFill="1" applyBorder="1" applyProtection="1"/>
    <xf numFmtId="44" fontId="33" fillId="4" borderId="9" xfId="2" applyNumberFormat="1" applyFont="1" applyFill="1" applyBorder="1" applyAlignment="1" applyProtection="1">
      <alignment horizontal="center" vertical="center"/>
      <protection locked="0"/>
    </xf>
    <xf numFmtId="44" fontId="33" fillId="4" borderId="14" xfId="0" applyNumberFormat="1" applyFont="1" applyFill="1" applyBorder="1" applyAlignment="1" applyProtection="1">
      <alignment horizontal="center" vertical="center"/>
      <protection locked="0"/>
    </xf>
    <xf numFmtId="2" fontId="33" fillId="0" borderId="0" xfId="0" applyNumberFormat="1" applyFont="1" applyFill="1" applyBorder="1" applyAlignment="1" applyProtection="1">
      <alignment horizontal="center" vertical="center"/>
    </xf>
    <xf numFmtId="0" fontId="4" fillId="0" borderId="2" xfId="0" applyFont="1" applyBorder="1" applyAlignment="1" applyProtection="1">
      <alignment vertical="top"/>
    </xf>
    <xf numFmtId="0" fontId="22" fillId="0" borderId="10" xfId="0" applyFont="1" applyFill="1" applyBorder="1" applyProtection="1"/>
    <xf numFmtId="0" fontId="4" fillId="0" borderId="10" xfId="0" applyFont="1" applyFill="1" applyBorder="1" applyAlignment="1" applyProtection="1">
      <alignment vertical="top"/>
    </xf>
    <xf numFmtId="0" fontId="0" fillId="0" borderId="1" xfId="0" applyFill="1" applyBorder="1" applyProtection="1"/>
    <xf numFmtId="0" fontId="4" fillId="0" borderId="1" xfId="0" applyFont="1" applyFill="1" applyBorder="1" applyProtection="1"/>
    <xf numFmtId="169" fontId="0" fillId="9" borderId="2" xfId="0" applyNumberFormat="1" applyFill="1" applyBorder="1" applyProtection="1"/>
    <xf numFmtId="0" fontId="77" fillId="0" borderId="0" xfId="0" applyFont="1" applyFill="1" applyAlignment="1" applyProtection="1">
      <alignment vertical="center"/>
    </xf>
    <xf numFmtId="0" fontId="17" fillId="0" borderId="0" xfId="0" applyFont="1" applyFill="1" applyAlignment="1" applyProtection="1">
      <alignment vertical="center"/>
    </xf>
    <xf numFmtId="164" fontId="85" fillId="0" borderId="0" xfId="0" applyNumberFormat="1" applyFont="1" applyFill="1" applyAlignment="1" applyProtection="1">
      <alignment horizontal="left" vertical="center"/>
    </xf>
    <xf numFmtId="0" fontId="84" fillId="0" borderId="0" xfId="0" applyFont="1" applyFill="1" applyProtection="1"/>
    <xf numFmtId="43" fontId="48" fillId="0" borderId="0" xfId="1" applyFont="1" applyFill="1" applyAlignment="1" applyProtection="1">
      <alignment horizontal="left" vertical="center" wrapText="1"/>
    </xf>
    <xf numFmtId="43" fontId="33" fillId="0" borderId="0" xfId="1" applyFont="1" applyBorder="1" applyAlignment="1" applyProtection="1">
      <alignment vertical="top" wrapText="1"/>
    </xf>
    <xf numFmtId="0" fontId="0" fillId="0" borderId="0" xfId="0" applyFill="1" applyBorder="1" applyAlignment="1" applyProtection="1">
      <alignment horizontal="left"/>
    </xf>
    <xf numFmtId="0" fontId="86" fillId="0" borderId="0" xfId="0" applyFont="1" applyProtection="1"/>
    <xf numFmtId="0" fontId="33" fillId="0" borderId="0" xfId="0" applyFont="1" applyFill="1" applyBorder="1" applyAlignment="1" applyProtection="1">
      <alignment horizontal="right"/>
    </xf>
    <xf numFmtId="0" fontId="83" fillId="0" borderId="9" xfId="0" applyFont="1" applyFill="1" applyBorder="1" applyAlignment="1" applyProtection="1">
      <alignment horizontal="center"/>
    </xf>
    <xf numFmtId="0" fontId="83" fillId="0" borderId="5" xfId="0" applyFont="1" applyFill="1" applyBorder="1" applyAlignment="1" applyProtection="1">
      <alignment horizontal="center"/>
    </xf>
    <xf numFmtId="0" fontId="83" fillId="0" borderId="0" xfId="0" applyFont="1" applyFill="1" applyBorder="1" applyAlignment="1" applyProtection="1">
      <alignment horizontal="center"/>
    </xf>
    <xf numFmtId="173" fontId="33" fillId="3" borderId="6" xfId="0" applyNumberFormat="1" applyFont="1" applyFill="1" applyBorder="1" applyAlignment="1" applyProtection="1">
      <alignment horizontal="center"/>
    </xf>
    <xf numFmtId="173" fontId="33" fillId="3" borderId="8" xfId="0" applyNumberFormat="1" applyFont="1" applyFill="1" applyBorder="1" applyAlignment="1" applyProtection="1">
      <alignment horizontal="center"/>
    </xf>
    <xf numFmtId="173" fontId="33" fillId="3" borderId="7" xfId="0" applyNumberFormat="1" applyFont="1" applyFill="1" applyBorder="1" applyAlignment="1" applyProtection="1">
      <alignment horizontal="center"/>
    </xf>
    <xf numFmtId="44" fontId="33" fillId="3" borderId="1" xfId="0" applyNumberFormat="1" applyFont="1" applyFill="1" applyBorder="1" applyAlignment="1" applyProtection="1">
      <alignment horizontal="center" wrapText="1"/>
    </xf>
    <xf numFmtId="0" fontId="4" fillId="0" borderId="0" xfId="0" applyFont="1" applyFill="1" applyBorder="1" applyAlignment="1" applyProtection="1">
      <alignment wrapText="1"/>
    </xf>
    <xf numFmtId="0" fontId="4" fillId="0" borderId="0" xfId="0" applyFont="1" applyFill="1" applyBorder="1" applyProtection="1"/>
    <xf numFmtId="44" fontId="33" fillId="0" borderId="24" xfId="0" applyNumberFormat="1" applyFont="1" applyFill="1" applyBorder="1" applyProtection="1"/>
    <xf numFmtId="43" fontId="33" fillId="0" borderId="0" xfId="0" applyNumberFormat="1" applyFont="1" applyFill="1" applyBorder="1" applyAlignment="1" applyProtection="1">
      <alignment wrapText="1"/>
    </xf>
    <xf numFmtId="173" fontId="4" fillId="0" borderId="0" xfId="0" applyNumberFormat="1" applyFont="1" applyFill="1" applyBorder="1" applyProtection="1"/>
    <xf numFmtId="43" fontId="33" fillId="10" borderId="0" xfId="1" applyFont="1" applyFill="1" applyProtection="1">
      <protection locked="0"/>
    </xf>
    <xf numFmtId="44" fontId="33" fillId="10" borderId="1" xfId="0" applyNumberFormat="1" applyFont="1" applyFill="1" applyBorder="1" applyAlignment="1" applyProtection="1">
      <alignment horizontal="center" wrapText="1"/>
      <protection locked="0"/>
    </xf>
    <xf numFmtId="0" fontId="33" fillId="3" borderId="0" xfId="0" applyFont="1" applyFill="1" applyProtection="1"/>
    <xf numFmtId="43" fontId="33" fillId="3" borderId="0" xfId="0" applyNumberFormat="1" applyFont="1" applyFill="1" applyProtection="1"/>
    <xf numFmtId="0" fontId="33" fillId="0" borderId="0" xfId="0" applyFont="1" applyAlignment="1" applyProtection="1">
      <alignment horizontal="right"/>
    </xf>
    <xf numFmtId="0" fontId="33" fillId="0" borderId="0" xfId="0" applyFont="1" applyFill="1" applyAlignment="1" applyProtection="1">
      <alignment horizontal="right"/>
    </xf>
    <xf numFmtId="173" fontId="33" fillId="0" borderId="0" xfId="0" applyNumberFormat="1" applyFont="1" applyProtection="1"/>
    <xf numFmtId="173" fontId="33" fillId="0" borderId="0" xfId="0" applyNumberFormat="1" applyFont="1" applyFill="1" applyProtection="1"/>
    <xf numFmtId="0" fontId="33" fillId="0" borderId="7" xfId="0" applyFont="1" applyBorder="1" applyProtection="1"/>
    <xf numFmtId="9" fontId="33" fillId="0" borderId="0" xfId="4" applyFont="1" applyFill="1" applyProtection="1"/>
    <xf numFmtId="43" fontId="33" fillId="0" borderId="0" xfId="0" applyNumberFormat="1" applyFont="1" applyFill="1" applyBorder="1" applyProtection="1"/>
    <xf numFmtId="2" fontId="33" fillId="10" borderId="1" xfId="0" applyNumberFormat="1" applyFont="1" applyFill="1" applyBorder="1" applyAlignment="1" applyProtection="1">
      <alignment horizontal="center"/>
      <protection locked="0"/>
    </xf>
    <xf numFmtId="0" fontId="24" fillId="0" borderId="0" xfId="0" applyFont="1" applyBorder="1" applyProtection="1"/>
    <xf numFmtId="0" fontId="87" fillId="0" borderId="0" xfId="0" applyFont="1" applyProtection="1"/>
    <xf numFmtId="0" fontId="63" fillId="0" borderId="0" xfId="0" applyFont="1" applyAlignment="1" applyProtection="1">
      <alignment horizontal="center"/>
    </xf>
    <xf numFmtId="0" fontId="40" fillId="0" borderId="0" xfId="0" applyFont="1" applyAlignment="1" applyProtection="1">
      <alignment horizontal="center"/>
    </xf>
    <xf numFmtId="0" fontId="44" fillId="0" borderId="0" xfId="0" applyFont="1" applyAlignment="1" applyProtection="1">
      <alignment horizontal="center"/>
    </xf>
    <xf numFmtId="0" fontId="36" fillId="0" borderId="0" xfId="0" applyFont="1" applyAlignment="1" applyProtection="1">
      <alignment horizontal="left" vertical="center" wrapText="1"/>
    </xf>
    <xf numFmtId="0" fontId="48" fillId="5" borderId="11" xfId="0" applyFont="1" applyFill="1" applyBorder="1" applyAlignment="1" applyProtection="1">
      <alignment horizontal="center" vertical="center"/>
    </xf>
    <xf numFmtId="0" fontId="48" fillId="5" borderId="12" xfId="0" applyFont="1" applyFill="1" applyBorder="1" applyAlignment="1" applyProtection="1">
      <alignment horizontal="center" vertical="center"/>
    </xf>
    <xf numFmtId="0" fontId="48" fillId="5" borderId="10" xfId="0" applyFont="1" applyFill="1" applyBorder="1" applyAlignment="1" applyProtection="1">
      <alignment horizontal="center" vertical="center"/>
    </xf>
    <xf numFmtId="0" fontId="32" fillId="5" borderId="11" xfId="0" applyFont="1" applyFill="1" applyBorder="1" applyAlignment="1" applyProtection="1">
      <alignment horizontal="left" vertical="center"/>
    </xf>
    <xf numFmtId="0" fontId="69" fillId="0" borderId="1" xfId="0" applyFont="1" applyBorder="1" applyAlignment="1" applyProtection="1">
      <alignment horizontal="center" vertical="center" wrapText="1"/>
    </xf>
    <xf numFmtId="173" fontId="33" fillId="0" borderId="0" xfId="0" applyNumberFormat="1" applyFont="1" applyFill="1" applyBorder="1" applyAlignment="1" applyProtection="1"/>
    <xf numFmtId="0" fontId="0" fillId="0" borderId="0" xfId="0" applyAlignment="1" applyProtection="1">
      <alignment horizontal="center"/>
    </xf>
    <xf numFmtId="43" fontId="4" fillId="10" borderId="32" xfId="1" applyFont="1" applyFill="1" applyBorder="1" applyAlignment="1" applyProtection="1">
      <alignment horizontal="left" vertical="center" wrapText="1"/>
      <protection locked="0"/>
    </xf>
    <xf numFmtId="173" fontId="33" fillId="10" borderId="1" xfId="0" applyNumberFormat="1" applyFont="1" applyFill="1" applyBorder="1" applyAlignment="1" applyProtection="1">
      <alignment horizontal="left" wrapText="1"/>
      <protection locked="0"/>
    </xf>
    <xf numFmtId="0" fontId="0" fillId="0" borderId="0" xfId="0" applyFill="1" applyBorder="1" applyAlignment="1" applyProtection="1"/>
    <xf numFmtId="44" fontId="33" fillId="0" borderId="0" xfId="0" applyNumberFormat="1" applyFont="1" applyFill="1" applyBorder="1" applyProtection="1"/>
    <xf numFmtId="44" fontId="33" fillId="0" borderId="7" xfId="0" applyNumberFormat="1" applyFont="1" applyFill="1" applyBorder="1" applyProtection="1"/>
    <xf numFmtId="44" fontId="33" fillId="0" borderId="0" xfId="0" applyNumberFormat="1" applyFont="1" applyFill="1" applyBorder="1" applyAlignment="1" applyProtection="1">
      <alignment horizontal="right"/>
    </xf>
    <xf numFmtId="43" fontId="33" fillId="0" borderId="7" xfId="0" applyNumberFormat="1" applyFont="1" applyFill="1" applyBorder="1" applyAlignment="1" applyProtection="1">
      <alignment wrapText="1"/>
    </xf>
    <xf numFmtId="43" fontId="33" fillId="0" borderId="0" xfId="0" applyNumberFormat="1" applyFont="1" applyFill="1" applyBorder="1" applyAlignment="1" applyProtection="1">
      <alignment horizontal="right" wrapText="1"/>
    </xf>
    <xf numFmtId="43" fontId="33" fillId="6" borderId="24" xfId="1" applyFont="1" applyFill="1" applyBorder="1" applyProtection="1"/>
    <xf numFmtId="43" fontId="33" fillId="0" borderId="24" xfId="0" applyNumberFormat="1" applyFont="1" applyFill="1" applyBorder="1" applyAlignment="1" applyProtection="1">
      <alignment wrapText="1"/>
    </xf>
    <xf numFmtId="44" fontId="33" fillId="0" borderId="0" xfId="0" applyNumberFormat="1" applyFont="1" applyBorder="1" applyProtection="1"/>
    <xf numFmtId="16" fontId="32" fillId="0" borderId="0" xfId="0" applyNumberFormat="1" applyFont="1" applyFill="1" applyBorder="1" applyAlignment="1" applyProtection="1">
      <alignment horizontal="left"/>
    </xf>
    <xf numFmtId="9" fontId="33" fillId="0" borderId="0" xfId="4" applyFont="1" applyFill="1" applyBorder="1" applyProtection="1"/>
    <xf numFmtId="173" fontId="33" fillId="0" borderId="0" xfId="0" applyNumberFormat="1" applyFont="1" applyFill="1" applyBorder="1" applyProtection="1"/>
    <xf numFmtId="43" fontId="33" fillId="0" borderId="0" xfId="1" applyFont="1" applyFill="1" applyBorder="1" applyProtection="1"/>
    <xf numFmtId="173" fontId="33" fillId="3" borderId="1" xfId="0" applyNumberFormat="1" applyFont="1" applyFill="1" applyBorder="1" applyAlignment="1" applyProtection="1">
      <alignment horizontal="left" wrapText="1"/>
    </xf>
    <xf numFmtId="0" fontId="0" fillId="0" borderId="13" xfId="0" applyBorder="1" applyProtection="1"/>
    <xf numFmtId="43" fontId="14" fillId="5" borderId="14" xfId="1" applyNumberFormat="1" applyFont="1" applyFill="1" applyBorder="1" applyAlignment="1" applyProtection="1">
      <alignment vertical="center"/>
    </xf>
    <xf numFmtId="43" fontId="14" fillId="5" borderId="6" xfId="1" applyNumberFormat="1" applyFont="1" applyFill="1" applyBorder="1" applyAlignment="1" applyProtection="1">
      <alignment vertical="center"/>
    </xf>
    <xf numFmtId="10" fontId="14" fillId="0" borderId="45" xfId="0" applyNumberFormat="1" applyFont="1" applyBorder="1" applyAlignment="1" applyProtection="1">
      <alignment vertical="center"/>
    </xf>
    <xf numFmtId="44" fontId="33" fillId="0" borderId="0" xfId="2" applyFont="1" applyFill="1" applyBorder="1" applyAlignment="1" applyProtection="1">
      <alignment vertical="top" wrapText="1"/>
    </xf>
    <xf numFmtId="0" fontId="36" fillId="5" borderId="7" xfId="0" applyFont="1" applyFill="1" applyBorder="1" applyAlignment="1" applyProtection="1">
      <alignment horizontal="left" vertical="center"/>
    </xf>
    <xf numFmtId="0" fontId="69" fillId="0" borderId="11" xfId="0" applyFont="1" applyBorder="1" applyAlignment="1" applyProtection="1">
      <alignment vertical="center"/>
    </xf>
    <xf numFmtId="0" fontId="69" fillId="0" borderId="10" xfId="0" applyFont="1" applyBorder="1" applyAlignment="1" applyProtection="1">
      <alignment vertical="center"/>
    </xf>
    <xf numFmtId="10" fontId="4" fillId="0" borderId="0" xfId="4" applyNumberFormat="1" applyFont="1" applyProtection="1"/>
    <xf numFmtId="10" fontId="0" fillId="0" borderId="0" xfId="4" applyNumberFormat="1" applyFont="1" applyProtection="1"/>
    <xf numFmtId="44" fontId="10" fillId="0" borderId="1" xfId="2" applyNumberFormat="1" applyFont="1" applyFill="1" applyBorder="1" applyProtection="1"/>
    <xf numFmtId="44" fontId="10" fillId="4" borderId="1" xfId="2" applyNumberFormat="1" applyFont="1" applyFill="1" applyBorder="1" applyProtection="1">
      <protection locked="0"/>
    </xf>
    <xf numFmtId="44" fontId="10" fillId="3" borderId="1" xfId="2" applyNumberFormat="1" applyFont="1" applyFill="1" applyBorder="1" applyProtection="1"/>
    <xf numFmtId="9" fontId="11" fillId="0" borderId="0" xfId="4" applyNumberFormat="1" applyFont="1" applyFill="1" applyBorder="1" applyProtection="1"/>
    <xf numFmtId="0" fontId="7" fillId="0" borderId="0" xfId="0" applyFont="1" applyFill="1" applyBorder="1" applyAlignment="1" applyProtection="1">
      <alignment vertical="center"/>
    </xf>
    <xf numFmtId="0" fontId="8" fillId="0" borderId="14" xfId="0" applyFont="1" applyBorder="1" applyProtection="1"/>
    <xf numFmtId="167" fontId="8" fillId="0" borderId="0" xfId="1" applyNumberFormat="1" applyFont="1" applyBorder="1" applyProtection="1"/>
    <xf numFmtId="167" fontId="8" fillId="0" borderId="23" xfId="1" applyNumberFormat="1" applyFont="1" applyBorder="1" applyProtection="1"/>
    <xf numFmtId="166" fontId="10" fillId="0" borderId="0" xfId="4" applyNumberFormat="1" applyFont="1" applyBorder="1" applyAlignment="1" applyProtection="1">
      <alignment horizontal="center"/>
    </xf>
    <xf numFmtId="9" fontId="14" fillId="0" borderId="0" xfId="4" applyNumberFormat="1" applyFont="1" applyFill="1" applyBorder="1" applyProtection="1"/>
    <xf numFmtId="167" fontId="8" fillId="0" borderId="0" xfId="1" applyNumberFormat="1" applyFont="1" applyFill="1" applyProtection="1"/>
    <xf numFmtId="0" fontId="93" fillId="0" borderId="0" xfId="0" applyFont="1" applyFill="1" applyProtection="1"/>
    <xf numFmtId="0" fontId="91" fillId="0" borderId="0" xfId="0" applyFont="1" applyBorder="1" applyAlignment="1" applyProtection="1">
      <alignment horizontal="center"/>
    </xf>
    <xf numFmtId="1" fontId="95" fillId="0" borderId="1" xfId="0" applyNumberFormat="1" applyFont="1" applyFill="1" applyBorder="1" applyAlignment="1" applyProtection="1">
      <alignment horizontal="center"/>
    </xf>
    <xf numFmtId="9" fontId="33" fillId="0" borderId="0" xfId="0" applyNumberFormat="1" applyFont="1" applyFill="1" applyBorder="1" applyAlignment="1" applyProtection="1">
      <alignment horizontal="right"/>
    </xf>
    <xf numFmtId="44" fontId="95" fillId="0" borderId="0" xfId="2" applyNumberFormat="1" applyFont="1" applyFill="1" applyBorder="1" applyProtection="1"/>
    <xf numFmtId="0" fontId="69" fillId="5" borderId="2" xfId="0" applyFont="1" applyFill="1" applyBorder="1" applyAlignment="1" applyProtection="1">
      <alignment horizontal="center" vertical="center" wrapText="1"/>
    </xf>
    <xf numFmtId="0" fontId="69" fillId="3" borderId="2" xfId="0" applyFont="1" applyFill="1" applyBorder="1" applyAlignment="1" applyProtection="1">
      <alignment horizontal="center" vertical="center" wrapText="1"/>
    </xf>
    <xf numFmtId="0" fontId="32" fillId="5" borderId="9" xfId="0" applyFont="1" applyFill="1" applyBorder="1" applyAlignment="1" applyProtection="1">
      <alignment horizontal="center" vertical="center" wrapText="1"/>
    </xf>
    <xf numFmtId="0" fontId="32" fillId="3" borderId="2" xfId="0" applyFont="1" applyFill="1" applyBorder="1" applyAlignment="1" applyProtection="1">
      <alignment horizontal="center" vertical="center" wrapText="1"/>
    </xf>
    <xf numFmtId="0" fontId="96" fillId="5" borderId="6" xfId="0" applyFont="1" applyFill="1" applyBorder="1" applyAlignment="1" applyProtection="1">
      <alignment horizontal="center" vertical="center"/>
    </xf>
    <xf numFmtId="0" fontId="96" fillId="3" borderId="3" xfId="0" applyFont="1" applyFill="1" applyBorder="1" applyAlignment="1" applyProtection="1">
      <alignment horizontal="center" vertical="center"/>
    </xf>
    <xf numFmtId="0" fontId="96" fillId="3" borderId="6" xfId="0" applyFont="1" applyFill="1" applyBorder="1" applyAlignment="1" applyProtection="1">
      <alignment horizontal="center" vertical="center"/>
    </xf>
    <xf numFmtId="44" fontId="33" fillId="0" borderId="0" xfId="2" applyNumberFormat="1" applyFont="1" applyFill="1" applyBorder="1" applyAlignment="1" applyProtection="1">
      <alignment horizontal="center"/>
    </xf>
    <xf numFmtId="0" fontId="33" fillId="0" borderId="1" xfId="0" applyFont="1" applyBorder="1" applyAlignment="1" applyProtection="1">
      <alignment horizontal="center" wrapText="1"/>
    </xf>
    <xf numFmtId="44" fontId="33" fillId="3" borderId="1" xfId="2" applyFont="1" applyFill="1" applyBorder="1" applyProtection="1"/>
    <xf numFmtId="43" fontId="33" fillId="0" borderId="0" xfId="1" applyFont="1" applyProtection="1"/>
    <xf numFmtId="0" fontId="94" fillId="0" borderId="9" xfId="0" applyFont="1" applyFill="1" applyBorder="1" applyAlignment="1" applyProtection="1">
      <alignment horizontal="center"/>
    </xf>
    <xf numFmtId="0" fontId="94" fillId="0" borderId="5" xfId="0" applyFont="1" applyFill="1" applyBorder="1" applyAlignment="1" applyProtection="1">
      <alignment horizontal="center"/>
    </xf>
    <xf numFmtId="44" fontId="33" fillId="0" borderId="0" xfId="0" applyNumberFormat="1" applyFont="1" applyProtection="1"/>
    <xf numFmtId="43" fontId="32" fillId="5" borderId="15" xfId="1" applyFont="1" applyFill="1" applyBorder="1" applyAlignment="1" applyProtection="1">
      <alignment horizontal="center"/>
    </xf>
    <xf numFmtId="167" fontId="32" fillId="0" borderId="0" xfId="1" applyNumberFormat="1" applyFont="1" applyFill="1" applyBorder="1" applyAlignment="1" applyProtection="1">
      <alignment vertical="center"/>
    </xf>
    <xf numFmtId="44" fontId="33" fillId="0" borderId="0" xfId="2" applyFont="1" applyFill="1" applyBorder="1" applyAlignment="1" applyProtection="1"/>
    <xf numFmtId="44" fontId="32" fillId="0" borderId="0" xfId="2" applyNumberFormat="1" applyFont="1" applyFill="1" applyBorder="1" applyAlignment="1" applyProtection="1"/>
    <xf numFmtId="2" fontId="33" fillId="3" borderId="0" xfId="0" applyNumberFormat="1" applyFont="1" applyFill="1" applyProtection="1"/>
    <xf numFmtId="2" fontId="33" fillId="3" borderId="0" xfId="1" applyNumberFormat="1" applyFont="1" applyFill="1" applyProtection="1"/>
    <xf numFmtId="2" fontId="33" fillId="3" borderId="7" xfId="1" applyNumberFormat="1" applyFont="1" applyFill="1" applyBorder="1" applyProtection="1"/>
    <xf numFmtId="43" fontId="33" fillId="3" borderId="0" xfId="1" applyNumberFormat="1" applyFont="1" applyFill="1" applyProtection="1"/>
    <xf numFmtId="2" fontId="33" fillId="0" borderId="0" xfId="0" applyNumberFormat="1" applyFont="1" applyFill="1" applyProtection="1"/>
    <xf numFmtId="43" fontId="33" fillId="0" borderId="24" xfId="1" applyFont="1" applyFill="1" applyBorder="1" applyProtection="1"/>
    <xf numFmtId="9" fontId="33" fillId="0" borderId="7" xfId="4" applyFont="1" applyBorder="1" applyProtection="1"/>
    <xf numFmtId="0" fontId="72" fillId="0" borderId="0" xfId="0" applyFont="1" applyAlignment="1" applyProtection="1"/>
    <xf numFmtId="0" fontId="72" fillId="0" borderId="0" xfId="0" applyFont="1" applyBorder="1" applyAlignment="1" applyProtection="1"/>
    <xf numFmtId="43" fontId="33" fillId="0" borderId="0" xfId="1" applyFont="1" applyFill="1" applyBorder="1" applyAlignment="1" applyProtection="1">
      <alignment vertical="top" wrapText="1"/>
    </xf>
    <xf numFmtId="0" fontId="69" fillId="0" borderId="0" xfId="0" applyFont="1" applyFill="1" applyBorder="1" applyAlignment="1" applyProtection="1">
      <alignment vertical="center" wrapText="1"/>
    </xf>
    <xf numFmtId="2" fontId="32" fillId="0" borderId="0" xfId="0" applyNumberFormat="1" applyFont="1" applyFill="1" applyBorder="1" applyAlignment="1" applyProtection="1"/>
    <xf numFmtId="0" fontId="37" fillId="0" borderId="0" xfId="0" applyFont="1" applyProtection="1"/>
    <xf numFmtId="2" fontId="33" fillId="0" borderId="0" xfId="0" applyNumberFormat="1" applyFont="1" applyFill="1" applyBorder="1" applyProtection="1"/>
    <xf numFmtId="2" fontId="33" fillId="0" borderId="0" xfId="1" applyNumberFormat="1" applyFont="1" applyFill="1" applyBorder="1" applyProtection="1"/>
    <xf numFmtId="43" fontId="33" fillId="0" borderId="0" xfId="1" applyNumberFormat="1" applyFont="1" applyFill="1" applyProtection="1"/>
    <xf numFmtId="9" fontId="33" fillId="0" borderId="0" xfId="4" applyFont="1" applyBorder="1" applyProtection="1"/>
    <xf numFmtId="44" fontId="90" fillId="0" borderId="1" xfId="2" applyNumberFormat="1" applyFont="1" applyFill="1" applyBorder="1" applyAlignment="1" applyProtection="1">
      <alignment horizontal="center" vertical="center"/>
    </xf>
    <xf numFmtId="44" fontId="90" fillId="0" borderId="1" xfId="2" applyNumberFormat="1" applyFont="1" applyFill="1" applyBorder="1" applyAlignment="1" applyProtection="1">
      <alignment horizontal="center"/>
    </xf>
    <xf numFmtId="0" fontId="33" fillId="0" borderId="14" xfId="0" applyFont="1" applyFill="1" applyBorder="1" applyProtection="1"/>
    <xf numFmtId="0" fontId="33" fillId="0" borderId="23" xfId="0" applyFont="1" applyFill="1" applyBorder="1" applyProtection="1"/>
    <xf numFmtId="173" fontId="33" fillId="4" borderId="1" xfId="0" applyNumberFormat="1" applyFont="1" applyFill="1" applyBorder="1" applyAlignment="1" applyProtection="1">
      <alignment horizontal="center" wrapText="1"/>
      <protection locked="0"/>
    </xf>
    <xf numFmtId="44" fontId="33" fillId="4" borderId="1" xfId="0" applyNumberFormat="1" applyFont="1" applyFill="1" applyBorder="1" applyAlignment="1" applyProtection="1">
      <alignment horizontal="center" wrapText="1"/>
      <protection locked="0"/>
    </xf>
    <xf numFmtId="0" fontId="33" fillId="0" borderId="0" xfId="0" applyFont="1" applyAlignment="1" applyProtection="1">
      <alignment vertical="center" wrapText="1"/>
    </xf>
    <xf numFmtId="167" fontId="33" fillId="0" borderId="0" xfId="0" applyNumberFormat="1" applyFont="1" applyFill="1" applyBorder="1" applyAlignment="1" applyProtection="1">
      <alignment horizontal="center" wrapText="1"/>
    </xf>
    <xf numFmtId="0" fontId="44" fillId="0" borderId="0" xfId="0" applyFont="1" applyFill="1" applyAlignment="1" applyProtection="1">
      <alignment horizontal="center"/>
    </xf>
    <xf numFmtId="0" fontId="92" fillId="0" borderId="0" xfId="0" applyFont="1" applyFill="1" applyAlignment="1" applyProtection="1">
      <alignment horizontal="center"/>
    </xf>
    <xf numFmtId="0" fontId="33" fillId="0" borderId="0" xfId="0" applyFont="1" applyFill="1" applyAlignment="1" applyProtection="1">
      <alignment vertical="center" wrapText="1"/>
    </xf>
    <xf numFmtId="0" fontId="7" fillId="0" borderId="0" xfId="0" applyFont="1" applyFill="1" applyProtection="1"/>
    <xf numFmtId="0" fontId="33" fillId="0" borderId="0" xfId="0" quotePrefix="1" applyFont="1" applyAlignment="1" applyProtection="1">
      <alignment horizontal="center"/>
    </xf>
    <xf numFmtId="0" fontId="36" fillId="0" borderId="0" xfId="0" applyFont="1" applyProtection="1"/>
    <xf numFmtId="0" fontId="33" fillId="0" borderId="0" xfId="0" quotePrefix="1" applyFont="1" applyAlignment="1" applyProtection="1">
      <alignment horizontal="center" vertical="top"/>
    </xf>
    <xf numFmtId="0" fontId="33" fillId="0" borderId="0" xfId="0" applyFont="1" applyAlignment="1" applyProtection="1">
      <alignment vertical="top"/>
    </xf>
    <xf numFmtId="0" fontId="33" fillId="0" borderId="0" xfId="0" applyFont="1" applyFill="1" applyAlignment="1" applyProtection="1">
      <alignment vertical="top"/>
    </xf>
    <xf numFmtId="0" fontId="33" fillId="0" borderId="0" xfId="0" applyFont="1" applyAlignment="1" applyProtection="1"/>
    <xf numFmtId="0" fontId="0" fillId="0" borderId="0" xfId="0" applyAlignment="1" applyProtection="1">
      <alignment horizontal="center" vertical="top"/>
    </xf>
    <xf numFmtId="0" fontId="0" fillId="0" borderId="0" xfId="0" applyAlignment="1" applyProtection="1">
      <alignment vertical="top"/>
    </xf>
    <xf numFmtId="0" fontId="33" fillId="0" borderId="0" xfId="0" applyFont="1" applyAlignment="1" applyProtection="1">
      <alignment horizontal="center" vertical="top"/>
    </xf>
    <xf numFmtId="0" fontId="98" fillId="0" borderId="0" xfId="0" applyFont="1" applyFill="1" applyProtection="1"/>
    <xf numFmtId="43" fontId="93" fillId="0" borderId="0" xfId="1" applyFont="1" applyFill="1" applyBorder="1" applyAlignment="1" applyProtection="1">
      <alignment vertical="top" wrapText="1"/>
    </xf>
    <xf numFmtId="0" fontId="29" fillId="0" borderId="0" xfId="0" applyFont="1" applyFill="1" applyBorder="1" applyAlignment="1" applyProtection="1">
      <alignment horizontal="left"/>
    </xf>
    <xf numFmtId="0" fontId="33" fillId="0" borderId="0" xfId="0" applyFont="1" applyFill="1" applyAlignment="1" applyProtection="1">
      <alignment horizontal="left"/>
    </xf>
    <xf numFmtId="0" fontId="69" fillId="0" borderId="1" xfId="0" applyFont="1" applyBorder="1" applyAlignment="1" applyProtection="1">
      <alignment horizontal="center" vertical="center" wrapText="1"/>
    </xf>
    <xf numFmtId="43" fontId="32" fillId="9" borderId="15" xfId="1" applyFont="1" applyFill="1" applyBorder="1" applyAlignment="1" applyProtection="1">
      <alignment horizontal="center"/>
    </xf>
    <xf numFmtId="43" fontId="33" fillId="4" borderId="3" xfId="1" applyFont="1" applyFill="1" applyBorder="1" applyAlignment="1" applyProtection="1">
      <alignment horizontal="center" vertical="center"/>
      <protection locked="0"/>
    </xf>
    <xf numFmtId="43" fontId="33" fillId="0" borderId="1" xfId="1" applyFont="1" applyFill="1" applyBorder="1" applyAlignment="1" applyProtection="1">
      <alignment horizontal="center" vertical="center"/>
    </xf>
    <xf numFmtId="10" fontId="33" fillId="4" borderId="1" xfId="4" applyNumberFormat="1" applyFont="1" applyFill="1" applyBorder="1" applyAlignment="1" applyProtection="1">
      <alignment horizontal="center" vertical="center"/>
      <protection locked="0"/>
    </xf>
    <xf numFmtId="173" fontId="33" fillId="3" borderId="14" xfId="0" applyNumberFormat="1" applyFont="1" applyFill="1" applyBorder="1" applyAlignment="1" applyProtection="1">
      <alignment horizontal="center"/>
    </xf>
    <xf numFmtId="173" fontId="33" fillId="3" borderId="23" xfId="0" applyNumberFormat="1" applyFont="1" applyFill="1" applyBorder="1" applyAlignment="1" applyProtection="1">
      <alignment horizontal="center"/>
    </xf>
    <xf numFmtId="0" fontId="33" fillId="0" borderId="0" xfId="0" applyFont="1" applyFill="1" applyAlignment="1" applyProtection="1">
      <alignment vertical="top" wrapText="1"/>
    </xf>
    <xf numFmtId="44" fontId="0" fillId="0" borderId="0" xfId="0" applyNumberFormat="1" applyProtection="1"/>
    <xf numFmtId="0" fontId="33" fillId="0" borderId="0" xfId="0" applyFont="1" applyFill="1" applyBorder="1" applyAlignment="1" applyProtection="1">
      <alignment wrapText="1"/>
    </xf>
    <xf numFmtId="167" fontId="33" fillId="0" borderId="0" xfId="1" applyNumberFormat="1" applyFont="1" applyFill="1" applyBorder="1" applyAlignment="1" applyProtection="1"/>
    <xf numFmtId="43" fontId="33" fillId="3" borderId="1" xfId="1" applyFont="1" applyFill="1" applyBorder="1" applyProtection="1"/>
    <xf numFmtId="43" fontId="33" fillId="3" borderId="1" xfId="1" applyNumberFormat="1" applyFont="1" applyFill="1" applyBorder="1" applyProtection="1"/>
    <xf numFmtId="0" fontId="43" fillId="0" borderId="10" xfId="0" applyFont="1" applyFill="1" applyBorder="1" applyAlignment="1" applyProtection="1">
      <alignment horizontal="center" vertical="center" wrapText="1"/>
    </xf>
    <xf numFmtId="44" fontId="33" fillId="0" borderId="1" xfId="0" applyNumberFormat="1" applyFont="1" applyFill="1" applyBorder="1" applyAlignment="1" applyProtection="1">
      <alignment vertical="center" wrapText="1"/>
    </xf>
    <xf numFmtId="44" fontId="33" fillId="3" borderId="1" xfId="0" applyNumberFormat="1" applyFont="1" applyFill="1" applyBorder="1" applyAlignment="1" applyProtection="1">
      <alignment vertical="center" wrapText="1"/>
    </xf>
    <xf numFmtId="0" fontId="40" fillId="0" borderId="0" xfId="0" applyFont="1" applyAlignment="1" applyProtection="1">
      <alignment horizontal="center"/>
    </xf>
    <xf numFmtId="0" fontId="44" fillId="0" borderId="0" xfId="0" applyFont="1" applyAlignment="1" applyProtection="1">
      <alignment horizontal="center"/>
    </xf>
    <xf numFmtId="0" fontId="72" fillId="0" borderId="0" xfId="0" applyFont="1" applyBorder="1" applyAlignment="1" applyProtection="1">
      <alignment horizontal="center"/>
    </xf>
    <xf numFmtId="0" fontId="4" fillId="0" borderId="0" xfId="0" applyFont="1" applyAlignment="1" applyProtection="1">
      <alignment horizontal="left" vertical="center" wrapText="1"/>
    </xf>
    <xf numFmtId="0" fontId="4" fillId="0" borderId="0" xfId="0" applyFont="1" applyFill="1" applyAlignment="1" applyProtection="1">
      <alignment horizontal="left" vertical="center" wrapText="1"/>
    </xf>
    <xf numFmtId="0" fontId="33" fillId="0" borderId="0" xfId="0" applyFont="1" applyAlignment="1" applyProtection="1">
      <alignment horizontal="left"/>
    </xf>
    <xf numFmtId="0" fontId="67" fillId="0" borderId="0" xfId="0" applyFont="1" applyAlignment="1" applyProtection="1">
      <alignment horizontal="center"/>
    </xf>
    <xf numFmtId="0" fontId="89" fillId="0" borderId="0" xfId="0" applyFont="1" applyBorder="1" applyAlignment="1" applyProtection="1">
      <alignment horizontal="center" vertical="center"/>
    </xf>
    <xf numFmtId="0" fontId="35" fillId="0" borderId="0" xfId="0" applyFont="1" applyFill="1" applyAlignment="1" applyProtection="1"/>
    <xf numFmtId="0" fontId="8" fillId="0" borderId="7" xfId="0" applyFont="1" applyBorder="1" applyProtection="1"/>
    <xf numFmtId="167" fontId="8" fillId="0" borderId="7" xfId="1" applyNumberFormat="1" applyFont="1" applyBorder="1" applyProtection="1"/>
    <xf numFmtId="43" fontId="33" fillId="4" borderId="1" xfId="1" applyFont="1" applyFill="1" applyBorder="1" applyProtection="1">
      <protection locked="0"/>
    </xf>
    <xf numFmtId="2" fontId="33" fillId="0" borderId="0" xfId="0" applyNumberFormat="1" applyFont="1" applyFill="1" applyBorder="1" applyAlignment="1" applyProtection="1">
      <alignment vertical="center" wrapText="1"/>
    </xf>
    <xf numFmtId="0" fontId="33" fillId="0" borderId="0" xfId="0" applyFont="1" applyFill="1" applyBorder="1" applyAlignment="1" applyProtection="1">
      <alignment vertical="top" wrapText="1"/>
    </xf>
    <xf numFmtId="43" fontId="33" fillId="4" borderId="0" xfId="1" applyNumberFormat="1" applyFont="1" applyFill="1" applyProtection="1">
      <protection locked="0"/>
    </xf>
    <xf numFmtId="0" fontId="33" fillId="4" borderId="1" xfId="0" applyFont="1" applyFill="1" applyBorder="1" applyAlignment="1" applyProtection="1">
      <alignment horizontal="center"/>
      <protection locked="0"/>
    </xf>
    <xf numFmtId="44" fontId="33" fillId="4" borderId="1" xfId="2" applyFont="1" applyFill="1" applyBorder="1" applyProtection="1">
      <protection locked="0"/>
    </xf>
    <xf numFmtId="0" fontId="33" fillId="0" borderId="0" xfId="0" applyFont="1" applyFill="1" applyBorder="1" applyAlignment="1" applyProtection="1">
      <alignment horizontal="left" vertical="top" wrapText="1"/>
    </xf>
    <xf numFmtId="0" fontId="57" fillId="0" borderId="2" xfId="0" applyFont="1" applyBorder="1" applyProtection="1"/>
    <xf numFmtId="0" fontId="57" fillId="0" borderId="0" xfId="0" applyFont="1" applyProtection="1"/>
    <xf numFmtId="0" fontId="57" fillId="0" borderId="34" xfId="0" applyFont="1" applyBorder="1" applyProtection="1"/>
    <xf numFmtId="0" fontId="69" fillId="0" borderId="14" xfId="0" applyFont="1" applyBorder="1" applyAlignment="1" applyProtection="1">
      <alignment horizontal="center"/>
    </xf>
    <xf numFmtId="0" fontId="69" fillId="0" borderId="0" xfId="0" applyFont="1" applyBorder="1" applyAlignment="1" applyProtection="1">
      <alignment horizontal="center"/>
    </xf>
    <xf numFmtId="18" fontId="63" fillId="0" borderId="0" xfId="0" applyNumberFormat="1" applyFont="1" applyBorder="1" applyProtection="1"/>
    <xf numFmtId="0" fontId="69" fillId="0" borderId="23" xfId="0" applyFont="1" applyBorder="1" applyAlignment="1" applyProtection="1">
      <alignment horizontal="center"/>
    </xf>
    <xf numFmtId="0" fontId="69" fillId="0" borderId="34" xfId="0" applyFont="1" applyBorder="1" applyProtection="1"/>
    <xf numFmtId="0" fontId="69" fillId="0" borderId="14" xfId="0" applyFont="1" applyBorder="1" applyProtection="1"/>
    <xf numFmtId="0" fontId="69" fillId="0" borderId="0" xfId="0" applyFont="1" applyBorder="1" applyProtection="1"/>
    <xf numFmtId="0" fontId="69" fillId="0" borderId="7" xfId="0" applyFont="1" applyBorder="1" applyAlignment="1" applyProtection="1">
      <alignment horizontal="center" wrapText="1"/>
    </xf>
    <xf numFmtId="0" fontId="69" fillId="0" borderId="7" xfId="0" applyFont="1" applyBorder="1" applyAlignment="1" applyProtection="1">
      <alignment wrapText="1"/>
    </xf>
    <xf numFmtId="0" fontId="69" fillId="0" borderId="8" xfId="0" applyFont="1" applyBorder="1" applyAlignment="1" applyProtection="1">
      <alignment wrapText="1"/>
    </xf>
    <xf numFmtId="0" fontId="63" fillId="0" borderId="2" xfId="0" applyFont="1" applyBorder="1" applyProtection="1"/>
    <xf numFmtId="18" fontId="63" fillId="0" borderId="9" xfId="0" applyNumberFormat="1" applyFont="1" applyBorder="1" applyProtection="1"/>
    <xf numFmtId="18" fontId="63" fillId="0" borderId="4" xfId="0" applyNumberFormat="1" applyFont="1" applyBorder="1" applyProtection="1"/>
    <xf numFmtId="43" fontId="63" fillId="0" borderId="0" xfId="1" applyFont="1" applyBorder="1" applyProtection="1"/>
    <xf numFmtId="18" fontId="63" fillId="0" borderId="0" xfId="1" applyNumberFormat="1" applyFont="1" applyBorder="1" applyProtection="1"/>
    <xf numFmtId="43" fontId="63" fillId="0" borderId="23" xfId="1" applyFont="1" applyBorder="1" applyProtection="1"/>
    <xf numFmtId="0" fontId="63" fillId="0" borderId="0" xfId="0" applyFont="1" applyProtection="1"/>
    <xf numFmtId="0" fontId="63" fillId="0" borderId="34" xfId="0" applyFont="1" applyBorder="1" applyProtection="1"/>
    <xf numFmtId="18" fontId="63" fillId="0" borderId="14" xfId="0" applyNumberFormat="1" applyFont="1" applyBorder="1" applyProtection="1"/>
    <xf numFmtId="0" fontId="63" fillId="0" borderId="3" xfId="0" applyFont="1" applyBorder="1" applyProtection="1"/>
    <xf numFmtId="18" fontId="63" fillId="0" borderId="6" xfId="0" applyNumberFormat="1" applyFont="1" applyBorder="1" applyProtection="1"/>
    <xf numFmtId="18" fontId="63" fillId="0" borderId="7" xfId="0" applyNumberFormat="1" applyFont="1" applyBorder="1" applyProtection="1"/>
    <xf numFmtId="43" fontId="63" fillId="0" borderId="7" xfId="1" applyFont="1" applyBorder="1" applyProtection="1"/>
    <xf numFmtId="18" fontId="63" fillId="0" borderId="7" xfId="1" applyNumberFormat="1" applyFont="1" applyBorder="1" applyProtection="1"/>
    <xf numFmtId="43" fontId="63" fillId="0" borderId="8" xfId="1" applyFont="1" applyBorder="1" applyProtection="1"/>
    <xf numFmtId="165" fontId="14" fillId="10" borderId="1" xfId="2" applyNumberFormat="1" applyFont="1" applyFill="1" applyBorder="1" applyProtection="1">
      <protection locked="0"/>
    </xf>
    <xf numFmtId="167" fontId="10" fillId="0" borderId="0" xfId="1" applyNumberFormat="1" applyFont="1" applyFill="1" applyBorder="1" applyAlignment="1" applyProtection="1">
      <alignment vertical="center"/>
    </xf>
    <xf numFmtId="44" fontId="33" fillId="0" borderId="0" xfId="0" applyNumberFormat="1" applyFont="1" applyFill="1" applyBorder="1" applyAlignment="1" applyProtection="1"/>
    <xf numFmtId="0" fontId="90" fillId="0" borderId="0" xfId="0" applyFont="1" applyFill="1" applyBorder="1" applyAlignment="1" applyProtection="1"/>
    <xf numFmtId="44" fontId="90" fillId="0" borderId="0" xfId="2" applyNumberFormat="1" applyFont="1" applyFill="1" applyBorder="1" applyAlignment="1" applyProtection="1">
      <alignment horizontal="center"/>
    </xf>
    <xf numFmtId="43" fontId="36" fillId="5" borderId="1" xfId="1" applyFont="1" applyFill="1" applyBorder="1" applyAlignment="1" applyProtection="1">
      <alignment horizontal="center" vertical="center"/>
    </xf>
    <xf numFmtId="0" fontId="32" fillId="5" borderId="1" xfId="0" applyFont="1" applyFill="1" applyBorder="1" applyAlignment="1" applyProtection="1">
      <alignment horizontal="center"/>
    </xf>
    <xf numFmtId="43" fontId="32" fillId="5" borderId="1" xfId="1" applyFont="1" applyFill="1" applyBorder="1" applyAlignment="1" applyProtection="1">
      <alignment horizontal="center"/>
    </xf>
    <xf numFmtId="43" fontId="69" fillId="0" borderId="10" xfId="1" applyFont="1" applyFill="1" applyBorder="1" applyAlignment="1" applyProtection="1">
      <alignment horizontal="center" vertical="center" wrapText="1"/>
    </xf>
    <xf numFmtId="43" fontId="36" fillId="5" borderId="10" xfId="1" applyFont="1" applyFill="1" applyBorder="1" applyAlignment="1" applyProtection="1">
      <alignment horizontal="center"/>
    </xf>
    <xf numFmtId="43" fontId="36" fillId="5" borderId="8" xfId="1" applyFont="1" applyFill="1" applyBorder="1" applyAlignment="1" applyProtection="1">
      <alignment horizontal="center"/>
    </xf>
    <xf numFmtId="43" fontId="57" fillId="0" borderId="3" xfId="1" applyFont="1" applyFill="1" applyBorder="1" applyAlignment="1" applyProtection="1">
      <alignment horizontal="center"/>
    </xf>
    <xf numFmtId="43" fontId="33" fillId="4" borderId="8" xfId="1" applyFont="1" applyFill="1" applyBorder="1" applyAlignment="1" applyProtection="1">
      <alignment horizontal="center"/>
      <protection locked="0"/>
    </xf>
    <xf numFmtId="43" fontId="69" fillId="0" borderId="1" xfId="1" applyFont="1" applyBorder="1" applyAlignment="1" applyProtection="1">
      <alignment horizontal="center" vertical="center" wrapText="1"/>
    </xf>
    <xf numFmtId="43" fontId="32" fillId="0" borderId="3" xfId="1" applyFont="1" applyFill="1" applyBorder="1" applyAlignment="1" applyProtection="1">
      <alignment horizontal="center" vertical="center"/>
    </xf>
    <xf numFmtId="174" fontId="33" fillId="0" borderId="0" xfId="4" applyNumberFormat="1" applyFont="1" applyProtection="1"/>
    <xf numFmtId="174" fontId="33" fillId="0" borderId="7" xfId="4" applyNumberFormat="1" applyFont="1" applyFill="1" applyBorder="1" applyProtection="1"/>
    <xf numFmtId="174" fontId="33" fillId="0" borderId="0" xfId="4" applyNumberFormat="1" applyFont="1" applyFill="1" applyProtection="1"/>
    <xf numFmtId="174" fontId="33" fillId="0" borderId="0" xfId="1" applyNumberFormat="1" applyFont="1" applyFill="1" applyProtection="1"/>
    <xf numFmtId="174" fontId="33" fillId="0" borderId="0" xfId="4" applyNumberFormat="1" applyFont="1" applyFill="1" applyBorder="1" applyProtection="1"/>
    <xf numFmtId="174" fontId="33" fillId="0" borderId="0" xfId="0" applyNumberFormat="1" applyFont="1" applyProtection="1"/>
    <xf numFmtId="174" fontId="33" fillId="0" borderId="26" xfId="4" applyNumberFormat="1" applyFont="1" applyBorder="1" applyProtection="1"/>
    <xf numFmtId="174" fontId="33" fillId="0" borderId="26" xfId="0" applyNumberFormat="1" applyFont="1" applyBorder="1" applyProtection="1"/>
    <xf numFmtId="43" fontId="36" fillId="9" borderId="1" xfId="1" applyFont="1" applyFill="1" applyBorder="1" applyAlignment="1" applyProtection="1">
      <alignment horizontal="center" vertical="center"/>
    </xf>
    <xf numFmtId="0" fontId="82" fillId="3" borderId="3" xfId="0" applyFont="1" applyFill="1" applyBorder="1" applyAlignment="1" applyProtection="1">
      <alignment horizontal="center" vertical="center" wrapText="1"/>
    </xf>
    <xf numFmtId="0" fontId="0" fillId="0" borderId="4" xfId="0" applyFill="1" applyBorder="1" applyAlignment="1" applyProtection="1"/>
    <xf numFmtId="44" fontId="63" fillId="0" borderId="0" xfId="2" applyFont="1" applyFill="1" applyBorder="1" applyAlignment="1" applyProtection="1">
      <alignment horizontal="center"/>
    </xf>
    <xf numFmtId="43" fontId="63" fillId="0" borderId="0" xfId="1" applyNumberFormat="1" applyFont="1" applyFill="1" applyBorder="1" applyAlignment="1" applyProtection="1">
      <alignment horizontal="center"/>
    </xf>
    <xf numFmtId="43" fontId="63" fillId="0" borderId="0" xfId="1" applyFont="1" applyFill="1" applyBorder="1" applyProtection="1"/>
    <xf numFmtId="2" fontId="33" fillId="4" borderId="1" xfId="0" applyNumberFormat="1" applyFont="1" applyFill="1" applyBorder="1" applyAlignment="1" applyProtection="1">
      <alignment horizontal="center" vertical="center"/>
      <protection locked="0"/>
    </xf>
    <xf numFmtId="0" fontId="0" fillId="0" borderId="0" xfId="0" applyFill="1" applyAlignment="1" applyProtection="1"/>
    <xf numFmtId="0" fontId="33" fillId="0" borderId="14" xfId="0" applyFont="1" applyFill="1" applyBorder="1" applyAlignment="1" applyProtection="1">
      <alignment horizontal="center" wrapText="1"/>
    </xf>
    <xf numFmtId="0" fontId="63" fillId="0" borderId="0" xfId="0" applyFont="1" applyFill="1" applyBorder="1" applyAlignment="1" applyProtection="1">
      <alignment horizontal="center" wrapText="1"/>
    </xf>
    <xf numFmtId="0" fontId="63" fillId="0" borderId="0" xfId="0" applyFont="1" applyFill="1" applyBorder="1" applyProtection="1"/>
    <xf numFmtId="44" fontId="33" fillId="0" borderId="0" xfId="2" applyFont="1" applyFill="1" applyBorder="1" applyAlignment="1" applyProtection="1">
      <alignment horizontal="left"/>
    </xf>
    <xf numFmtId="2" fontId="33" fillId="3" borderId="0" xfId="0" applyNumberFormat="1" applyFont="1" applyFill="1" applyBorder="1" applyAlignment="1" applyProtection="1">
      <alignment horizontal="right" vertical="center"/>
    </xf>
    <xf numFmtId="2" fontId="33" fillId="3" borderId="7" xfId="0" applyNumberFormat="1" applyFont="1" applyFill="1" applyBorder="1" applyAlignment="1" applyProtection="1">
      <alignment horizontal="right" vertical="center"/>
    </xf>
    <xf numFmtId="0" fontId="0" fillId="0" borderId="0" xfId="0" applyFill="1" applyAlignment="1" applyProtection="1">
      <alignment horizontal="left" wrapText="1"/>
    </xf>
    <xf numFmtId="0" fontId="0" fillId="0" borderId="0" xfId="0" applyFill="1" applyBorder="1" applyAlignment="1" applyProtection="1">
      <alignment horizontal="left" wrapText="1"/>
    </xf>
    <xf numFmtId="44" fontId="33" fillId="0" borderId="1" xfId="2" applyFont="1" applyBorder="1" applyProtection="1"/>
    <xf numFmtId="44" fontId="84" fillId="0" borderId="14" xfId="2" applyFont="1" applyFill="1" applyBorder="1" applyAlignment="1" applyProtection="1">
      <alignment horizontal="left"/>
    </xf>
    <xf numFmtId="1" fontId="95" fillId="0" borderId="0" xfId="0" applyNumberFormat="1" applyFont="1" applyFill="1" applyBorder="1" applyAlignment="1" applyProtection="1">
      <alignment horizontal="center"/>
    </xf>
    <xf numFmtId="0" fontId="33" fillId="3" borderId="1" xfId="0" quotePrefix="1" applyFont="1" applyFill="1" applyBorder="1" applyAlignment="1" applyProtection="1">
      <alignment horizontal="center"/>
    </xf>
    <xf numFmtId="0" fontId="43" fillId="0" borderId="1" xfId="0" applyFont="1" applyBorder="1" applyAlignment="1" applyProtection="1">
      <alignment horizontal="center" vertical="center"/>
    </xf>
    <xf numFmtId="0" fontId="0" fillId="0" borderId="0" xfId="0" applyFill="1" applyAlignment="1" applyProtection="1">
      <alignment vertical="center"/>
    </xf>
    <xf numFmtId="0" fontId="33" fillId="3" borderId="10" xfId="0" quotePrefix="1" applyFont="1" applyFill="1" applyBorder="1" applyAlignment="1" applyProtection="1">
      <alignment horizontal="center"/>
    </xf>
    <xf numFmtId="0" fontId="33" fillId="0" borderId="1" xfId="0" applyFont="1" applyBorder="1" applyProtection="1"/>
    <xf numFmtId="44" fontId="33" fillId="0" borderId="1" xfId="0" applyNumberFormat="1" applyFont="1" applyBorder="1" applyProtection="1"/>
    <xf numFmtId="0" fontId="36" fillId="0" borderId="0" xfId="0" applyFont="1" applyFill="1" applyBorder="1" applyAlignment="1" applyProtection="1">
      <alignment horizontal="right" indent="11"/>
    </xf>
    <xf numFmtId="0" fontId="97" fillId="0" borderId="0" xfId="0" applyFont="1" applyFill="1" applyBorder="1" applyAlignment="1" applyProtection="1">
      <alignment wrapText="1"/>
    </xf>
    <xf numFmtId="0" fontId="55" fillId="0" borderId="0" xfId="0" applyFont="1" applyFill="1" applyBorder="1" applyAlignment="1" applyProtection="1"/>
    <xf numFmtId="0" fontId="48" fillId="0" borderId="0" xfId="0" applyFont="1" applyBorder="1" applyAlignment="1" applyProtection="1">
      <alignment horizontal="right" indent="11"/>
    </xf>
    <xf numFmtId="0" fontId="33" fillId="0" borderId="0" xfId="0" applyFont="1" applyBorder="1" applyAlignment="1" applyProtection="1">
      <alignment horizontal="right" indent="2"/>
    </xf>
    <xf numFmtId="0" fontId="33" fillId="0" borderId="0" xfId="0" applyFont="1" applyBorder="1" applyAlignment="1" applyProtection="1">
      <alignment horizontal="center"/>
    </xf>
    <xf numFmtId="0" fontId="33" fillId="0" borderId="0" xfId="0" applyFont="1" applyBorder="1" applyAlignment="1" applyProtection="1">
      <alignment horizontal="right" indent="4"/>
    </xf>
    <xf numFmtId="0" fontId="48" fillId="0" borderId="0" xfId="0" applyFont="1" applyBorder="1" applyAlignment="1" applyProtection="1">
      <alignment horizontal="right" indent="2"/>
    </xf>
    <xf numFmtId="0" fontId="33" fillId="0" borderId="0" xfId="0" applyFont="1" applyFill="1" applyBorder="1" applyAlignment="1" applyProtection="1">
      <alignment horizontal="right" indent="4"/>
    </xf>
    <xf numFmtId="0" fontId="102" fillId="0" borderId="0" xfId="0" applyFont="1" applyFill="1" applyBorder="1" applyAlignment="1" applyProtection="1"/>
    <xf numFmtId="0" fontId="35" fillId="0" borderId="0" xfId="0" applyFont="1" applyFill="1" applyBorder="1" applyAlignment="1" applyProtection="1">
      <alignment horizontal="center"/>
    </xf>
    <xf numFmtId="0" fontId="48" fillId="0" borderId="0" xfId="0" applyFont="1" applyBorder="1" applyAlignment="1" applyProtection="1">
      <alignment horizontal="left"/>
    </xf>
    <xf numFmtId="0" fontId="84" fillId="0" borderId="0" xfId="0" applyFont="1" applyFill="1" applyBorder="1" applyAlignment="1" applyProtection="1"/>
    <xf numFmtId="0" fontId="33" fillId="0" borderId="0" xfId="0" applyFont="1" applyBorder="1" applyAlignment="1" applyProtection="1">
      <alignment horizontal="left"/>
    </xf>
    <xf numFmtId="0" fontId="4" fillId="0" borderId="0" xfId="0" applyFont="1" applyBorder="1" applyAlignment="1" applyProtection="1"/>
    <xf numFmtId="44" fontId="33" fillId="0" borderId="0" xfId="0" applyNumberFormat="1" applyFont="1" applyBorder="1" applyAlignment="1" applyProtection="1"/>
    <xf numFmtId="43" fontId="33" fillId="0" borderId="0" xfId="1" applyFont="1" applyBorder="1" applyAlignment="1" applyProtection="1">
      <alignment vertical="top"/>
    </xf>
    <xf numFmtId="0" fontId="4" fillId="0" borderId="0" xfId="0" applyFont="1" applyFill="1" applyBorder="1" applyAlignment="1" applyProtection="1"/>
    <xf numFmtId="0" fontId="48" fillId="0" borderId="0" xfId="0" applyFont="1" applyBorder="1" applyAlignment="1" applyProtection="1">
      <alignment horizontal="right" indent="4"/>
    </xf>
    <xf numFmtId="0" fontId="32" fillId="0" borderId="0" xfId="0" applyFont="1" applyFill="1" applyBorder="1" applyAlignment="1" applyProtection="1">
      <alignment horizontal="right" indent="4"/>
    </xf>
    <xf numFmtId="0" fontId="48" fillId="0" borderId="0" xfId="0" applyFont="1" applyBorder="1" applyAlignment="1" applyProtection="1">
      <alignment horizontal="right" indent="6"/>
    </xf>
    <xf numFmtId="44" fontId="33" fillId="0" borderId="0" xfId="0" applyNumberFormat="1" applyFont="1" applyFill="1" applyBorder="1" applyAlignment="1" applyProtection="1">
      <alignment vertical="center" wrapText="1"/>
    </xf>
    <xf numFmtId="2" fontId="33" fillId="0" borderId="0" xfId="0" applyNumberFormat="1" applyFont="1" applyFill="1" applyBorder="1" applyAlignment="1" applyProtection="1">
      <alignment horizontal="left" vertical="center"/>
    </xf>
    <xf numFmtId="173" fontId="33" fillId="0" borderId="0" xfId="0" applyNumberFormat="1" applyFont="1" applyFill="1" applyBorder="1" applyAlignment="1" applyProtection="1">
      <alignment horizontal="center" vertical="center" wrapText="1"/>
    </xf>
    <xf numFmtId="173" fontId="33" fillId="0" borderId="0" xfId="0" applyNumberFormat="1" applyFont="1" applyFill="1" applyBorder="1" applyAlignment="1" applyProtection="1">
      <alignment horizontal="left" vertical="center"/>
    </xf>
    <xf numFmtId="0" fontId="7" fillId="0" borderId="0" xfId="0" applyFont="1" applyAlignment="1" applyProtection="1">
      <alignment horizontal="left" wrapText="1"/>
    </xf>
    <xf numFmtId="0" fontId="40" fillId="0" borderId="0" xfId="0" applyFont="1" applyAlignment="1" applyProtection="1">
      <alignment horizontal="center"/>
    </xf>
    <xf numFmtId="0" fontId="32" fillId="0" borderId="0" xfId="0" applyFont="1" applyFill="1" applyBorder="1" applyAlignment="1" applyProtection="1">
      <alignment horizontal="left"/>
    </xf>
    <xf numFmtId="0" fontId="72" fillId="0" borderId="0" xfId="0" applyFont="1" applyBorder="1" applyAlignment="1" applyProtection="1">
      <alignment horizontal="center"/>
    </xf>
    <xf numFmtId="0" fontId="63" fillId="0" borderId="0" xfId="0" applyFont="1" applyFill="1" applyAlignment="1" applyProtection="1">
      <alignment horizontal="center"/>
    </xf>
    <xf numFmtId="0" fontId="14" fillId="0" borderId="10" xfId="0" applyFont="1" applyFill="1" applyBorder="1" applyAlignment="1" applyProtection="1">
      <alignment horizontal="left"/>
    </xf>
    <xf numFmtId="0" fontId="56" fillId="0" borderId="1" xfId="0" applyFont="1" applyFill="1" applyBorder="1" applyAlignment="1" applyProtection="1">
      <alignment horizontal="left"/>
    </xf>
    <xf numFmtId="0" fontId="56" fillId="0" borderId="11" xfId="0" applyFont="1" applyFill="1" applyBorder="1" applyAlignment="1" applyProtection="1">
      <alignment horizontal="left"/>
    </xf>
    <xf numFmtId="0" fontId="10" fillId="0" borderId="10" xfId="0" applyFont="1" applyBorder="1" applyAlignment="1" applyProtection="1">
      <alignment horizontal="left"/>
    </xf>
    <xf numFmtId="0" fontId="7" fillId="0" borderId="6" xfId="0" applyFont="1" applyFill="1" applyBorder="1" applyAlignment="1" applyProtection="1">
      <alignment horizontal="center" vertical="center"/>
    </xf>
    <xf numFmtId="0" fontId="7" fillId="0" borderId="7" xfId="0" applyFont="1" applyFill="1" applyBorder="1" applyAlignment="1" applyProtection="1">
      <alignment horizontal="center" vertical="center"/>
    </xf>
    <xf numFmtId="0" fontId="10" fillId="5" borderId="10" xfId="0" applyFont="1" applyFill="1" applyBorder="1" applyAlignment="1" applyProtection="1">
      <alignment horizontal="left"/>
    </xf>
    <xf numFmtId="0" fontId="10" fillId="0" borderId="9" xfId="0" applyFont="1" applyBorder="1" applyAlignment="1" applyProtection="1">
      <alignment horizontal="left"/>
    </xf>
    <xf numFmtId="0" fontId="10" fillId="0" borderId="4" xfId="0" applyFont="1" applyBorder="1" applyAlignment="1" applyProtection="1">
      <alignment horizontal="left"/>
    </xf>
    <xf numFmtId="0" fontId="33" fillId="0" borderId="1" xfId="0" applyFont="1" applyFill="1" applyBorder="1" applyAlignment="1" applyProtection="1">
      <alignment horizontal="center" vertical="center" wrapText="1"/>
    </xf>
    <xf numFmtId="0" fontId="33" fillId="0" borderId="11" xfId="0" applyFont="1" applyFill="1" applyBorder="1" applyAlignment="1" applyProtection="1">
      <alignment horizontal="center" vertical="center" wrapText="1"/>
    </xf>
    <xf numFmtId="0" fontId="35" fillId="0" borderId="0" xfId="0" applyFont="1" applyFill="1" applyAlignment="1" applyProtection="1">
      <alignment horizontal="center"/>
    </xf>
    <xf numFmtId="173" fontId="33" fillId="12" borderId="13" xfId="0" applyNumberFormat="1" applyFont="1" applyFill="1" applyBorder="1" applyAlignment="1" applyProtection="1">
      <alignment horizontal="center"/>
      <protection locked="0"/>
    </xf>
    <xf numFmtId="0" fontId="33" fillId="0" borderId="11" xfId="0" applyFont="1" applyFill="1" applyBorder="1" applyAlignment="1" applyProtection="1">
      <alignment horizontal="center" wrapText="1"/>
    </xf>
    <xf numFmtId="0" fontId="33" fillId="0" borderId="10" xfId="0" applyFont="1" applyFill="1" applyBorder="1" applyAlignment="1" applyProtection="1">
      <alignment horizontal="center" wrapText="1"/>
    </xf>
    <xf numFmtId="43" fontId="33" fillId="10" borderId="1" xfId="1" applyFont="1" applyFill="1" applyBorder="1" applyAlignment="1" applyProtection="1">
      <alignment horizontal="center"/>
      <protection locked="0"/>
    </xf>
    <xf numFmtId="43" fontId="33" fillId="0" borderId="0" xfId="1" applyFont="1" applyFill="1" applyBorder="1" applyAlignment="1" applyProtection="1">
      <alignment horizontal="center"/>
    </xf>
    <xf numFmtId="0" fontId="33" fillId="0" borderId="0" xfId="0" applyFont="1" applyFill="1" applyBorder="1" applyAlignment="1" applyProtection="1">
      <alignment horizontal="center"/>
    </xf>
    <xf numFmtId="0" fontId="69" fillId="5" borderId="9" xfId="0" applyFont="1" applyFill="1" applyBorder="1" applyAlignment="1" applyProtection="1">
      <alignment horizontal="center" vertical="center" wrapText="1"/>
    </xf>
    <xf numFmtId="0" fontId="82" fillId="5" borderId="6" xfId="0" applyFont="1" applyFill="1" applyBorder="1" applyAlignment="1" applyProtection="1">
      <alignment horizontal="center" vertical="center"/>
    </xf>
    <xf numFmtId="44" fontId="33" fillId="5" borderId="9" xfId="2" applyNumberFormat="1" applyFont="1" applyFill="1" applyBorder="1" applyAlignment="1" applyProtection="1">
      <alignment horizontal="center" vertical="center"/>
    </xf>
    <xf numFmtId="44" fontId="33" fillId="5" borderId="14" xfId="0" applyNumberFormat="1" applyFont="1" applyFill="1" applyBorder="1" applyAlignment="1" applyProtection="1">
      <alignment horizontal="center" vertical="center"/>
    </xf>
    <xf numFmtId="44" fontId="33" fillId="0" borderId="0" xfId="0" applyNumberFormat="1" applyFont="1" applyFill="1" applyBorder="1" applyAlignment="1" applyProtection="1">
      <alignment horizontal="center"/>
    </xf>
    <xf numFmtId="44" fontId="33" fillId="0" borderId="0" xfId="2" applyFont="1" applyFill="1" applyBorder="1" applyAlignment="1" applyProtection="1">
      <alignment horizontal="center"/>
    </xf>
    <xf numFmtId="0" fontId="33" fillId="0" borderId="0" xfId="0" applyFont="1" applyAlignment="1" applyProtection="1">
      <alignment horizontal="left"/>
    </xf>
    <xf numFmtId="44" fontId="32" fillId="5" borderId="33" xfId="2" applyFont="1" applyFill="1" applyBorder="1" applyAlignment="1" applyProtection="1">
      <alignment horizontal="center"/>
    </xf>
    <xf numFmtId="0" fontId="33" fillId="0" borderId="1" xfId="0" applyFont="1" applyFill="1" applyBorder="1" applyAlignment="1" applyProtection="1">
      <alignment horizontal="center" wrapText="1"/>
    </xf>
    <xf numFmtId="0" fontId="33" fillId="0" borderId="0" xfId="0" applyFont="1" applyFill="1" applyBorder="1" applyAlignment="1" applyProtection="1">
      <alignment horizontal="center" wrapText="1"/>
    </xf>
    <xf numFmtId="44" fontId="33" fillId="3" borderId="1" xfId="0" applyNumberFormat="1" applyFont="1" applyFill="1" applyBorder="1" applyAlignment="1" applyProtection="1">
      <alignment horizontal="center"/>
    </xf>
    <xf numFmtId="0" fontId="33" fillId="3" borderId="1" xfId="0" applyFont="1" applyFill="1" applyBorder="1" applyAlignment="1" applyProtection="1">
      <alignment horizontal="center"/>
    </xf>
    <xf numFmtId="0" fontId="32" fillId="0" borderId="1" xfId="0" applyFont="1" applyBorder="1" applyAlignment="1" applyProtection="1">
      <alignment horizontal="center" vertical="center" wrapText="1"/>
    </xf>
    <xf numFmtId="0" fontId="40" fillId="0" borderId="0" xfId="0" applyFont="1" applyFill="1" applyAlignment="1" applyProtection="1">
      <alignment horizontal="center"/>
    </xf>
    <xf numFmtId="173" fontId="33" fillId="0" borderId="0" xfId="0" applyNumberFormat="1" applyFont="1" applyFill="1" applyBorder="1" applyAlignment="1" applyProtection="1">
      <alignment horizontal="center"/>
    </xf>
    <xf numFmtId="0" fontId="85" fillId="0" borderId="0" xfId="0" applyFont="1" applyFill="1" applyBorder="1" applyAlignment="1" applyProtection="1">
      <alignment horizontal="left"/>
    </xf>
    <xf numFmtId="0" fontId="32" fillId="0" borderId="0" xfId="0" applyFont="1" applyFill="1" applyBorder="1" applyAlignment="1" applyProtection="1">
      <alignment horizontal="left"/>
    </xf>
    <xf numFmtId="0" fontId="33" fillId="0" borderId="0" xfId="0" applyFont="1" applyFill="1" applyBorder="1" applyAlignment="1" applyProtection="1">
      <alignment horizontal="left" wrapText="1"/>
    </xf>
    <xf numFmtId="44" fontId="33" fillId="0" borderId="0" xfId="0" applyNumberFormat="1" applyFont="1" applyFill="1" applyBorder="1" applyAlignment="1" applyProtection="1">
      <alignment horizontal="left" vertical="center" wrapText="1"/>
    </xf>
    <xf numFmtId="0" fontId="69" fillId="0" borderId="1" xfId="0" applyFont="1" applyFill="1" applyBorder="1" applyAlignment="1" applyProtection="1">
      <alignment horizontal="center" vertical="center" wrapText="1"/>
    </xf>
    <xf numFmtId="0" fontId="33" fillId="0" borderId="38" xfId="0" applyFont="1" applyFill="1" applyBorder="1" applyAlignment="1" applyProtection="1">
      <alignment horizontal="center" vertical="center" wrapText="1"/>
    </xf>
    <xf numFmtId="0" fontId="0" fillId="0" borderId="0" xfId="0" applyAlignment="1" applyProtection="1">
      <alignment wrapText="1"/>
    </xf>
    <xf numFmtId="0" fontId="63" fillId="0" borderId="0" xfId="0" applyFont="1" applyFill="1" applyBorder="1" applyAlignment="1" applyProtection="1">
      <alignment wrapText="1"/>
    </xf>
    <xf numFmtId="0" fontId="0" fillId="0" borderId="0" xfId="0" applyFill="1" applyAlignment="1" applyProtection="1">
      <alignment wrapText="1"/>
    </xf>
    <xf numFmtId="44" fontId="35" fillId="0" borderId="0" xfId="2" applyFont="1" applyFill="1" applyBorder="1" applyAlignment="1" applyProtection="1"/>
    <xf numFmtId="43" fontId="0" fillId="0" borderId="0" xfId="1" applyFont="1" applyProtection="1"/>
    <xf numFmtId="44" fontId="0" fillId="0" borderId="0" xfId="2" applyFont="1" applyProtection="1"/>
    <xf numFmtId="44" fontId="33" fillId="3" borderId="40" xfId="2" applyFont="1" applyFill="1" applyBorder="1" applyAlignment="1" applyProtection="1"/>
    <xf numFmtId="43" fontId="33" fillId="3" borderId="13" xfId="1" applyFont="1" applyFill="1" applyBorder="1" applyAlignment="1" applyProtection="1"/>
    <xf numFmtId="0" fontId="0" fillId="0" borderId="13" xfId="0" applyBorder="1" applyAlignment="1" applyProtection="1"/>
    <xf numFmtId="44" fontId="33" fillId="0" borderId="13" xfId="2" applyFont="1" applyFill="1" applyBorder="1" applyAlignment="1" applyProtection="1"/>
    <xf numFmtId="0" fontId="109" fillId="0" borderId="0" xfId="0" applyFont="1" applyFill="1" applyBorder="1" applyAlignment="1" applyProtection="1">
      <alignment horizontal="center" vertical="center" wrapText="1"/>
    </xf>
    <xf numFmtId="0" fontId="89" fillId="0" borderId="36" xfId="0" applyFont="1" applyBorder="1" applyAlignment="1" applyProtection="1">
      <alignment horizontal="center" vertical="center"/>
    </xf>
    <xf numFmtId="44" fontId="33" fillId="3" borderId="13" xfId="2" applyFont="1" applyFill="1" applyBorder="1" applyProtection="1"/>
    <xf numFmtId="0" fontId="33" fillId="0" borderId="10" xfId="0" applyFont="1" applyFill="1" applyBorder="1" applyAlignment="1" applyProtection="1">
      <alignment horizontal="center" wrapText="1"/>
    </xf>
    <xf numFmtId="0" fontId="33" fillId="0" borderId="0" xfId="0" applyFont="1" applyAlignment="1" applyProtection="1">
      <alignment horizontal="left"/>
    </xf>
    <xf numFmtId="0" fontId="33" fillId="0" borderId="1" xfId="0" applyFont="1" applyFill="1" applyBorder="1" applyAlignment="1" applyProtection="1">
      <alignment horizontal="center" wrapText="1"/>
    </xf>
    <xf numFmtId="0" fontId="40" fillId="0" borderId="0" xfId="0" applyFont="1" applyFill="1" applyAlignment="1" applyProtection="1">
      <alignment horizontal="center"/>
    </xf>
    <xf numFmtId="0" fontId="44" fillId="0" borderId="0" xfId="0" applyFont="1" applyFill="1" applyAlignment="1" applyProtection="1">
      <alignment horizontal="center" vertical="center"/>
    </xf>
    <xf numFmtId="0" fontId="72" fillId="0" borderId="0" xfId="0" applyFont="1" applyFill="1" applyAlignment="1" applyProtection="1">
      <alignment horizontal="center"/>
    </xf>
    <xf numFmtId="0" fontId="97" fillId="0" borderId="0" xfId="0" applyFont="1" applyFill="1" applyBorder="1" applyAlignment="1" applyProtection="1">
      <alignment horizontal="left"/>
    </xf>
    <xf numFmtId="0" fontId="32" fillId="0" borderId="0" xfId="0" applyFont="1" applyFill="1" applyBorder="1" applyAlignment="1" applyProtection="1">
      <alignment horizontal="center" vertical="center" wrapText="1"/>
    </xf>
    <xf numFmtId="0" fontId="96" fillId="0" borderId="0" xfId="0" applyFont="1" applyFill="1" applyBorder="1" applyAlignment="1" applyProtection="1">
      <alignment horizontal="center" vertical="center"/>
    </xf>
    <xf numFmtId="44" fontId="33" fillId="0" borderId="0" xfId="2" applyNumberFormat="1" applyFont="1" applyFill="1" applyBorder="1" applyAlignment="1" applyProtection="1">
      <alignment horizontal="center" vertical="center"/>
    </xf>
    <xf numFmtId="44" fontId="10" fillId="9" borderId="1" xfId="2" applyNumberFormat="1" applyFont="1" applyFill="1" applyBorder="1" applyProtection="1"/>
    <xf numFmtId="0" fontId="48" fillId="0" borderId="0" xfId="0" applyFont="1" applyFill="1" applyProtection="1"/>
    <xf numFmtId="0" fontId="33" fillId="0" borderId="0" xfId="0" applyFont="1" applyFill="1" applyAlignment="1" applyProtection="1">
      <alignment vertical="center"/>
    </xf>
    <xf numFmtId="169" fontId="0" fillId="9" borderId="20" xfId="0" applyNumberFormat="1" applyFill="1" applyBorder="1" applyProtection="1"/>
    <xf numFmtId="0" fontId="4" fillId="9" borderId="1" xfId="0" applyFont="1" applyFill="1" applyBorder="1" applyAlignment="1" applyProtection="1">
      <alignment vertical="top"/>
    </xf>
    <xf numFmtId="0" fontId="4" fillId="9" borderId="1" xfId="0" applyFont="1" applyFill="1" applyBorder="1" applyAlignment="1" applyProtection="1">
      <alignment horizontal="center" vertical="top"/>
    </xf>
    <xf numFmtId="0" fontId="0" fillId="9" borderId="1" xfId="0" applyFill="1" applyBorder="1" applyProtection="1"/>
    <xf numFmtId="0" fontId="84" fillId="0" borderId="0" xfId="0" applyFont="1" applyProtection="1"/>
    <xf numFmtId="0" fontId="85" fillId="0" borderId="0" xfId="0" applyFont="1" applyFill="1" applyAlignment="1" applyProtection="1">
      <alignment horizontal="left"/>
    </xf>
    <xf numFmtId="0" fontId="33" fillId="0" borderId="0" xfId="0" applyFont="1" applyAlignment="1" applyProtection="1">
      <alignment horizontal="left" vertical="top" wrapText="1"/>
    </xf>
    <xf numFmtId="0" fontId="84" fillId="0" borderId="0" xfId="0" applyFont="1" applyAlignment="1" applyProtection="1">
      <alignment horizontal="left" vertical="top" wrapText="1"/>
    </xf>
    <xf numFmtId="0" fontId="35" fillId="0" borderId="0" xfId="0" applyFont="1" applyFill="1" applyAlignment="1" applyProtection="1">
      <alignment horizontal="center"/>
    </xf>
    <xf numFmtId="0" fontId="48" fillId="0" borderId="0" xfId="0" applyFont="1" applyFill="1" applyAlignment="1" applyProtection="1">
      <alignment horizontal="left"/>
    </xf>
    <xf numFmtId="0" fontId="33" fillId="0" borderId="0" xfId="0" applyFont="1" applyFill="1" applyAlignment="1" applyProtection="1">
      <alignment horizontal="left" vertical="top" wrapText="1"/>
    </xf>
    <xf numFmtId="0" fontId="33" fillId="0" borderId="0" xfId="0" applyFont="1" applyAlignment="1" applyProtection="1">
      <alignment horizontal="left" vertical="top"/>
    </xf>
    <xf numFmtId="0" fontId="35" fillId="0" borderId="0" xfId="0" applyFont="1" applyAlignment="1" applyProtection="1">
      <alignment horizontal="center"/>
    </xf>
    <xf numFmtId="0" fontId="84" fillId="0" borderId="0" xfId="0" applyFont="1" applyFill="1" applyAlignment="1" applyProtection="1">
      <alignment horizontal="left" vertical="top" wrapText="1"/>
    </xf>
    <xf numFmtId="0" fontId="12" fillId="0" borderId="0" xfId="0" applyFont="1" applyFill="1" applyBorder="1" applyAlignment="1" applyProtection="1">
      <alignment horizontal="left" vertical="center" wrapText="1"/>
    </xf>
    <xf numFmtId="0" fontId="16" fillId="5" borderId="28" xfId="0" applyFont="1" applyFill="1" applyBorder="1" applyAlignment="1" applyProtection="1">
      <alignment vertical="center"/>
    </xf>
    <xf numFmtId="0" fontId="50" fillId="5" borderId="29" xfId="0" applyFont="1" applyFill="1" applyBorder="1" applyAlignment="1" applyProtection="1">
      <alignment vertical="center"/>
    </xf>
    <xf numFmtId="0" fontId="50" fillId="5" borderId="30" xfId="0" applyFont="1" applyFill="1" applyBorder="1" applyAlignment="1" applyProtection="1">
      <alignment vertical="center"/>
    </xf>
    <xf numFmtId="0" fontId="19" fillId="0" borderId="14" xfId="0" applyFont="1" applyBorder="1" applyAlignment="1" applyProtection="1">
      <alignment horizontal="center" vertical="center"/>
    </xf>
    <xf numFmtId="0" fontId="36" fillId="3" borderId="11" xfId="0" applyFont="1" applyFill="1" applyBorder="1" applyAlignment="1" applyProtection="1"/>
    <xf numFmtId="0" fontId="36" fillId="3" borderId="12" xfId="0" applyFont="1" applyFill="1" applyBorder="1" applyAlignment="1" applyProtection="1"/>
    <xf numFmtId="0" fontId="36" fillId="3" borderId="10" xfId="0" applyFont="1" applyFill="1" applyBorder="1" applyAlignment="1" applyProtection="1"/>
    <xf numFmtId="0" fontId="12" fillId="0" borderId="0" xfId="0" applyFont="1" applyFill="1" applyAlignment="1" applyProtection="1">
      <alignment horizontal="left" vertical="center"/>
    </xf>
    <xf numFmtId="0" fontId="16" fillId="5" borderId="25" xfId="0" quotePrefix="1" applyFont="1" applyFill="1" applyBorder="1" applyAlignment="1" applyProtection="1">
      <alignment horizontal="center" vertical="center"/>
    </xf>
    <xf numFmtId="0" fontId="50" fillId="5" borderId="31" xfId="0" applyFont="1" applyFill="1" applyBorder="1" applyAlignment="1" applyProtection="1">
      <alignment horizontal="center" vertical="center"/>
    </xf>
    <xf numFmtId="10" fontId="33" fillId="3" borderId="13" xfId="4" applyNumberFormat="1" applyFont="1" applyFill="1" applyBorder="1" applyAlignment="1" applyProtection="1">
      <alignment horizontal="center"/>
    </xf>
    <xf numFmtId="0" fontId="84" fillId="0" borderId="0" xfId="0" applyFont="1" applyBorder="1" applyAlignment="1" applyProtection="1">
      <alignment wrapText="1"/>
    </xf>
    <xf numFmtId="0" fontId="104" fillId="0" borderId="0" xfId="0" applyFont="1" applyBorder="1" applyAlignment="1" applyProtection="1">
      <alignment vertical="center" wrapText="1"/>
    </xf>
    <xf numFmtId="0" fontId="33" fillId="0" borderId="0" xfId="0" applyFont="1" applyFill="1" applyBorder="1" applyAlignment="1" applyProtection="1">
      <alignment horizontal="left" indent="2"/>
    </xf>
    <xf numFmtId="0" fontId="32" fillId="0" borderId="0" xfId="0" applyFont="1" applyFill="1" applyBorder="1" applyAlignment="1" applyProtection="1">
      <alignment horizontal="left" vertical="center" wrapText="1"/>
    </xf>
    <xf numFmtId="0" fontId="33" fillId="0" borderId="36" xfId="0" applyFont="1" applyFill="1" applyBorder="1" applyAlignment="1" applyProtection="1">
      <alignment vertical="center"/>
    </xf>
    <xf numFmtId="10" fontId="0" fillId="0" borderId="0" xfId="0" applyNumberFormat="1" applyProtection="1"/>
    <xf numFmtId="169" fontId="0" fillId="2" borderId="11" xfId="0" applyNumberFormat="1" applyFill="1" applyBorder="1" applyProtection="1"/>
    <xf numFmtId="169" fontId="0" fillId="2" borderId="33" xfId="0" applyNumberFormat="1" applyFill="1" applyBorder="1" applyProtection="1"/>
    <xf numFmtId="169" fontId="0" fillId="2" borderId="51" xfId="0" applyNumberFormat="1" applyFill="1" applyBorder="1" applyProtection="1"/>
    <xf numFmtId="169" fontId="0" fillId="9" borderId="11" xfId="0" applyNumberFormat="1" applyFill="1" applyBorder="1" applyProtection="1"/>
    <xf numFmtId="10" fontId="0" fillId="0" borderId="1" xfId="0" applyNumberFormat="1" applyBorder="1" applyProtection="1"/>
    <xf numFmtId="10" fontId="0" fillId="0" borderId="15" xfId="0" applyNumberFormat="1" applyBorder="1" applyProtection="1"/>
    <xf numFmtId="169" fontId="0" fillId="0" borderId="1" xfId="0" applyNumberFormat="1" applyFill="1" applyBorder="1" applyProtection="1"/>
    <xf numFmtId="169" fontId="0" fillId="15" borderId="20" xfId="0" applyNumberFormat="1" applyFill="1" applyBorder="1" applyProtection="1"/>
    <xf numFmtId="169" fontId="0" fillId="15" borderId="22" xfId="0" applyNumberFormat="1" applyFill="1" applyBorder="1" applyProtection="1"/>
    <xf numFmtId="169" fontId="0" fillId="15" borderId="18" xfId="0" applyNumberFormat="1" applyFill="1" applyBorder="1" applyProtection="1"/>
    <xf numFmtId="0" fontId="4" fillId="0" borderId="0" xfId="0" applyFont="1" applyAlignment="1" applyProtection="1">
      <alignment horizontal="left" vertical="center" wrapText="1"/>
    </xf>
    <xf numFmtId="0" fontId="4" fillId="0" borderId="0" xfId="0" applyFont="1" applyFill="1" applyAlignment="1" applyProtection="1">
      <alignment horizontal="left" vertical="center" wrapText="1"/>
    </xf>
    <xf numFmtId="0" fontId="33" fillId="0" borderId="0" xfId="0" applyFont="1" applyBorder="1" applyAlignment="1" applyProtection="1">
      <alignment horizontal="center" vertical="center" wrapText="1"/>
    </xf>
    <xf numFmtId="0" fontId="36" fillId="0" borderId="0" xfId="0" applyFont="1" applyAlignment="1" applyProtection="1">
      <alignment horizontal="left" vertical="center" wrapText="1"/>
    </xf>
    <xf numFmtId="0" fontId="32" fillId="0" borderId="0" xfId="0" applyFont="1" applyFill="1" applyBorder="1" applyAlignment="1" applyProtection="1">
      <alignment horizontal="left"/>
    </xf>
    <xf numFmtId="0" fontId="32" fillId="0" borderId="0" xfId="0" quotePrefix="1" applyFont="1" applyFill="1" applyBorder="1" applyAlignment="1" applyProtection="1">
      <alignment horizontal="left"/>
    </xf>
    <xf numFmtId="0" fontId="32" fillId="0" borderId="0" xfId="0" quotePrefix="1" applyFont="1" applyBorder="1" applyAlignment="1" applyProtection="1">
      <alignment horizontal="left"/>
    </xf>
    <xf numFmtId="0" fontId="33" fillId="0" borderId="0" xfId="0" applyFont="1" applyAlignment="1" applyProtection="1">
      <alignment horizontal="left"/>
    </xf>
    <xf numFmtId="44" fontId="33" fillId="0" borderId="0" xfId="2" applyFont="1" applyFill="1" applyBorder="1" applyAlignment="1" applyProtection="1">
      <alignment horizontal="center"/>
    </xf>
    <xf numFmtId="43" fontId="33" fillId="0" borderId="0" xfId="1" applyFont="1" applyFill="1" applyBorder="1" applyAlignment="1" applyProtection="1">
      <alignment horizontal="center"/>
    </xf>
    <xf numFmtId="44" fontId="33" fillId="14" borderId="41" xfId="2" applyFont="1" applyFill="1" applyBorder="1" applyAlignment="1" applyProtection="1">
      <alignment horizontal="center"/>
    </xf>
    <xf numFmtId="0" fontId="33" fillId="0" borderId="37" xfId="0" applyFont="1" applyBorder="1" applyAlignment="1" applyProtection="1">
      <alignment horizontal="center" vertical="center" wrapText="1"/>
    </xf>
    <xf numFmtId="0" fontId="84" fillId="0" borderId="0" xfId="0" applyFont="1" applyAlignment="1" applyProtection="1">
      <alignment vertical="center" wrapText="1"/>
      <protection locked="0"/>
    </xf>
    <xf numFmtId="44" fontId="33" fillId="3" borderId="41" xfId="2" applyFont="1" applyFill="1" applyBorder="1" applyAlignment="1" applyProtection="1">
      <alignment horizontal="center"/>
    </xf>
    <xf numFmtId="0" fontId="116" fillId="16" borderId="0" xfId="0" applyFont="1" applyFill="1" applyProtection="1"/>
    <xf numFmtId="0" fontId="28" fillId="16" borderId="0" xfId="0" applyFont="1" applyFill="1" applyProtection="1"/>
    <xf numFmtId="0" fontId="118" fillId="0" borderId="6" xfId="0" applyFont="1" applyBorder="1" applyProtection="1"/>
    <xf numFmtId="44" fontId="0" fillId="3" borderId="0" xfId="2" applyFont="1" applyFill="1" applyBorder="1" applyProtection="1"/>
    <xf numFmtId="0" fontId="56" fillId="0" borderId="0" xfId="0" applyFont="1" applyBorder="1" applyAlignment="1" applyProtection="1">
      <alignment horizontal="left" vertical="center"/>
    </xf>
    <xf numFmtId="0" fontId="19" fillId="0" borderId="0" xfId="0" applyFont="1" applyFill="1" applyBorder="1" applyAlignment="1" applyProtection="1">
      <alignment horizontal="left" vertical="center"/>
    </xf>
    <xf numFmtId="10" fontId="14" fillId="3" borderId="0" xfId="4" applyNumberFormat="1" applyFont="1" applyFill="1" applyBorder="1" applyAlignment="1" applyProtection="1">
      <alignment vertical="center"/>
    </xf>
    <xf numFmtId="10" fontId="14" fillId="3" borderId="4" xfId="4" applyNumberFormat="1" applyFont="1" applyFill="1" applyBorder="1" applyAlignment="1" applyProtection="1">
      <alignmen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10" fontId="14" fillId="0" borderId="0" xfId="4" applyNumberFormat="1" applyFont="1" applyFill="1" applyBorder="1" applyAlignment="1" applyProtection="1">
      <alignment vertical="center"/>
    </xf>
    <xf numFmtId="43" fontId="14" fillId="0" borderId="7" xfId="1" applyFont="1" applyBorder="1" applyAlignment="1" applyProtection="1">
      <alignment vertical="center"/>
    </xf>
    <xf numFmtId="43" fontId="14" fillId="0" borderId="24" xfId="1" applyFont="1" applyBorder="1" applyAlignment="1" applyProtection="1">
      <alignment vertical="center"/>
    </xf>
    <xf numFmtId="0" fontId="8" fillId="0" borderId="9" xfId="0" applyFont="1" applyBorder="1" applyAlignment="1" applyProtection="1">
      <alignment horizontal="center" vertical="center"/>
    </xf>
    <xf numFmtId="0" fontId="14" fillId="0" borderId="14" xfId="0" applyFont="1" applyBorder="1" applyAlignment="1" applyProtection="1">
      <alignment horizontal="center" vertical="center"/>
    </xf>
    <xf numFmtId="10" fontId="14" fillId="0" borderId="23" xfId="4" applyNumberFormat="1" applyFont="1" applyFill="1" applyBorder="1" applyAlignment="1" applyProtection="1">
      <alignment vertical="center"/>
    </xf>
    <xf numFmtId="43" fontId="14" fillId="0" borderId="0" xfId="1" applyFont="1" applyBorder="1" applyAlignment="1" applyProtection="1">
      <alignment vertical="center"/>
    </xf>
    <xf numFmtId="0" fontId="14" fillId="0" borderId="23" xfId="0" applyFont="1" applyBorder="1" applyAlignment="1" applyProtection="1">
      <alignment vertical="center"/>
    </xf>
    <xf numFmtId="0" fontId="0" fillId="0" borderId="14" xfId="0" applyBorder="1" applyAlignment="1" applyProtection="1">
      <alignment vertical="center"/>
    </xf>
    <xf numFmtId="0" fontId="14" fillId="0" borderId="14" xfId="0" applyFont="1" applyBorder="1" applyAlignment="1" applyProtection="1">
      <alignment vertical="center"/>
    </xf>
    <xf numFmtId="0" fontId="0" fillId="0" borderId="6" xfId="0" applyBorder="1" applyAlignment="1" applyProtection="1">
      <alignment vertical="center"/>
    </xf>
    <xf numFmtId="0" fontId="19" fillId="0" borderId="0" xfId="0" applyFont="1" applyBorder="1" applyAlignment="1" applyProtection="1">
      <alignment horizontal="center" vertical="center"/>
    </xf>
    <xf numFmtId="10" fontId="19" fillId="0" borderId="0" xfId="4" applyNumberFormat="1" applyFont="1" applyFill="1" applyBorder="1" applyAlignment="1" applyProtection="1">
      <alignment horizontal="center" vertical="center"/>
    </xf>
    <xf numFmtId="43" fontId="14" fillId="0" borderId="0" xfId="1" applyFont="1" applyFill="1" applyBorder="1" applyAlignment="1" applyProtection="1">
      <alignment vertical="center"/>
    </xf>
    <xf numFmtId="44" fontId="0" fillId="3" borderId="0" xfId="0" applyNumberFormat="1" applyFill="1" applyBorder="1" applyProtection="1"/>
    <xf numFmtId="0" fontId="45" fillId="0" borderId="0" xfId="0" applyFont="1" applyFill="1" applyBorder="1" applyAlignment="1" applyProtection="1">
      <alignment horizontal="center" vertical="center"/>
    </xf>
    <xf numFmtId="0" fontId="45" fillId="0" borderId="23" xfId="0" applyFont="1" applyFill="1" applyBorder="1" applyAlignment="1" applyProtection="1">
      <alignment horizontal="center" vertical="center"/>
    </xf>
    <xf numFmtId="0" fontId="45" fillId="0" borderId="14" xfId="0" applyFont="1" applyFill="1" applyBorder="1" applyAlignment="1" applyProtection="1">
      <alignment horizontal="center" vertical="center"/>
    </xf>
    <xf numFmtId="0" fontId="33" fillId="7" borderId="0" xfId="0" applyFont="1" applyFill="1" applyAlignment="1" applyProtection="1">
      <alignment vertical="center"/>
    </xf>
    <xf numFmtId="0" fontId="33" fillId="7" borderId="0" xfId="0" applyFont="1" applyFill="1" applyBorder="1" applyAlignment="1" applyProtection="1">
      <alignment horizontal="center" vertical="center"/>
    </xf>
    <xf numFmtId="0" fontId="33" fillId="7" borderId="0" xfId="0" applyFont="1" applyFill="1" applyAlignment="1" applyProtection="1">
      <alignment horizontal="center" vertical="center"/>
    </xf>
    <xf numFmtId="0" fontId="40" fillId="7" borderId="0" xfId="0" applyFont="1" applyFill="1" applyBorder="1" applyAlignment="1" applyProtection="1">
      <alignment horizontal="center" vertical="center"/>
    </xf>
    <xf numFmtId="0" fontId="44" fillId="7" borderId="0" xfId="0" applyFont="1" applyFill="1" applyBorder="1" applyAlignment="1" applyProtection="1">
      <alignment horizontal="center" vertical="center"/>
    </xf>
    <xf numFmtId="0" fontId="67" fillId="7" borderId="0" xfId="0" applyFont="1" applyFill="1" applyBorder="1" applyAlignment="1" applyProtection="1">
      <alignment horizontal="center" vertical="center"/>
    </xf>
    <xf numFmtId="0" fontId="14" fillId="7" borderId="0" xfId="0" applyNumberFormat="1" applyFont="1" applyFill="1" applyBorder="1" applyAlignment="1" applyProtection="1">
      <alignment horizontal="left" vertical="center"/>
    </xf>
    <xf numFmtId="0" fontId="14" fillId="7" borderId="0" xfId="0" applyNumberFormat="1" applyFont="1" applyFill="1" applyBorder="1" applyAlignment="1" applyProtection="1">
      <alignment horizontal="center" vertical="center"/>
    </xf>
    <xf numFmtId="0" fontId="17" fillId="7" borderId="0" xfId="0" applyFont="1" applyFill="1" applyBorder="1" applyAlignment="1" applyProtection="1">
      <alignment vertical="center"/>
    </xf>
    <xf numFmtId="0" fontId="0" fillId="7" borderId="0" xfId="0" applyFill="1" applyBorder="1" applyProtection="1"/>
    <xf numFmtId="0" fontId="0" fillId="7" borderId="0" xfId="0" applyFill="1" applyBorder="1" applyAlignment="1" applyProtection="1">
      <alignment horizontal="center"/>
    </xf>
    <xf numFmtId="0" fontId="17" fillId="7" borderId="0" xfId="0" applyFont="1" applyFill="1" applyAlignment="1" applyProtection="1">
      <alignment vertical="center"/>
    </xf>
    <xf numFmtId="0" fontId="17" fillId="7" borderId="0" xfId="0" applyFont="1" applyFill="1" applyAlignment="1" applyProtection="1">
      <alignment horizontal="center" vertical="center"/>
    </xf>
    <xf numFmtId="0" fontId="11" fillId="7" borderId="0" xfId="0" applyFont="1" applyFill="1" applyBorder="1" applyAlignment="1" applyProtection="1">
      <alignment horizontal="center" vertical="center"/>
    </xf>
    <xf numFmtId="0" fontId="0" fillId="7" borderId="0" xfId="0" applyFill="1" applyAlignment="1" applyProtection="1">
      <alignment vertical="center"/>
    </xf>
    <xf numFmtId="0" fontId="16" fillId="7" borderId="0" xfId="0" applyFont="1" applyFill="1" applyBorder="1" applyAlignment="1" applyProtection="1">
      <alignment horizontal="center" vertical="center"/>
    </xf>
    <xf numFmtId="0" fontId="19" fillId="7" borderId="2" xfId="0" applyFont="1" applyFill="1" applyBorder="1" applyAlignment="1" applyProtection="1">
      <alignment horizontal="center" vertical="center" wrapText="1"/>
    </xf>
    <xf numFmtId="0" fontId="19" fillId="7" borderId="0" xfId="0" applyFont="1" applyFill="1" applyBorder="1" applyAlignment="1" applyProtection="1">
      <alignment horizontal="center" vertical="center" wrapText="1"/>
    </xf>
    <xf numFmtId="0" fontId="19" fillId="7" borderId="1" xfId="0" applyFont="1" applyFill="1" applyBorder="1" applyAlignment="1" applyProtection="1">
      <alignment horizontal="center" vertical="center" wrapText="1"/>
    </xf>
    <xf numFmtId="0" fontId="16" fillId="7" borderId="3" xfId="0" applyFont="1" applyFill="1" applyBorder="1" applyAlignment="1" applyProtection="1">
      <alignment horizontal="center" vertical="center"/>
    </xf>
    <xf numFmtId="0" fontId="16" fillId="7" borderId="1" xfId="0" applyFont="1" applyFill="1" applyBorder="1" applyAlignment="1" applyProtection="1">
      <alignment horizontal="center" vertical="center"/>
    </xf>
    <xf numFmtId="44" fontId="14" fillId="7" borderId="0" xfId="0" applyNumberFormat="1" applyFont="1" applyFill="1" applyBorder="1" applyAlignment="1" applyProtection="1">
      <alignment vertical="center"/>
    </xf>
    <xf numFmtId="165" fontId="14" fillId="7" borderId="1" xfId="0" applyNumberFormat="1" applyFont="1" applyFill="1" applyBorder="1" applyAlignment="1" applyProtection="1">
      <alignment vertical="center"/>
    </xf>
    <xf numFmtId="165" fontId="14" fillId="7" borderId="8" xfId="0" applyNumberFormat="1" applyFont="1" applyFill="1" applyBorder="1" applyAlignment="1" applyProtection="1">
      <alignment vertical="center"/>
    </xf>
    <xf numFmtId="165" fontId="14" fillId="7" borderId="0" xfId="0" applyNumberFormat="1" applyFont="1" applyFill="1" applyBorder="1" applyAlignment="1" applyProtection="1">
      <alignment vertical="center"/>
    </xf>
    <xf numFmtId="165" fontId="14" fillId="7" borderId="1" xfId="0" applyNumberFormat="1" applyFont="1" applyFill="1" applyBorder="1" applyAlignment="1" applyProtection="1">
      <alignment horizontal="center" vertical="center"/>
    </xf>
    <xf numFmtId="165" fontId="14" fillId="7" borderId="10" xfId="0" applyNumberFormat="1" applyFont="1" applyFill="1" applyBorder="1" applyAlignment="1" applyProtection="1">
      <alignment vertical="center"/>
    </xf>
    <xf numFmtId="165" fontId="14" fillId="7" borderId="0" xfId="0" applyNumberFormat="1" applyFont="1" applyFill="1" applyBorder="1" applyAlignment="1" applyProtection="1">
      <alignment horizontal="center" vertical="center"/>
    </xf>
    <xf numFmtId="44" fontId="16" fillId="7" borderId="0" xfId="2" applyNumberFormat="1" applyFont="1" applyFill="1" applyBorder="1" applyAlignment="1" applyProtection="1">
      <alignment vertical="center"/>
    </xf>
    <xf numFmtId="0" fontId="0" fillId="7" borderId="1" xfId="0" applyFill="1" applyBorder="1" applyAlignment="1" applyProtection="1">
      <alignment vertical="center"/>
    </xf>
    <xf numFmtId="0" fontId="0" fillId="7" borderId="0" xfId="0" applyFill="1" applyBorder="1" applyAlignment="1" applyProtection="1">
      <alignment vertical="center"/>
    </xf>
    <xf numFmtId="0" fontId="0" fillId="7" borderId="0" xfId="0" applyFill="1" applyBorder="1" applyAlignment="1" applyProtection="1">
      <alignment horizontal="center" vertical="center"/>
    </xf>
    <xf numFmtId="0" fontId="19" fillId="7" borderId="1" xfId="0" applyNumberFormat="1" applyFont="1" applyFill="1" applyBorder="1" applyAlignment="1" applyProtection="1">
      <alignment horizontal="left" vertical="center"/>
    </xf>
    <xf numFmtId="0" fontId="19" fillId="7" borderId="0" xfId="0" applyNumberFormat="1" applyFont="1" applyFill="1" applyBorder="1" applyAlignment="1" applyProtection="1">
      <alignment horizontal="left" vertical="center"/>
    </xf>
    <xf numFmtId="0" fontId="19" fillId="7" borderId="1" xfId="0" applyNumberFormat="1" applyFont="1" applyFill="1" applyBorder="1" applyAlignment="1" applyProtection="1">
      <alignment horizontal="center" vertical="center"/>
    </xf>
    <xf numFmtId="43" fontId="14" fillId="7" borderId="10" xfId="1" applyFont="1" applyFill="1" applyBorder="1" applyAlignment="1" applyProtection="1">
      <alignment vertical="center"/>
    </xf>
    <xf numFmtId="43" fontId="14" fillId="7" borderId="0" xfId="1" applyFont="1" applyFill="1" applyBorder="1" applyAlignment="1" applyProtection="1">
      <alignment vertical="center"/>
    </xf>
    <xf numFmtId="43" fontId="14" fillId="7" borderId="1" xfId="1" applyFont="1" applyFill="1" applyBorder="1" applyAlignment="1" applyProtection="1">
      <alignment horizontal="center" vertical="center"/>
    </xf>
    <xf numFmtId="43" fontId="14" fillId="7" borderId="0" xfId="1" applyNumberFormat="1" applyFont="1" applyFill="1" applyBorder="1" applyAlignment="1" applyProtection="1">
      <alignment vertical="center"/>
    </xf>
    <xf numFmtId="165" fontId="16" fillId="7" borderId="0" xfId="2" applyNumberFormat="1" applyFont="1" applyFill="1" applyBorder="1" applyAlignment="1" applyProtection="1">
      <alignment vertical="center"/>
    </xf>
    <xf numFmtId="165" fontId="16" fillId="7" borderId="0" xfId="2" applyNumberFormat="1" applyFont="1" applyFill="1" applyBorder="1" applyAlignment="1" applyProtection="1">
      <alignment horizontal="right" vertical="center"/>
    </xf>
    <xf numFmtId="165" fontId="16" fillId="7" borderId="25" xfId="2" applyNumberFormat="1" applyFont="1" applyFill="1" applyBorder="1" applyAlignment="1" applyProtection="1">
      <alignment horizontal="center" vertical="center"/>
    </xf>
    <xf numFmtId="165" fontId="16" fillId="7" borderId="28" xfId="2" applyNumberFormat="1" applyFont="1" applyFill="1" applyBorder="1" applyAlignment="1" applyProtection="1">
      <alignment horizontal="center" vertical="center"/>
    </xf>
    <xf numFmtId="8" fontId="50" fillId="7" borderId="0" xfId="2" applyNumberFormat="1" applyFont="1" applyFill="1" applyBorder="1" applyAlignment="1" applyProtection="1">
      <alignment vertical="center"/>
    </xf>
    <xf numFmtId="165" fontId="50" fillId="7" borderId="0" xfId="2" applyNumberFormat="1" applyFont="1" applyFill="1" applyBorder="1" applyAlignment="1" applyProtection="1">
      <alignment vertical="center"/>
    </xf>
    <xf numFmtId="165" fontId="108" fillId="7" borderId="0" xfId="2" applyNumberFormat="1" applyFont="1" applyFill="1" applyBorder="1" applyAlignment="1" applyProtection="1">
      <alignment horizontal="right" vertical="center"/>
    </xf>
    <xf numFmtId="44" fontId="119" fillId="7" borderId="1" xfId="2" applyFont="1" applyFill="1" applyBorder="1" applyAlignment="1" applyProtection="1">
      <alignment vertical="center"/>
    </xf>
    <xf numFmtId="44" fontId="107" fillId="7" borderId="0" xfId="2" applyFont="1" applyFill="1" applyBorder="1" applyAlignment="1" applyProtection="1">
      <alignment vertical="center"/>
    </xf>
    <xf numFmtId="44" fontId="107" fillId="7" borderId="0" xfId="2" applyFont="1" applyFill="1" applyBorder="1" applyAlignment="1" applyProtection="1">
      <alignment horizontal="center" vertical="center"/>
    </xf>
    <xf numFmtId="0" fontId="8" fillId="7" borderId="0" xfId="0" applyFont="1" applyFill="1" applyBorder="1" applyAlignment="1" applyProtection="1">
      <alignment vertical="center"/>
    </xf>
    <xf numFmtId="43" fontId="119" fillId="7" borderId="1" xfId="1" applyFont="1" applyFill="1" applyBorder="1" applyAlignment="1" applyProtection="1">
      <alignment vertical="center"/>
    </xf>
    <xf numFmtId="43" fontId="107" fillId="7" borderId="0" xfId="1" applyFont="1" applyFill="1" applyBorder="1" applyAlignment="1" applyProtection="1">
      <alignment vertical="center"/>
    </xf>
    <xf numFmtId="43" fontId="107" fillId="7" borderId="0" xfId="1" applyFont="1" applyFill="1" applyBorder="1" applyAlignment="1" applyProtection="1">
      <alignment horizontal="center" vertical="center"/>
    </xf>
    <xf numFmtId="0" fontId="45" fillId="7" borderId="0" xfId="0" applyFont="1" applyFill="1" applyBorder="1" applyAlignment="1" applyProtection="1">
      <alignment horizontal="center" vertical="center"/>
    </xf>
    <xf numFmtId="0" fontId="45" fillId="7" borderId="0" xfId="0" applyFont="1" applyFill="1" applyBorder="1" applyAlignment="1" applyProtection="1">
      <alignment vertical="center"/>
    </xf>
    <xf numFmtId="0" fontId="8" fillId="7" borderId="0" xfId="0" applyFont="1" applyFill="1" applyAlignment="1" applyProtection="1">
      <alignment vertical="center"/>
    </xf>
    <xf numFmtId="0" fontId="8" fillId="7" borderId="0" xfId="0" applyFont="1" applyFill="1" applyAlignment="1" applyProtection="1">
      <alignment horizontal="center" vertical="center"/>
    </xf>
    <xf numFmtId="43" fontId="33" fillId="7" borderId="0" xfId="0" applyNumberFormat="1" applyFont="1" applyFill="1" applyBorder="1" applyAlignment="1" applyProtection="1">
      <alignment vertical="center"/>
    </xf>
    <xf numFmtId="0" fontId="0" fillId="7" borderId="0" xfId="0" applyFill="1" applyAlignment="1" applyProtection="1">
      <alignment horizontal="center" vertical="center"/>
    </xf>
    <xf numFmtId="0" fontId="33" fillId="7" borderId="0" xfId="0" applyFont="1" applyFill="1" applyBorder="1" applyAlignment="1" applyProtection="1">
      <alignment vertical="center"/>
    </xf>
    <xf numFmtId="10" fontId="14" fillId="7" borderId="0" xfId="4" applyNumberFormat="1" applyFont="1" applyFill="1" applyBorder="1" applyAlignment="1" applyProtection="1">
      <alignment vertical="center"/>
    </xf>
    <xf numFmtId="0" fontId="14" fillId="7" borderId="0" xfId="0" applyFont="1" applyFill="1" applyBorder="1" applyAlignment="1" applyProtection="1">
      <alignment vertical="center"/>
    </xf>
    <xf numFmtId="0" fontId="14" fillId="7" borderId="0" xfId="0" applyFont="1" applyFill="1" applyAlignment="1" applyProtection="1">
      <alignment vertical="center"/>
    </xf>
    <xf numFmtId="0" fontId="14" fillId="7" borderId="0" xfId="0" applyFont="1" applyFill="1" applyAlignment="1" applyProtection="1">
      <alignment horizontal="center" vertical="center"/>
    </xf>
    <xf numFmtId="0" fontId="33" fillId="7" borderId="0" xfId="0" applyFont="1" applyFill="1" applyProtection="1"/>
    <xf numFmtId="0" fontId="33" fillId="7" borderId="1" xfId="0" applyFont="1" applyFill="1" applyBorder="1" applyProtection="1"/>
    <xf numFmtId="0" fontId="33" fillId="7" borderId="0" xfId="0" applyFont="1" applyFill="1" applyBorder="1" applyProtection="1"/>
    <xf numFmtId="167" fontId="33" fillId="7" borderId="1" xfId="1" applyNumberFormat="1" applyFont="1" applyFill="1" applyBorder="1" applyProtection="1"/>
    <xf numFmtId="172" fontId="33" fillId="7" borderId="0" xfId="1" applyNumberFormat="1" applyFont="1" applyFill="1" applyBorder="1" applyProtection="1"/>
    <xf numFmtId="0" fontId="84" fillId="7" borderId="0" xfId="0" applyFont="1" applyFill="1" applyProtection="1"/>
    <xf numFmtId="10" fontId="33" fillId="7" borderId="1" xfId="4" applyNumberFormat="1" applyFont="1" applyFill="1" applyBorder="1" applyProtection="1"/>
    <xf numFmtId="44" fontId="33" fillId="7" borderId="1" xfId="0" applyNumberFormat="1" applyFont="1" applyFill="1" applyBorder="1" applyProtection="1"/>
    <xf numFmtId="0" fontId="4" fillId="7" borderId="0" xfId="0" applyFont="1" applyFill="1" applyBorder="1" applyAlignment="1" applyProtection="1">
      <alignment horizontal="center"/>
    </xf>
    <xf numFmtId="10" fontId="4" fillId="7" borderId="0" xfId="0" applyNumberFormat="1" applyFont="1" applyFill="1" applyBorder="1" applyAlignment="1" applyProtection="1">
      <alignment horizontal="center"/>
    </xf>
    <xf numFmtId="0" fontId="33" fillId="7" borderId="0" xfId="0" applyFont="1" applyFill="1" applyBorder="1" applyAlignment="1" applyProtection="1">
      <alignment horizontal="center"/>
    </xf>
    <xf numFmtId="0" fontId="0" fillId="7" borderId="0" xfId="0" applyFill="1" applyProtection="1"/>
    <xf numFmtId="0" fontId="4" fillId="7" borderId="0" xfId="0" applyFont="1" applyFill="1" applyProtection="1"/>
    <xf numFmtId="9" fontId="0" fillId="7" borderId="1" xfId="4" applyFont="1" applyFill="1" applyBorder="1" applyProtection="1"/>
    <xf numFmtId="9" fontId="0" fillId="7" borderId="0" xfId="4" applyFont="1" applyFill="1" applyBorder="1" applyProtection="1"/>
    <xf numFmtId="43" fontId="0" fillId="7" borderId="0" xfId="0" applyNumberFormat="1" applyFill="1" applyBorder="1" applyProtection="1"/>
    <xf numFmtId="0" fontId="0" fillId="7" borderId="0" xfId="0" applyFill="1" applyAlignment="1" applyProtection="1">
      <alignment wrapText="1"/>
    </xf>
    <xf numFmtId="0" fontId="33" fillId="7" borderId="0" xfId="0" applyFont="1" applyFill="1" applyAlignment="1" applyProtection="1">
      <alignment horizontal="left"/>
    </xf>
    <xf numFmtId="2" fontId="33" fillId="7" borderId="0" xfId="0" applyNumberFormat="1" applyFont="1" applyFill="1" applyAlignment="1" applyProtection="1">
      <alignment horizontal="left"/>
    </xf>
    <xf numFmtId="10" fontId="33" fillId="7" borderId="0" xfId="4" applyNumberFormat="1" applyFont="1" applyFill="1" applyAlignment="1" applyProtection="1">
      <alignment horizontal="left"/>
    </xf>
    <xf numFmtId="0" fontId="69" fillId="7" borderId="1" xfId="0" applyFont="1" applyFill="1" applyBorder="1" applyAlignment="1" applyProtection="1">
      <alignment horizontal="center" vertical="center" wrapText="1"/>
    </xf>
    <xf numFmtId="43" fontId="36" fillId="7" borderId="1" xfId="1" applyFont="1" applyFill="1" applyBorder="1" applyAlignment="1" applyProtection="1">
      <alignment horizontal="center"/>
    </xf>
    <xf numFmtId="43" fontId="36" fillId="7" borderId="2" xfId="1" applyFont="1" applyFill="1" applyBorder="1" applyAlignment="1" applyProtection="1">
      <alignment horizontal="center"/>
    </xf>
    <xf numFmtId="43" fontId="36" fillId="7" borderId="8" xfId="1" applyFont="1" applyFill="1" applyBorder="1" applyAlignment="1" applyProtection="1">
      <alignment horizontal="center"/>
    </xf>
    <xf numFmtId="43" fontId="36" fillId="7" borderId="10" xfId="1" applyFont="1" applyFill="1" applyBorder="1" applyAlignment="1" applyProtection="1">
      <alignment horizontal="center"/>
    </xf>
    <xf numFmtId="43" fontId="33" fillId="7" borderId="0" xfId="1" applyFont="1" applyFill="1" applyAlignment="1" applyProtection="1">
      <alignment horizontal="left"/>
    </xf>
    <xf numFmtId="0" fontId="14" fillId="7" borderId="0" xfId="0" applyFont="1" applyFill="1" applyProtection="1"/>
    <xf numFmtId="0" fontId="19" fillId="7" borderId="9" xfId="0" applyFont="1" applyFill="1" applyBorder="1" applyAlignment="1" applyProtection="1">
      <alignment horizontal="center"/>
    </xf>
    <xf numFmtId="0" fontId="19" fillId="7" borderId="6" xfId="0" applyFont="1" applyFill="1" applyBorder="1" applyAlignment="1" applyProtection="1">
      <alignment horizontal="center"/>
    </xf>
    <xf numFmtId="1" fontId="14" fillId="7" borderId="3" xfId="0" applyNumberFormat="1" applyFont="1" applyFill="1" applyBorder="1" applyProtection="1"/>
    <xf numFmtId="1" fontId="14" fillId="7" borderId="11" xfId="0" applyNumberFormat="1" applyFont="1" applyFill="1" applyBorder="1" applyProtection="1"/>
    <xf numFmtId="1" fontId="14" fillId="7" borderId="1" xfId="0" applyNumberFormat="1" applyFont="1" applyFill="1" applyBorder="1" applyProtection="1"/>
    <xf numFmtId="0" fontId="8" fillId="7" borderId="1" xfId="0" applyFont="1" applyFill="1" applyBorder="1" applyProtection="1"/>
    <xf numFmtId="165" fontId="14" fillId="7" borderId="11" xfId="2" applyNumberFormat="1" applyFont="1" applyFill="1" applyBorder="1" applyProtection="1"/>
    <xf numFmtId="165" fontId="19" fillId="7" borderId="11" xfId="2" applyNumberFormat="1" applyFont="1" applyFill="1" applyBorder="1" applyProtection="1"/>
    <xf numFmtId="0" fontId="19" fillId="7" borderId="1" xfId="0" applyFont="1" applyFill="1" applyBorder="1" applyAlignment="1" applyProtection="1">
      <alignment horizontal="center"/>
    </xf>
    <xf numFmtId="9" fontId="14" fillId="7" borderId="11" xfId="4" applyFont="1" applyFill="1" applyBorder="1" applyProtection="1"/>
    <xf numFmtId="165" fontId="14" fillId="7" borderId="1" xfId="2" applyNumberFormat="1" applyFont="1" applyFill="1" applyBorder="1" applyProtection="1"/>
    <xf numFmtId="165" fontId="19" fillId="7" borderId="1" xfId="2" applyNumberFormat="1" applyFont="1" applyFill="1" applyBorder="1" applyProtection="1"/>
    <xf numFmtId="166" fontId="19" fillId="7" borderId="1" xfId="4" applyNumberFormat="1" applyFont="1" applyFill="1" applyBorder="1" applyProtection="1"/>
    <xf numFmtId="9" fontId="14" fillId="7" borderId="9" xfId="4" applyFont="1" applyFill="1" applyBorder="1" applyProtection="1"/>
    <xf numFmtId="1" fontId="14" fillId="7" borderId="9" xfId="0" applyNumberFormat="1" applyFont="1" applyFill="1" applyBorder="1" applyProtection="1"/>
    <xf numFmtId="166" fontId="19" fillId="7" borderId="0" xfId="4" applyNumberFormat="1" applyFont="1" applyFill="1" applyBorder="1" applyProtection="1"/>
    <xf numFmtId="166" fontId="14" fillId="7" borderId="0" xfId="4" applyNumberFormat="1" applyFont="1" applyFill="1" applyBorder="1" applyProtection="1"/>
    <xf numFmtId="0" fontId="19" fillId="7" borderId="4" xfId="0" applyFont="1" applyFill="1" applyBorder="1" applyAlignment="1" applyProtection="1">
      <alignment horizontal="center"/>
    </xf>
    <xf numFmtId="0" fontId="19" fillId="7" borderId="7" xfId="0" applyFont="1" applyFill="1" applyBorder="1" applyAlignment="1" applyProtection="1">
      <alignment horizontal="center"/>
    </xf>
    <xf numFmtId="44" fontId="14" fillId="7" borderId="1" xfId="2" applyFont="1" applyFill="1" applyBorder="1" applyProtection="1"/>
    <xf numFmtId="1" fontId="14" fillId="7" borderId="12" xfId="0" applyNumberFormat="1" applyFont="1" applyFill="1" applyBorder="1" applyProtection="1"/>
    <xf numFmtId="44" fontId="14" fillId="7" borderId="1" xfId="2" applyFont="1" applyFill="1" applyBorder="1" applyAlignment="1" applyProtection="1">
      <alignment vertical="center"/>
    </xf>
    <xf numFmtId="1" fontId="14" fillId="7" borderId="10" xfId="0" applyNumberFormat="1" applyFont="1" applyFill="1" applyBorder="1" applyAlignment="1" applyProtection="1">
      <alignment vertical="center"/>
    </xf>
    <xf numFmtId="1" fontId="14" fillId="7" borderId="10" xfId="0" applyNumberFormat="1" applyFont="1" applyFill="1" applyBorder="1" applyProtection="1"/>
    <xf numFmtId="166" fontId="8" fillId="7" borderId="0" xfId="0" applyNumberFormat="1" applyFont="1" applyFill="1" applyBorder="1" applyProtection="1"/>
    <xf numFmtId="166" fontId="60" fillId="7" borderId="0" xfId="0" applyNumberFormat="1" applyFont="1" applyFill="1" applyBorder="1" applyProtection="1"/>
    <xf numFmtId="0" fontId="33" fillId="7" borderId="1" xfId="0" applyFont="1" applyFill="1" applyBorder="1" applyAlignment="1" applyProtection="1">
      <alignment horizontal="left"/>
    </xf>
    <xf numFmtId="0" fontId="33" fillId="7" borderId="0" xfId="0" applyFont="1" applyFill="1" applyBorder="1" applyAlignment="1" applyProtection="1">
      <alignment horizontal="left"/>
    </xf>
    <xf numFmtId="2" fontId="33" fillId="7" borderId="1" xfId="0" applyNumberFormat="1" applyFont="1" applyFill="1" applyBorder="1" applyAlignment="1" applyProtection="1">
      <alignment horizontal="left"/>
    </xf>
    <xf numFmtId="2" fontId="33" fillId="7" borderId="0" xfId="0" applyNumberFormat="1" applyFont="1" applyFill="1" applyBorder="1" applyAlignment="1" applyProtection="1">
      <alignment horizontal="left"/>
    </xf>
    <xf numFmtId="0" fontId="33" fillId="7" borderId="1" xfId="0" applyFont="1" applyFill="1" applyBorder="1" applyAlignment="1" applyProtection="1">
      <alignment vertical="center"/>
    </xf>
    <xf numFmtId="10" fontId="33" fillId="7" borderId="1" xfId="4" applyNumberFormat="1" applyFont="1" applyFill="1" applyBorder="1" applyAlignment="1" applyProtection="1">
      <alignment horizontal="left"/>
    </xf>
    <xf numFmtId="10" fontId="33" fillId="7" borderId="0" xfId="4" applyNumberFormat="1" applyFont="1" applyFill="1" applyBorder="1" applyAlignment="1" applyProtection="1">
      <alignment horizontal="left"/>
    </xf>
    <xf numFmtId="0" fontId="33" fillId="7" borderId="35" xfId="0" applyFont="1" applyFill="1" applyBorder="1" applyProtection="1"/>
    <xf numFmtId="0" fontId="33" fillId="7" borderId="37" xfId="0" applyFont="1" applyFill="1" applyBorder="1" applyProtection="1"/>
    <xf numFmtId="0" fontId="33" fillId="7" borderId="2" xfId="0" applyFont="1" applyFill="1" applyBorder="1" applyAlignment="1" applyProtection="1"/>
    <xf numFmtId="0" fontId="33" fillId="7" borderId="38" xfId="0" applyFont="1" applyFill="1" applyBorder="1" applyProtection="1"/>
    <xf numFmtId="0" fontId="33" fillId="7" borderId="39" xfId="0" applyFont="1" applyFill="1" applyBorder="1" applyProtection="1"/>
    <xf numFmtId="0" fontId="33" fillId="7" borderId="3" xfId="0" applyFont="1" applyFill="1" applyBorder="1" applyProtection="1"/>
    <xf numFmtId="173" fontId="33" fillId="7" borderId="39" xfId="0" applyNumberFormat="1" applyFont="1" applyFill="1" applyBorder="1" applyProtection="1"/>
    <xf numFmtId="173" fontId="33" fillId="7" borderId="1" xfId="0" applyNumberFormat="1" applyFont="1" applyFill="1" applyBorder="1" applyProtection="1"/>
    <xf numFmtId="0" fontId="33" fillId="7" borderId="0" xfId="0" applyFont="1" applyFill="1" applyBorder="1" applyAlignment="1" applyProtection="1"/>
    <xf numFmtId="43" fontId="33" fillId="7" borderId="0" xfId="1" applyFont="1" applyFill="1" applyBorder="1" applyProtection="1"/>
    <xf numFmtId="0" fontId="33" fillId="7" borderId="40" xfId="0" applyFont="1" applyFill="1" applyBorder="1" applyProtection="1"/>
    <xf numFmtId="173" fontId="33" fillId="7" borderId="41" xfId="0" applyNumberFormat="1" applyFont="1" applyFill="1" applyBorder="1" applyProtection="1"/>
    <xf numFmtId="0" fontId="19" fillId="7" borderId="0" xfId="0" applyFont="1" applyFill="1" applyBorder="1" applyAlignment="1" applyProtection="1">
      <alignment horizontal="center"/>
    </xf>
    <xf numFmtId="0" fontId="69" fillId="7" borderId="10" xfId="0" applyFont="1" applyFill="1" applyBorder="1" applyAlignment="1" applyProtection="1">
      <alignment horizontal="center" vertical="center" wrapText="1"/>
    </xf>
    <xf numFmtId="0" fontId="33" fillId="7" borderId="10" xfId="0" applyFont="1" applyFill="1" applyBorder="1" applyProtection="1"/>
    <xf numFmtId="0" fontId="33" fillId="7" borderId="1" xfId="0" applyFont="1" applyFill="1" applyBorder="1" applyAlignment="1" applyProtection="1">
      <alignment wrapText="1"/>
    </xf>
    <xf numFmtId="0" fontId="33" fillId="7" borderId="0" xfId="0" applyFont="1" applyFill="1" applyBorder="1" applyAlignment="1" applyProtection="1">
      <alignment wrapText="1"/>
    </xf>
    <xf numFmtId="0" fontId="32" fillId="7" borderId="0" xfId="0" applyFont="1" applyFill="1" applyProtection="1"/>
    <xf numFmtId="43" fontId="33" fillId="7" borderId="1" xfId="1" applyFont="1" applyFill="1" applyBorder="1" applyProtection="1"/>
    <xf numFmtId="43" fontId="32" fillId="7" borderId="25" xfId="1" applyFont="1" applyFill="1" applyBorder="1" applyAlignment="1" applyProtection="1">
      <alignment wrapText="1"/>
    </xf>
    <xf numFmtId="43" fontId="32" fillId="7" borderId="0" xfId="1" applyFont="1" applyFill="1" applyBorder="1" applyAlignment="1" applyProtection="1">
      <alignment wrapText="1"/>
    </xf>
    <xf numFmtId="44" fontId="77" fillId="7" borderId="0" xfId="0" applyNumberFormat="1" applyFont="1" applyFill="1" applyProtection="1"/>
    <xf numFmtId="173" fontId="33" fillId="7" borderId="0" xfId="0" applyNumberFormat="1" applyFont="1" applyFill="1" applyBorder="1" applyProtection="1"/>
    <xf numFmtId="0" fontId="33" fillId="7" borderId="0" xfId="5" applyFont="1" applyFill="1" applyProtection="1"/>
    <xf numFmtId="173" fontId="33" fillId="7" borderId="0" xfId="0" applyNumberFormat="1" applyFont="1" applyFill="1" applyProtection="1"/>
    <xf numFmtId="0" fontId="33" fillId="7" borderId="0" xfId="5" applyFont="1" applyFill="1" applyBorder="1" applyProtection="1"/>
    <xf numFmtId="0" fontId="33" fillId="7" borderId="1" xfId="0" applyFont="1" applyFill="1" applyBorder="1" applyAlignment="1" applyProtection="1"/>
    <xf numFmtId="44" fontId="33" fillId="7" borderId="1" xfId="2" applyFont="1" applyFill="1" applyBorder="1" applyAlignment="1" applyProtection="1"/>
    <xf numFmtId="44" fontId="32" fillId="7" borderId="0" xfId="0" applyNumberFormat="1" applyFont="1" applyFill="1" applyBorder="1" applyAlignment="1" applyProtection="1"/>
    <xf numFmtId="44" fontId="33" fillId="7" borderId="0" xfId="2" applyFont="1" applyFill="1" applyBorder="1" applyAlignment="1" applyProtection="1"/>
    <xf numFmtId="44" fontId="33" fillId="7" borderId="0" xfId="0" applyNumberFormat="1" applyFont="1" applyFill="1" applyBorder="1" applyProtection="1"/>
    <xf numFmtId="44" fontId="33" fillId="7" borderId="0" xfId="0" applyNumberFormat="1" applyFont="1" applyFill="1" applyProtection="1"/>
    <xf numFmtId="0" fontId="63" fillId="7" borderId="0" xfId="0" applyFont="1" applyFill="1" applyBorder="1" applyAlignment="1" applyProtection="1">
      <alignment horizontal="center"/>
    </xf>
    <xf numFmtId="0" fontId="63" fillId="7" borderId="0" xfId="0" applyFont="1" applyFill="1" applyAlignment="1" applyProtection="1">
      <alignment horizontal="center"/>
    </xf>
    <xf numFmtId="0" fontId="40" fillId="7" borderId="0" xfId="0" applyFont="1" applyFill="1" applyBorder="1" applyAlignment="1" applyProtection="1">
      <alignment horizontal="center"/>
    </xf>
    <xf numFmtId="0" fontId="40" fillId="7" borderId="0" xfId="0" applyFont="1" applyFill="1" applyAlignment="1" applyProtection="1">
      <alignment horizontal="center"/>
    </xf>
    <xf numFmtId="0" fontId="44" fillId="7" borderId="0" xfId="0" applyFont="1" applyFill="1" applyAlignment="1" applyProtection="1">
      <alignment horizontal="center" vertical="center"/>
    </xf>
    <xf numFmtId="0" fontId="72" fillId="7" borderId="0" xfId="0" applyFont="1" applyFill="1" applyBorder="1" applyAlignment="1" applyProtection="1">
      <alignment horizontal="center"/>
    </xf>
    <xf numFmtId="0" fontId="72" fillId="7" borderId="0" xfId="0" applyFont="1" applyFill="1" applyAlignment="1" applyProtection="1">
      <alignment horizontal="center"/>
    </xf>
    <xf numFmtId="0" fontId="97" fillId="7" borderId="0" xfId="0" applyFont="1" applyFill="1" applyBorder="1" applyAlignment="1" applyProtection="1">
      <alignment horizontal="left"/>
    </xf>
    <xf numFmtId="9" fontId="33" fillId="7" borderId="0" xfId="0" applyNumberFormat="1" applyFont="1" applyFill="1" applyBorder="1" applyProtection="1"/>
    <xf numFmtId="9" fontId="33" fillId="7" borderId="0" xfId="4" applyFont="1" applyFill="1" applyBorder="1" applyProtection="1"/>
    <xf numFmtId="0" fontId="32" fillId="7" borderId="0" xfId="0" applyFont="1" applyFill="1" applyBorder="1" applyAlignment="1" applyProtection="1">
      <alignment horizontal="center" vertical="center" wrapText="1"/>
    </xf>
    <xf numFmtId="0" fontId="100" fillId="7" borderId="1" xfId="0" applyFont="1" applyFill="1" applyBorder="1" applyAlignment="1" applyProtection="1">
      <alignment horizontal="center" vertical="center"/>
    </xf>
    <xf numFmtId="0" fontId="100" fillId="7" borderId="0" xfId="0" applyFont="1" applyFill="1" applyBorder="1" applyAlignment="1" applyProtection="1">
      <alignment horizontal="center" vertical="center"/>
    </xf>
    <xf numFmtId="0" fontId="96" fillId="7" borderId="0" xfId="0" applyFont="1" applyFill="1" applyBorder="1" applyAlignment="1" applyProtection="1">
      <alignment horizontal="center" vertical="center"/>
    </xf>
    <xf numFmtId="44" fontId="33" fillId="7" borderId="0" xfId="2" applyNumberFormat="1" applyFont="1" applyFill="1" applyBorder="1" applyAlignment="1" applyProtection="1">
      <alignment horizontal="center" vertical="center"/>
    </xf>
    <xf numFmtId="44" fontId="33" fillId="7" borderId="0" xfId="0" applyNumberFormat="1" applyFont="1" applyFill="1" applyBorder="1" applyAlignment="1" applyProtection="1">
      <alignment horizontal="center" vertical="center"/>
    </xf>
    <xf numFmtId="44" fontId="32" fillId="7" borderId="0" xfId="2" applyNumberFormat="1" applyFont="1" applyFill="1" applyBorder="1" applyAlignment="1" applyProtection="1">
      <alignment horizontal="center"/>
    </xf>
    <xf numFmtId="0" fontId="22" fillId="7" borderId="0" xfId="0" applyFont="1" applyFill="1" applyBorder="1" applyProtection="1"/>
    <xf numFmtId="0" fontId="22" fillId="7" borderId="0" xfId="0" applyFont="1" applyFill="1" applyProtection="1"/>
    <xf numFmtId="43" fontId="33" fillId="7" borderId="25" xfId="1" applyFont="1" applyFill="1" applyBorder="1" applyProtection="1"/>
    <xf numFmtId="44" fontId="84" fillId="7" borderId="0" xfId="0" applyNumberFormat="1" applyFont="1" applyFill="1" applyProtection="1"/>
    <xf numFmtId="0" fontId="33" fillId="7" borderId="0" xfId="0" applyFont="1" applyFill="1" applyAlignment="1" applyProtection="1">
      <alignment horizontal="center"/>
    </xf>
    <xf numFmtId="173" fontId="33" fillId="7" borderId="0" xfId="5" applyNumberFormat="1" applyFont="1" applyFill="1" applyBorder="1" applyProtection="1"/>
    <xf numFmtId="0" fontId="33" fillId="7" borderId="0" xfId="5" applyFont="1" applyFill="1" applyBorder="1" applyAlignment="1" applyProtection="1">
      <alignment horizontal="right"/>
    </xf>
    <xf numFmtId="173" fontId="33" fillId="7" borderId="0" xfId="5" applyNumberFormat="1" applyFont="1" applyFill="1" applyBorder="1" applyAlignment="1" applyProtection="1">
      <alignment horizontal="right"/>
    </xf>
    <xf numFmtId="0" fontId="38" fillId="7" borderId="0" xfId="0" applyFont="1" applyFill="1" applyBorder="1" applyProtection="1"/>
    <xf numFmtId="0" fontId="33" fillId="7" borderId="0" xfId="0" applyFont="1" applyFill="1" applyBorder="1" applyAlignment="1" applyProtection="1">
      <alignment horizontal="right"/>
    </xf>
    <xf numFmtId="0" fontId="33" fillId="7" borderId="7" xfId="0" applyFont="1" applyFill="1" applyBorder="1" applyProtection="1"/>
    <xf numFmtId="0" fontId="33" fillId="7" borderId="26" xfId="0" applyFont="1" applyFill="1" applyBorder="1" applyProtection="1"/>
    <xf numFmtId="173" fontId="33" fillId="17" borderId="0" xfId="0" applyNumberFormat="1" applyFont="1" applyFill="1" applyBorder="1" applyAlignment="1" applyProtection="1">
      <alignment horizontal="right"/>
    </xf>
    <xf numFmtId="173" fontId="33" fillId="17" borderId="0" xfId="0" applyNumberFormat="1" applyFont="1" applyFill="1" applyBorder="1" applyProtection="1"/>
    <xf numFmtId="1" fontId="14" fillId="17" borderId="11" xfId="0" applyNumberFormat="1" applyFont="1" applyFill="1" applyBorder="1" applyProtection="1"/>
    <xf numFmtId="165" fontId="14" fillId="17" borderId="11" xfId="2" applyNumberFormat="1" applyFont="1" applyFill="1" applyBorder="1" applyProtection="1"/>
    <xf numFmtId="14" fontId="33" fillId="7" borderId="0" xfId="0" applyNumberFormat="1" applyFont="1" applyFill="1" applyProtection="1"/>
    <xf numFmtId="43" fontId="33" fillId="7" borderId="0" xfId="0" applyNumberFormat="1" applyFont="1" applyFill="1" applyBorder="1" applyAlignment="1" applyProtection="1">
      <alignment wrapText="1"/>
    </xf>
    <xf numFmtId="43" fontId="33" fillId="7" borderId="7" xfId="0" applyNumberFormat="1" applyFont="1" applyFill="1" applyBorder="1" applyAlignment="1" applyProtection="1">
      <alignment wrapText="1"/>
    </xf>
    <xf numFmtId="0" fontId="33" fillId="7" borderId="0" xfId="0" applyFont="1" applyFill="1" applyAlignment="1" applyProtection="1">
      <alignment vertical="top" wrapText="1"/>
    </xf>
    <xf numFmtId="0" fontId="68" fillId="0" borderId="0" xfId="0" applyFont="1" applyAlignment="1" applyProtection="1">
      <alignment horizontal="left" vertical="center" wrapText="1"/>
    </xf>
    <xf numFmtId="0" fontId="44" fillId="0" borderId="0" xfId="0" applyFont="1" applyAlignment="1" applyProtection="1">
      <alignment horizontal="center"/>
    </xf>
    <xf numFmtId="0" fontId="24" fillId="0" borderId="0" xfId="0" applyFont="1" applyFill="1" applyBorder="1" applyAlignment="1" applyProtection="1">
      <alignment horizontal="center"/>
    </xf>
    <xf numFmtId="0" fontId="4" fillId="0" borderId="0" xfId="0" applyFont="1" applyFill="1" applyBorder="1" applyAlignment="1" applyProtection="1">
      <alignment horizontal="center"/>
    </xf>
    <xf numFmtId="0" fontId="4" fillId="0" borderId="0" xfId="0" applyFont="1" applyBorder="1" applyProtection="1"/>
    <xf numFmtId="0" fontId="4" fillId="0" borderId="0" xfId="0" applyFont="1" applyBorder="1" applyAlignment="1" applyProtection="1">
      <alignment horizontal="left" indent="3"/>
    </xf>
    <xf numFmtId="0" fontId="22" fillId="0" borderId="0" xfId="0" applyFont="1" applyFill="1" applyBorder="1" applyAlignment="1" applyProtection="1">
      <alignment horizontal="left"/>
    </xf>
    <xf numFmtId="0" fontId="0" fillId="0" borderId="38" xfId="0" applyBorder="1" applyProtection="1"/>
    <xf numFmtId="0" fontId="22" fillId="0" borderId="38" xfId="0" applyFont="1" applyBorder="1" applyProtection="1"/>
    <xf numFmtId="10" fontId="4" fillId="0" borderId="39" xfId="4" applyNumberFormat="1" applyFont="1" applyFill="1" applyBorder="1" applyAlignment="1" applyProtection="1">
      <alignment horizontal="center"/>
    </xf>
    <xf numFmtId="0" fontId="22" fillId="0" borderId="38" xfId="0" applyFont="1" applyFill="1" applyBorder="1" applyAlignment="1" applyProtection="1">
      <alignment horizontal="left"/>
    </xf>
    <xf numFmtId="0" fontId="0" fillId="0" borderId="40" xfId="0" applyBorder="1" applyProtection="1"/>
    <xf numFmtId="10" fontId="0" fillId="10" borderId="38" xfId="4" applyNumberFormat="1" applyFont="1" applyFill="1" applyBorder="1" applyAlignment="1" applyProtection="1">
      <alignment horizontal="center"/>
    </xf>
    <xf numFmtId="10" fontId="0" fillId="0" borderId="39" xfId="4" applyNumberFormat="1" applyFont="1" applyFill="1" applyBorder="1" applyAlignment="1" applyProtection="1"/>
    <xf numFmtId="10" fontId="0" fillId="0" borderId="39" xfId="4" applyNumberFormat="1" applyFont="1" applyFill="1" applyBorder="1" applyAlignment="1" applyProtection="1">
      <alignment horizontal="center"/>
    </xf>
    <xf numFmtId="10" fontId="22" fillId="18" borderId="38" xfId="4" applyNumberFormat="1" applyFont="1" applyFill="1" applyBorder="1" applyAlignment="1" applyProtection="1">
      <alignment horizontal="center"/>
    </xf>
    <xf numFmtId="43" fontId="22" fillId="18" borderId="39" xfId="4" applyNumberFormat="1" applyFont="1" applyFill="1" applyBorder="1" applyAlignment="1" applyProtection="1"/>
    <xf numFmtId="43" fontId="0" fillId="0" borderId="39" xfId="1" applyFont="1" applyFill="1" applyBorder="1" applyAlignment="1" applyProtection="1"/>
    <xf numFmtId="43" fontId="0" fillId="0" borderId="39" xfId="1" applyFont="1" applyFill="1" applyBorder="1" applyAlignment="1" applyProtection="1">
      <alignment horizontal="center"/>
    </xf>
    <xf numFmtId="0" fontId="0" fillId="0" borderId="52" xfId="0" applyBorder="1" applyProtection="1"/>
    <xf numFmtId="0" fontId="4" fillId="0" borderId="7" xfId="0" applyFont="1" applyBorder="1" applyAlignment="1" applyProtection="1">
      <alignment horizontal="left" indent="3"/>
    </xf>
    <xf numFmtId="10" fontId="0" fillId="10" borderId="52" xfId="4" applyNumberFormat="1" applyFont="1" applyFill="1" applyBorder="1" applyAlignment="1" applyProtection="1">
      <alignment horizontal="center"/>
    </xf>
    <xf numFmtId="10" fontId="0" fillId="0" borderId="53" xfId="4" applyNumberFormat="1" applyFont="1" applyFill="1" applyBorder="1" applyAlignment="1" applyProtection="1">
      <alignment horizontal="center"/>
    </xf>
    <xf numFmtId="10" fontId="4" fillId="0" borderId="53" xfId="4" applyNumberFormat="1" applyFont="1" applyFill="1" applyBorder="1" applyAlignment="1" applyProtection="1">
      <alignment horizontal="center"/>
    </xf>
    <xf numFmtId="0" fontId="22" fillId="0" borderId="54" xfId="0" applyFont="1" applyBorder="1" applyAlignment="1" applyProtection="1">
      <alignment horizontal="left"/>
    </xf>
    <xf numFmtId="0" fontId="22" fillId="0" borderId="4" xfId="0" applyFont="1" applyBorder="1" applyAlignment="1" applyProtection="1">
      <alignment horizontal="left"/>
    </xf>
    <xf numFmtId="10" fontId="4" fillId="0" borderId="55" xfId="4" applyNumberFormat="1" applyFont="1" applyFill="1" applyBorder="1" applyAlignment="1" applyProtection="1">
      <alignment horizontal="center"/>
    </xf>
    <xf numFmtId="0" fontId="112" fillId="0" borderId="52" xfId="0" applyFont="1" applyFill="1" applyBorder="1" applyProtection="1"/>
    <xf numFmtId="0" fontId="22" fillId="0" borderId="7" xfId="0" applyFont="1" applyFill="1" applyBorder="1" applyProtection="1"/>
    <xf numFmtId="10" fontId="4" fillId="0" borderId="53" xfId="0" applyNumberFormat="1" applyFont="1" applyFill="1" applyBorder="1" applyAlignment="1" applyProtection="1">
      <alignment horizontal="center"/>
    </xf>
    <xf numFmtId="0" fontId="22" fillId="0" borderId="56" xfId="0" applyFont="1" applyBorder="1" applyProtection="1"/>
    <xf numFmtId="0" fontId="22" fillId="0" borderId="12" xfId="0" applyFont="1" applyBorder="1" applyProtection="1"/>
    <xf numFmtId="0" fontId="0" fillId="0" borderId="12" xfId="0" applyBorder="1" applyProtection="1"/>
    <xf numFmtId="0" fontId="4" fillId="0" borderId="57" xfId="0" applyFont="1" applyFill="1" applyBorder="1" applyAlignment="1" applyProtection="1">
      <alignment horizontal="center" wrapText="1"/>
    </xf>
    <xf numFmtId="10" fontId="4" fillId="0" borderId="57" xfId="4" applyNumberFormat="1" applyFont="1" applyFill="1" applyBorder="1" applyAlignment="1" applyProtection="1">
      <alignment horizontal="center"/>
    </xf>
    <xf numFmtId="0" fontId="4" fillId="0" borderId="7" xfId="0" applyFont="1" applyBorder="1" applyProtection="1"/>
    <xf numFmtId="10" fontId="0" fillId="0" borderId="52" xfId="4" applyNumberFormat="1" applyFont="1" applyFill="1" applyBorder="1" applyAlignment="1" applyProtection="1">
      <alignment horizontal="center"/>
    </xf>
    <xf numFmtId="43" fontId="0" fillId="0" borderId="53" xfId="1" applyFont="1" applyFill="1" applyBorder="1" applyAlignment="1" applyProtection="1"/>
    <xf numFmtId="43" fontId="0" fillId="10" borderId="53" xfId="1" applyFont="1" applyFill="1" applyBorder="1" applyAlignment="1" applyProtection="1">
      <alignment horizontal="center"/>
    </xf>
    <xf numFmtId="0" fontId="22" fillId="0" borderId="52" xfId="0" applyFont="1" applyBorder="1" applyProtection="1"/>
    <xf numFmtId="0" fontId="22" fillId="0" borderId="7" xfId="0" applyFont="1" applyBorder="1" applyProtection="1"/>
    <xf numFmtId="0" fontId="4" fillId="0" borderId="53" xfId="0" applyFont="1" applyFill="1" applyBorder="1" applyAlignment="1" applyProtection="1">
      <alignment horizontal="center"/>
    </xf>
    <xf numFmtId="0" fontId="23" fillId="0" borderId="0" xfId="0" applyFont="1" applyFill="1" applyAlignment="1" applyProtection="1">
      <alignment horizontal="center"/>
    </xf>
    <xf numFmtId="0" fontId="30" fillId="0" borderId="38" xfId="0" applyFont="1" applyBorder="1" applyAlignment="1" applyProtection="1">
      <alignment horizontal="center"/>
    </xf>
    <xf numFmtId="0" fontId="30" fillId="0" borderId="0" xfId="0" applyFont="1" applyBorder="1" applyAlignment="1" applyProtection="1">
      <alignment horizontal="center"/>
    </xf>
    <xf numFmtId="168" fontId="30" fillId="0" borderId="39" xfId="1" applyNumberFormat="1" applyFont="1" applyBorder="1" applyAlignment="1" applyProtection="1">
      <alignment horizontal="center"/>
    </xf>
    <xf numFmtId="0" fontId="0" fillId="2" borderId="38" xfId="0" applyFill="1" applyBorder="1" applyAlignment="1" applyProtection="1">
      <alignment horizontal="center"/>
    </xf>
    <xf numFmtId="0" fontId="4" fillId="2" borderId="0" xfId="0" applyFont="1" applyFill="1" applyBorder="1" applyAlignment="1" applyProtection="1">
      <alignment horizontal="center"/>
    </xf>
    <xf numFmtId="0" fontId="0" fillId="2" borderId="0" xfId="0" applyFill="1" applyBorder="1" applyAlignment="1" applyProtection="1">
      <alignment horizontal="center"/>
    </xf>
    <xf numFmtId="169" fontId="0" fillId="10" borderId="39" xfId="0" applyNumberFormat="1" applyFill="1" applyBorder="1" applyAlignment="1" applyProtection="1">
      <alignment horizontal="center"/>
    </xf>
    <xf numFmtId="0" fontId="0" fillId="0" borderId="39" xfId="0" applyBorder="1" applyProtection="1"/>
    <xf numFmtId="168" fontId="0" fillId="10" borderId="39" xfId="1" applyNumberFormat="1" applyFont="1" applyFill="1" applyBorder="1" applyAlignment="1" applyProtection="1">
      <alignment horizontal="center"/>
    </xf>
    <xf numFmtId="0" fontId="0" fillId="0" borderId="41" xfId="0" applyBorder="1" applyProtection="1"/>
    <xf numFmtId="0" fontId="0" fillId="0" borderId="38" xfId="0" applyFill="1" applyBorder="1" applyAlignment="1" applyProtection="1">
      <alignment horizontal="center"/>
    </xf>
    <xf numFmtId="0" fontId="0" fillId="0" borderId="0" xfId="0" applyFill="1" applyBorder="1" applyAlignment="1" applyProtection="1">
      <alignment horizontal="center"/>
    </xf>
    <xf numFmtId="169" fontId="0" fillId="0" borderId="39" xfId="0" applyNumberFormat="1" applyFill="1" applyBorder="1" applyAlignment="1" applyProtection="1">
      <alignment horizontal="center"/>
    </xf>
    <xf numFmtId="168" fontId="0" fillId="0" borderId="39" xfId="1" applyNumberFormat="1" applyFont="1" applyFill="1" applyBorder="1" applyAlignment="1" applyProtection="1">
      <alignment horizontal="center"/>
    </xf>
    <xf numFmtId="0" fontId="44" fillId="0" borderId="0" xfId="0" applyFont="1" applyAlignment="1" applyProtection="1">
      <alignment horizontal="center"/>
    </xf>
    <xf numFmtId="0" fontId="0" fillId="0" borderId="12" xfId="0" applyBorder="1" applyAlignment="1" applyProtection="1">
      <alignment wrapText="1"/>
    </xf>
    <xf numFmtId="0" fontId="0" fillId="0" borderId="7" xfId="0" applyBorder="1" applyAlignment="1" applyProtection="1">
      <alignment wrapText="1"/>
    </xf>
    <xf numFmtId="0" fontId="44" fillId="0" borderId="12" xfId="0" applyFont="1" applyBorder="1" applyAlignment="1" applyProtection="1">
      <alignment horizontal="center"/>
    </xf>
    <xf numFmtId="0" fontId="4" fillId="0" borderId="56" xfId="0" applyFont="1" applyBorder="1" applyProtection="1"/>
    <xf numFmtId="0" fontId="21" fillId="0" borderId="40" xfId="0" applyFont="1" applyFill="1" applyBorder="1" applyProtection="1"/>
    <xf numFmtId="0" fontId="0" fillId="0" borderId="13" xfId="0" applyFill="1" applyBorder="1" applyAlignment="1" applyProtection="1">
      <alignment wrapText="1"/>
    </xf>
    <xf numFmtId="0" fontId="44" fillId="0" borderId="13" xfId="0" applyFont="1" applyBorder="1" applyAlignment="1" applyProtection="1">
      <alignment horizontal="center"/>
    </xf>
    <xf numFmtId="10" fontId="4" fillId="0" borderId="15" xfId="4" applyNumberFormat="1" applyFont="1" applyFill="1" applyBorder="1" applyProtection="1"/>
    <xf numFmtId="43" fontId="4" fillId="7" borderId="15" xfId="1" applyFont="1" applyFill="1" applyBorder="1" applyProtection="1">
      <protection locked="0"/>
    </xf>
    <xf numFmtId="0" fontId="21" fillId="0" borderId="52" xfId="0" applyFont="1" applyBorder="1" applyProtection="1"/>
    <xf numFmtId="0" fontId="44" fillId="0" borderId="7" xfId="0" applyFont="1" applyBorder="1" applyAlignment="1" applyProtection="1">
      <alignment horizontal="center"/>
    </xf>
    <xf numFmtId="10" fontId="4" fillId="0" borderId="3" xfId="4" applyNumberFormat="1" applyFont="1" applyFill="1" applyBorder="1" applyProtection="1"/>
    <xf numFmtId="43" fontId="4" fillId="7" borderId="3" xfId="1" applyFont="1" applyFill="1" applyBorder="1" applyProtection="1">
      <protection locked="0"/>
    </xf>
    <xf numFmtId="43" fontId="4" fillId="7" borderId="8" xfId="1" applyFont="1" applyFill="1" applyBorder="1" applyProtection="1">
      <protection locked="0"/>
    </xf>
    <xf numFmtId="43" fontId="4" fillId="7" borderId="10" xfId="1" applyFont="1" applyFill="1" applyBorder="1" applyProtection="1">
      <protection locked="0"/>
    </xf>
    <xf numFmtId="43" fontId="4" fillId="7" borderId="27" xfId="1" applyFont="1" applyFill="1" applyBorder="1" applyProtection="1">
      <protection locked="0"/>
    </xf>
    <xf numFmtId="0" fontId="44" fillId="0" borderId="53" xfId="0" applyFont="1" applyBorder="1" applyAlignment="1" applyProtection="1">
      <alignment horizontal="center"/>
    </xf>
    <xf numFmtId="0" fontId="44" fillId="0" borderId="57" xfId="0" applyFont="1" applyBorder="1" applyAlignment="1" applyProtection="1">
      <alignment horizontal="center"/>
    </xf>
    <xf numFmtId="0" fontId="44" fillId="0" borderId="41" xfId="0" applyFont="1" applyBorder="1" applyAlignment="1" applyProtection="1">
      <alignment horizontal="center"/>
    </xf>
    <xf numFmtId="10" fontId="4" fillId="0" borderId="6" xfId="4" applyNumberFormat="1" applyFont="1" applyFill="1" applyBorder="1" applyProtection="1"/>
    <xf numFmtId="10" fontId="4" fillId="0" borderId="11" xfId="4" applyNumberFormat="1" applyFont="1" applyFill="1" applyBorder="1" applyProtection="1"/>
    <xf numFmtId="10" fontId="4" fillId="0" borderId="33" xfId="4" applyNumberFormat="1" applyFont="1" applyFill="1" applyBorder="1" applyProtection="1"/>
    <xf numFmtId="10" fontId="4" fillId="0" borderId="60" xfId="4" applyNumberFormat="1" applyFont="1" applyFill="1" applyBorder="1" applyAlignment="1" applyProtection="1">
      <alignment horizontal="center"/>
    </xf>
    <xf numFmtId="10" fontId="4" fillId="0" borderId="61" xfId="4" applyNumberFormat="1" applyFont="1" applyFill="1" applyBorder="1" applyAlignment="1" applyProtection="1">
      <alignment horizontal="center"/>
    </xf>
    <xf numFmtId="10" fontId="4" fillId="0" borderId="62" xfId="4" applyNumberFormat="1" applyFont="1" applyFill="1" applyBorder="1" applyAlignment="1" applyProtection="1">
      <alignment horizontal="center"/>
    </xf>
    <xf numFmtId="0" fontId="32" fillId="0" borderId="0" xfId="0" applyFont="1" applyAlignment="1" applyProtection="1">
      <alignment horizontal="right"/>
    </xf>
    <xf numFmtId="0" fontId="93" fillId="0" borderId="0" xfId="0" applyFont="1" applyAlignment="1" applyProtection="1">
      <alignment horizontal="right"/>
    </xf>
    <xf numFmtId="0" fontId="98" fillId="0" borderId="0" xfId="0" applyFont="1" applyFill="1" applyProtection="1">
      <protection locked="0"/>
    </xf>
    <xf numFmtId="0" fontId="0" fillId="0" borderId="0" xfId="0" applyFill="1" applyProtection="1">
      <protection locked="0"/>
    </xf>
    <xf numFmtId="0" fontId="22" fillId="0" borderId="0" xfId="0" applyFont="1" applyAlignment="1" applyProtection="1">
      <alignment horizontal="center" vertical="center" wrapText="1"/>
    </xf>
    <xf numFmtId="0" fontId="22" fillId="0" borderId="16" xfId="0" applyFont="1" applyBorder="1" applyAlignment="1" applyProtection="1">
      <alignment horizontal="center" vertical="center" wrapText="1"/>
    </xf>
    <xf numFmtId="0" fontId="22" fillId="0" borderId="17" xfId="0" applyFont="1" applyBorder="1" applyAlignment="1" applyProtection="1">
      <alignment horizontal="center" vertical="center" wrapText="1"/>
    </xf>
    <xf numFmtId="0" fontId="22" fillId="2" borderId="51" xfId="0" applyFont="1" applyFill="1" applyBorder="1" applyAlignment="1" applyProtection="1">
      <alignment horizontal="center" vertical="center" wrapText="1"/>
    </xf>
    <xf numFmtId="0" fontId="22" fillId="15" borderId="18" xfId="0" applyFont="1" applyFill="1" applyBorder="1" applyAlignment="1" applyProtection="1">
      <alignment horizontal="center" vertical="center" wrapText="1"/>
    </xf>
    <xf numFmtId="0" fontId="23" fillId="0" borderId="0" xfId="0" applyFont="1" applyFill="1" applyAlignment="1" applyProtection="1">
      <alignment horizontal="left"/>
    </xf>
    <xf numFmtId="0" fontId="122" fillId="0" borderId="0" xfId="0" applyFont="1" applyFill="1" applyAlignment="1" applyProtection="1">
      <alignment horizontal="center"/>
    </xf>
    <xf numFmtId="0" fontId="116" fillId="0" borderId="0" xfId="0" applyFont="1" applyFill="1" applyAlignment="1" applyProtection="1">
      <alignment horizontal="left"/>
    </xf>
    <xf numFmtId="43" fontId="28" fillId="0" borderId="0" xfId="1" applyFont="1" applyFill="1" applyBorder="1" applyAlignment="1" applyProtection="1">
      <alignment horizontal="center"/>
    </xf>
    <xf numFmtId="0" fontId="122" fillId="0" borderId="0" xfId="0" applyFont="1" applyFill="1" applyBorder="1" applyAlignment="1" applyProtection="1">
      <alignment horizontal="center"/>
    </xf>
    <xf numFmtId="0" fontId="22" fillId="2" borderId="1" xfId="0" applyFont="1" applyFill="1" applyBorder="1" applyAlignment="1" applyProtection="1">
      <alignment horizontal="center" vertical="center" wrapText="1"/>
    </xf>
    <xf numFmtId="0" fontId="22" fillId="15" borderId="1" xfId="0" applyFont="1" applyFill="1" applyBorder="1" applyAlignment="1" applyProtection="1">
      <alignment horizontal="center" vertical="center" wrapText="1"/>
    </xf>
    <xf numFmtId="0" fontId="22" fillId="0" borderId="1" xfId="0" applyFont="1" applyBorder="1" applyAlignment="1" applyProtection="1">
      <alignment horizontal="center" vertical="center" wrapText="1"/>
    </xf>
    <xf numFmtId="0" fontId="22" fillId="0" borderId="1" xfId="0" applyFont="1" applyFill="1" applyBorder="1" applyAlignment="1" applyProtection="1">
      <alignment horizontal="center" vertical="center" wrapText="1"/>
    </xf>
    <xf numFmtId="0" fontId="22" fillId="0" borderId="0" xfId="0" applyFont="1" applyBorder="1" applyAlignment="1" applyProtection="1">
      <alignment horizontal="left" vertical="top"/>
    </xf>
    <xf numFmtId="0" fontId="4" fillId="0" borderId="0" xfId="0" applyFont="1" applyFill="1" applyBorder="1" applyAlignment="1" applyProtection="1">
      <alignment horizontal="left" vertical="top"/>
    </xf>
    <xf numFmtId="10" fontId="0" fillId="0" borderId="38" xfId="4" applyNumberFormat="1" applyFont="1" applyFill="1" applyBorder="1" applyAlignment="1" applyProtection="1">
      <alignment horizontal="center"/>
    </xf>
    <xf numFmtId="0" fontId="33" fillId="0" borderId="0" xfId="0" applyFont="1" applyFill="1" applyBorder="1" applyAlignment="1" applyProtection="1">
      <alignment vertical="center"/>
    </xf>
    <xf numFmtId="10" fontId="0" fillId="0" borderId="3" xfId="0" applyNumberFormat="1" applyBorder="1" applyProtection="1"/>
    <xf numFmtId="43" fontId="0" fillId="10" borderId="39" xfId="1" applyFont="1" applyFill="1" applyBorder="1" applyAlignment="1" applyProtection="1">
      <alignment horizontal="center"/>
    </xf>
    <xf numFmtId="10" fontId="4" fillId="0" borderId="68" xfId="4" applyNumberFormat="1" applyFont="1" applyFill="1" applyBorder="1" applyAlignment="1" applyProtection="1">
      <alignment horizontal="center"/>
    </xf>
    <xf numFmtId="0" fontId="4" fillId="0" borderId="40" xfId="0" applyFont="1" applyBorder="1" applyProtection="1"/>
    <xf numFmtId="9" fontId="4" fillId="0" borderId="70" xfId="0" applyNumberFormat="1" applyFont="1" applyFill="1" applyBorder="1" applyAlignment="1" applyProtection="1">
      <alignment horizontal="center"/>
    </xf>
    <xf numFmtId="0" fontId="0" fillId="0" borderId="46" xfId="0" applyBorder="1" applyProtection="1"/>
    <xf numFmtId="0" fontId="0" fillId="0" borderId="48" xfId="0" applyBorder="1" applyProtection="1"/>
    <xf numFmtId="0" fontId="0" fillId="0" borderId="47" xfId="0" applyBorder="1" applyProtection="1"/>
    <xf numFmtId="0" fontId="19" fillId="0" borderId="0" xfId="0" applyFont="1" applyFill="1" applyBorder="1" applyAlignment="1" applyProtection="1">
      <alignment horizontal="left"/>
    </xf>
    <xf numFmtId="44" fontId="14" fillId="0" borderId="0" xfId="2" applyNumberFormat="1" applyFont="1" applyFill="1" applyBorder="1" applyProtection="1"/>
    <xf numFmtId="1" fontId="14" fillId="7" borderId="1" xfId="0" applyNumberFormat="1" applyFont="1" applyFill="1" applyBorder="1" applyAlignment="1" applyProtection="1"/>
    <xf numFmtId="44" fontId="8" fillId="3" borderId="1" xfId="2" applyNumberFormat="1" applyFont="1" applyFill="1" applyBorder="1" applyProtection="1"/>
    <xf numFmtId="44" fontId="33" fillId="5" borderId="14" xfId="0" applyNumberFormat="1" applyFont="1" applyFill="1" applyBorder="1" applyAlignment="1" applyProtection="1">
      <alignment horizontal="center" vertical="center"/>
    </xf>
    <xf numFmtId="44" fontId="33" fillId="5" borderId="9" xfId="2" applyNumberFormat="1" applyFont="1" applyFill="1" applyBorder="1" applyAlignment="1" applyProtection="1">
      <alignment horizontal="center" vertical="center"/>
    </xf>
    <xf numFmtId="0" fontId="68" fillId="0" borderId="0" xfId="0" applyFont="1" applyFill="1" applyAlignment="1" applyProtection="1">
      <alignment horizontal="left" vertical="center" wrapText="1"/>
    </xf>
    <xf numFmtId="0" fontId="63" fillId="0" borderId="14" xfId="0"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10" fontId="0" fillId="0" borderId="0" xfId="0" applyNumberFormat="1" applyFill="1" applyBorder="1" applyProtection="1"/>
    <xf numFmtId="44" fontId="0" fillId="0" borderId="0" xfId="0" applyNumberFormat="1" applyFill="1" applyBorder="1" applyProtection="1"/>
    <xf numFmtId="0" fontId="12" fillId="0" borderId="23" xfId="0" applyFont="1" applyFill="1" applyBorder="1" applyProtection="1"/>
    <xf numFmtId="0" fontId="4" fillId="0" borderId="0" xfId="0" applyFont="1" applyFill="1" applyAlignment="1" applyProtection="1">
      <alignment vertical="center"/>
    </xf>
    <xf numFmtId="0" fontId="23" fillId="0" borderId="0" xfId="0" applyFont="1" applyFill="1" applyBorder="1" applyAlignment="1" applyProtection="1"/>
    <xf numFmtId="0" fontId="4" fillId="0" borderId="0" xfId="0" applyFont="1" applyFill="1" applyBorder="1" applyAlignment="1" applyProtection="1">
      <alignment vertical="top"/>
    </xf>
    <xf numFmtId="169" fontId="0" fillId="0" borderId="0" xfId="0" applyNumberFormat="1" applyProtection="1"/>
    <xf numFmtId="175" fontId="0" fillId="0" borderId="0" xfId="0" applyNumberFormat="1" applyProtection="1"/>
    <xf numFmtId="168" fontId="0" fillId="10" borderId="39" xfId="1" applyNumberFormat="1" applyFont="1" applyFill="1" applyBorder="1" applyAlignment="1" applyProtection="1"/>
    <xf numFmtId="0" fontId="52" fillId="0" borderId="0" xfId="0" applyFont="1" applyFill="1" applyBorder="1" applyAlignment="1" applyProtection="1">
      <alignment horizontal="right" vertical="center"/>
    </xf>
    <xf numFmtId="9" fontId="0" fillId="7" borderId="0" xfId="0" applyNumberFormat="1" applyFill="1" applyBorder="1" applyProtection="1"/>
    <xf numFmtId="9" fontId="33" fillId="7" borderId="1" xfId="0" applyNumberFormat="1" applyFont="1" applyFill="1" applyBorder="1" applyAlignment="1" applyProtection="1">
      <alignment horizontal="left"/>
    </xf>
    <xf numFmtId="0" fontId="4" fillId="7" borderId="0" xfId="0" applyFont="1" applyFill="1" applyAlignment="1" applyProtection="1">
      <alignment horizontal="right"/>
    </xf>
    <xf numFmtId="0" fontId="121" fillId="0" borderId="0" xfId="0" applyFont="1" applyFill="1" applyAlignment="1" applyProtection="1">
      <alignment horizontal="left"/>
    </xf>
    <xf numFmtId="0" fontId="44" fillId="0" borderId="0" xfId="0" applyFont="1" applyFill="1" applyAlignment="1" applyProtection="1"/>
    <xf numFmtId="43" fontId="28" fillId="4" borderId="32" xfId="1" applyFont="1" applyFill="1" applyBorder="1" applyAlignment="1" applyProtection="1">
      <alignment horizontal="center"/>
    </xf>
    <xf numFmtId="10" fontId="0" fillId="4" borderId="38" xfId="4" applyNumberFormat="1" applyFont="1" applyFill="1" applyBorder="1" applyAlignment="1" applyProtection="1">
      <alignment horizontal="center"/>
    </xf>
    <xf numFmtId="10" fontId="0" fillId="4" borderId="52" xfId="4" applyNumberFormat="1" applyFont="1" applyFill="1" applyBorder="1" applyAlignment="1" applyProtection="1">
      <alignment horizontal="center"/>
    </xf>
    <xf numFmtId="0" fontId="33" fillId="0" borderId="0" xfId="0" applyFont="1" applyFill="1" applyAlignment="1" applyProtection="1">
      <alignment horizontal="left" vertical="top" wrapText="1"/>
    </xf>
    <xf numFmtId="0" fontId="113" fillId="0" borderId="0" xfId="0" applyFont="1" applyFill="1" applyAlignment="1" applyProtection="1">
      <alignment horizontal="left" vertical="center"/>
    </xf>
    <xf numFmtId="176" fontId="0" fillId="0" borderId="0" xfId="1" applyNumberFormat="1" applyFont="1" applyFill="1" applyBorder="1" applyAlignment="1" applyProtection="1">
      <alignment horizontal="center"/>
    </xf>
    <xf numFmtId="172" fontId="0" fillId="0" borderId="0" xfId="0" applyNumberFormat="1" applyProtection="1"/>
    <xf numFmtId="0" fontId="98" fillId="0" borderId="0" xfId="0" applyFont="1" applyFill="1" applyAlignment="1" applyProtection="1">
      <alignment wrapText="1"/>
    </xf>
    <xf numFmtId="0" fontId="68" fillId="0" borderId="0" xfId="0" applyFont="1" applyAlignment="1" applyProtection="1">
      <alignment horizontal="left" vertical="center" wrapText="1"/>
    </xf>
    <xf numFmtId="0" fontId="124" fillId="0" borderId="0" xfId="0" applyFont="1" applyFill="1" applyAlignment="1" applyProtection="1">
      <alignment horizontal="center"/>
    </xf>
    <xf numFmtId="43" fontId="19" fillId="4" borderId="10" xfId="0" applyNumberFormat="1" applyFont="1" applyFill="1" applyBorder="1" applyAlignment="1" applyProtection="1">
      <alignment horizontal="left"/>
      <protection locked="0"/>
    </xf>
    <xf numFmtId="43" fontId="19" fillId="4" borderId="12" xfId="0" applyNumberFormat="1" applyFont="1" applyFill="1" applyBorder="1" applyAlignment="1" applyProtection="1">
      <alignment horizontal="left"/>
      <protection locked="0"/>
    </xf>
    <xf numFmtId="20" fontId="57" fillId="8" borderId="3" xfId="0" applyNumberFormat="1" applyFont="1" applyFill="1" applyBorder="1" applyAlignment="1" applyProtection="1">
      <alignment horizontal="center"/>
      <protection locked="0"/>
    </xf>
    <xf numFmtId="43" fontId="19" fillId="4" borderId="11" xfId="0" applyNumberFormat="1" applyFont="1" applyFill="1" applyBorder="1" applyAlignment="1" applyProtection="1">
      <alignment horizontal="left"/>
      <protection locked="0"/>
    </xf>
    <xf numFmtId="0" fontId="7" fillId="0" borderId="0" xfId="0" applyFont="1" applyAlignment="1" applyProtection="1">
      <alignment horizontal="left" wrapText="1"/>
    </xf>
    <xf numFmtId="0" fontId="84" fillId="0" borderId="0" xfId="0" applyFont="1" applyFill="1" applyBorder="1" applyAlignment="1" applyProtection="1">
      <alignment horizontal="center" vertical="center" wrapText="1"/>
    </xf>
    <xf numFmtId="0" fontId="63" fillId="0" borderId="0" xfId="0" applyFont="1" applyFill="1" applyAlignment="1" applyProtection="1">
      <alignment horizontal="center"/>
    </xf>
    <xf numFmtId="0" fontId="124" fillId="0" borderId="0" xfId="0" applyFont="1" applyFill="1" applyAlignment="1" applyProtection="1">
      <alignment horizontal="center"/>
    </xf>
    <xf numFmtId="0" fontId="44" fillId="0" borderId="0" xfId="0" applyFont="1" applyFill="1" applyAlignment="1" applyProtection="1">
      <alignment horizontal="center"/>
    </xf>
    <xf numFmtId="0" fontId="36" fillId="0" borderId="0" xfId="0" applyFont="1" applyAlignment="1" applyProtection="1">
      <alignment horizontal="left" vertical="center" wrapText="1"/>
    </xf>
    <xf numFmtId="0" fontId="32" fillId="0" borderId="0" xfId="0" applyFont="1" applyBorder="1" applyAlignment="1" applyProtection="1">
      <alignment horizontal="left"/>
    </xf>
    <xf numFmtId="0" fontId="33" fillId="4" borderId="13" xfId="0" applyFont="1" applyFill="1" applyBorder="1" applyAlignment="1" applyProtection="1">
      <alignment horizontal="left"/>
      <protection locked="0"/>
    </xf>
    <xf numFmtId="1" fontId="33" fillId="4" borderId="13" xfId="0" applyNumberFormat="1" applyFont="1" applyFill="1" applyBorder="1" applyAlignment="1" applyProtection="1">
      <alignment horizontal="left"/>
      <protection locked="0"/>
    </xf>
    <xf numFmtId="15" fontId="33" fillId="4" borderId="13" xfId="0" applyNumberFormat="1" applyFont="1" applyFill="1" applyBorder="1" applyAlignment="1" applyProtection="1">
      <alignment horizontal="left"/>
      <protection locked="0"/>
    </xf>
    <xf numFmtId="0" fontId="33" fillId="4" borderId="13" xfId="0" applyNumberFormat="1" applyFont="1" applyFill="1" applyBorder="1" applyAlignment="1" applyProtection="1">
      <alignment horizontal="left"/>
      <protection locked="0"/>
    </xf>
    <xf numFmtId="2" fontId="33" fillId="4" borderId="13" xfId="0" applyNumberFormat="1" applyFont="1" applyFill="1" applyBorder="1" applyAlignment="1" applyProtection="1">
      <alignment horizontal="left"/>
      <protection locked="0"/>
    </xf>
    <xf numFmtId="0" fontId="32" fillId="0" borderId="0" xfId="0" quotePrefix="1" applyFont="1" applyBorder="1" applyAlignment="1" applyProtection="1">
      <alignment horizontal="left"/>
    </xf>
    <xf numFmtId="0" fontId="32" fillId="0" borderId="0" xfId="0" applyFont="1" applyFill="1" applyBorder="1" applyAlignment="1" applyProtection="1">
      <alignment horizontal="left"/>
    </xf>
    <xf numFmtId="0" fontId="32" fillId="0" borderId="0" xfId="0" quotePrefix="1" applyFont="1" applyFill="1" applyBorder="1" applyAlignment="1" applyProtection="1">
      <alignment horizontal="left"/>
    </xf>
    <xf numFmtId="10" fontId="33" fillId="10" borderId="13" xfId="4" applyNumberFormat="1" applyFont="1" applyFill="1" applyBorder="1" applyAlignment="1" applyProtection="1">
      <alignment horizontal="right"/>
      <protection locked="0"/>
    </xf>
    <xf numFmtId="170" fontId="33" fillId="4" borderId="13" xfId="0" applyNumberFormat="1" applyFont="1" applyFill="1" applyBorder="1" applyAlignment="1" applyProtection="1">
      <alignment horizontal="left"/>
      <protection locked="0"/>
    </xf>
    <xf numFmtId="0" fontId="32" fillId="0" borderId="0" xfId="0" applyFont="1" applyBorder="1" applyAlignment="1" applyProtection="1">
      <alignment horizontal="left" vertical="center" wrapText="1"/>
    </xf>
    <xf numFmtId="0" fontId="33" fillId="10" borderId="0" xfId="0" applyFont="1" applyFill="1" applyBorder="1" applyAlignment="1" applyProtection="1">
      <alignment horizontal="center" vertical="center"/>
      <protection locked="0"/>
    </xf>
    <xf numFmtId="0" fontId="33" fillId="10" borderId="13" xfId="0" applyFont="1" applyFill="1" applyBorder="1" applyAlignment="1" applyProtection="1">
      <alignment horizontal="center" vertical="center"/>
      <protection locked="0"/>
    </xf>
    <xf numFmtId="0" fontId="63" fillId="4" borderId="0" xfId="0" applyFont="1" applyFill="1" applyBorder="1" applyAlignment="1" applyProtection="1">
      <alignment horizontal="left" vertical="center" wrapText="1"/>
      <protection locked="0"/>
    </xf>
    <xf numFmtId="0" fontId="63" fillId="4" borderId="13" xfId="0" applyFont="1" applyFill="1" applyBorder="1" applyAlignment="1" applyProtection="1">
      <alignment horizontal="left" vertical="center" wrapText="1"/>
      <protection locked="0"/>
    </xf>
    <xf numFmtId="0" fontId="32" fillId="0" borderId="0" xfId="0" applyFont="1" applyFill="1" applyBorder="1" applyAlignment="1" applyProtection="1">
      <alignment horizontal="left" vertical="center"/>
    </xf>
    <xf numFmtId="44" fontId="33" fillId="10" borderId="13" xfId="2" applyFont="1" applyFill="1" applyBorder="1" applyAlignment="1" applyProtection="1">
      <alignment horizontal="center"/>
      <protection locked="0"/>
    </xf>
    <xf numFmtId="10" fontId="33" fillId="0" borderId="13" xfId="0" applyNumberFormat="1" applyFont="1" applyFill="1" applyBorder="1" applyAlignment="1" applyProtection="1">
      <alignment horizontal="left"/>
    </xf>
    <xf numFmtId="10" fontId="33" fillId="4" borderId="13" xfId="0" applyNumberFormat="1" applyFont="1" applyFill="1" applyBorder="1" applyAlignment="1" applyProtection="1">
      <alignment horizontal="left"/>
      <protection locked="0"/>
    </xf>
    <xf numFmtId="0" fontId="32" fillId="10" borderId="9" xfId="0" applyFont="1" applyFill="1" applyBorder="1" applyAlignment="1" applyProtection="1">
      <alignment horizontal="left"/>
      <protection locked="0"/>
    </xf>
    <xf numFmtId="0" fontId="32" fillId="10" borderId="4" xfId="0" applyFont="1" applyFill="1" applyBorder="1" applyAlignment="1" applyProtection="1">
      <alignment horizontal="left"/>
      <protection locked="0"/>
    </xf>
    <xf numFmtId="0" fontId="43" fillId="10" borderId="4" xfId="0" applyFont="1" applyFill="1" applyBorder="1" applyAlignment="1" applyProtection="1">
      <alignment horizontal="left" vertical="center"/>
      <protection locked="0"/>
    </xf>
    <xf numFmtId="0" fontId="43" fillId="10" borderId="5" xfId="0" applyFont="1" applyFill="1" applyBorder="1" applyAlignment="1" applyProtection="1">
      <alignment horizontal="left" vertical="center"/>
      <protection locked="0"/>
    </xf>
    <xf numFmtId="0" fontId="33" fillId="10" borderId="14" xfId="0" applyFont="1" applyFill="1" applyBorder="1" applyAlignment="1" applyProtection="1">
      <alignment horizontal="left" vertical="top" wrapText="1"/>
      <protection locked="0"/>
    </xf>
    <xf numFmtId="0" fontId="33" fillId="10" borderId="0" xfId="0" applyFont="1" applyFill="1" applyBorder="1" applyAlignment="1" applyProtection="1">
      <alignment horizontal="left" vertical="top" wrapText="1"/>
      <protection locked="0"/>
    </xf>
    <xf numFmtId="0" fontId="33" fillId="10" borderId="23" xfId="0" applyFont="1" applyFill="1" applyBorder="1" applyAlignment="1" applyProtection="1">
      <alignment horizontal="left" vertical="top" wrapText="1"/>
      <protection locked="0"/>
    </xf>
    <xf numFmtId="0" fontId="33" fillId="10" borderId="6" xfId="0" applyFont="1" applyFill="1" applyBorder="1" applyAlignment="1" applyProtection="1">
      <alignment horizontal="left" vertical="top" wrapText="1"/>
      <protection locked="0"/>
    </xf>
    <xf numFmtId="0" fontId="33" fillId="10" borderId="7" xfId="0" applyFont="1" applyFill="1" applyBorder="1" applyAlignment="1" applyProtection="1">
      <alignment horizontal="left" vertical="top" wrapText="1"/>
      <protection locked="0"/>
    </xf>
    <xf numFmtId="0" fontId="33" fillId="10" borderId="8" xfId="0" applyFont="1" applyFill="1" applyBorder="1" applyAlignment="1" applyProtection="1">
      <alignment horizontal="left" vertical="top" wrapText="1"/>
      <protection locked="0"/>
    </xf>
    <xf numFmtId="0" fontId="88" fillId="3" borderId="42" xfId="0" applyFont="1" applyFill="1" applyBorder="1" applyAlignment="1" applyProtection="1">
      <alignment horizontal="center"/>
    </xf>
    <xf numFmtId="0" fontId="88" fillId="3" borderId="43" xfId="0" applyFont="1" applyFill="1" applyBorder="1" applyAlignment="1" applyProtection="1">
      <alignment horizontal="center"/>
    </xf>
    <xf numFmtId="0" fontId="88" fillId="3" borderId="44" xfId="0" applyFont="1" applyFill="1" applyBorder="1" applyAlignment="1" applyProtection="1">
      <alignment horizontal="center"/>
    </xf>
    <xf numFmtId="0" fontId="33" fillId="0" borderId="0" xfId="0" applyFont="1" applyBorder="1" applyAlignment="1" applyProtection="1">
      <alignment horizontal="center" vertical="center" wrapText="1"/>
    </xf>
    <xf numFmtId="44" fontId="33" fillId="3" borderId="13" xfId="2" applyFont="1" applyFill="1" applyBorder="1" applyAlignment="1" applyProtection="1">
      <alignment horizontal="center"/>
    </xf>
    <xf numFmtId="0" fontId="63" fillId="5" borderId="46" xfId="0" applyFont="1" applyFill="1" applyBorder="1" applyAlignment="1" applyProtection="1">
      <alignment horizontal="center"/>
    </xf>
    <xf numFmtId="0" fontId="63" fillId="5" borderId="48" xfId="0" applyFont="1" applyFill="1" applyBorder="1" applyAlignment="1" applyProtection="1">
      <alignment horizontal="center"/>
    </xf>
    <xf numFmtId="0" fontId="63" fillId="5" borderId="47" xfId="0" applyFont="1" applyFill="1" applyBorder="1" applyAlignment="1" applyProtection="1">
      <alignment horizontal="center"/>
    </xf>
    <xf numFmtId="0" fontId="35" fillId="3" borderId="38" xfId="0" applyFont="1" applyFill="1" applyBorder="1" applyAlignment="1" applyProtection="1">
      <alignment horizontal="center"/>
    </xf>
    <xf numFmtId="0" fontId="35" fillId="3" borderId="0" xfId="0" applyFont="1" applyFill="1" applyBorder="1" applyAlignment="1" applyProtection="1">
      <alignment horizontal="center"/>
    </xf>
    <xf numFmtId="0" fontId="35" fillId="3" borderId="39" xfId="0" applyFont="1" applyFill="1" applyBorder="1" applyAlignment="1" applyProtection="1">
      <alignment horizontal="center"/>
    </xf>
    <xf numFmtId="167" fontId="10" fillId="0" borderId="35" xfId="1" applyNumberFormat="1" applyFont="1" applyFill="1" applyBorder="1" applyAlignment="1" applyProtection="1">
      <alignment horizontal="center" vertical="center"/>
    </xf>
    <xf numFmtId="167" fontId="10" fillId="0" borderId="49" xfId="1" applyNumberFormat="1" applyFont="1" applyFill="1" applyBorder="1" applyAlignment="1" applyProtection="1">
      <alignment horizontal="center" vertical="center"/>
    </xf>
    <xf numFmtId="167" fontId="10" fillId="0" borderId="36" xfId="1" applyNumberFormat="1" applyFont="1" applyFill="1" applyBorder="1" applyAlignment="1" applyProtection="1">
      <alignment horizontal="center" vertical="center"/>
    </xf>
    <xf numFmtId="167" fontId="10" fillId="0" borderId="37" xfId="1" applyNumberFormat="1" applyFont="1" applyFill="1" applyBorder="1" applyAlignment="1" applyProtection="1">
      <alignment horizontal="center" vertical="center"/>
    </xf>
    <xf numFmtId="44" fontId="33" fillId="0" borderId="40" xfId="0" applyNumberFormat="1" applyFont="1" applyFill="1" applyBorder="1" applyAlignment="1" applyProtection="1">
      <alignment horizontal="center"/>
    </xf>
    <xf numFmtId="44" fontId="33" fillId="0" borderId="50" xfId="0" applyNumberFormat="1" applyFont="1" applyFill="1" applyBorder="1" applyAlignment="1" applyProtection="1">
      <alignment horizontal="center"/>
    </xf>
    <xf numFmtId="44" fontId="33" fillId="0" borderId="13" xfId="0" applyNumberFormat="1" applyFont="1" applyFill="1" applyBorder="1" applyAlignment="1" applyProtection="1">
      <alignment horizontal="center"/>
    </xf>
    <xf numFmtId="44" fontId="33" fillId="0" borderId="41" xfId="0" applyNumberFormat="1" applyFont="1" applyFill="1" applyBorder="1" applyAlignment="1" applyProtection="1">
      <alignment horizontal="center"/>
    </xf>
    <xf numFmtId="0" fontId="89" fillId="0" borderId="36" xfId="0" applyFont="1" applyBorder="1" applyAlignment="1" applyProtection="1">
      <alignment horizontal="center" vertical="center"/>
    </xf>
    <xf numFmtId="0" fontId="43" fillId="10" borderId="4" xfId="0" applyFont="1" applyFill="1" applyBorder="1" applyAlignment="1" applyProtection="1">
      <alignment horizontal="left" wrapText="1"/>
      <protection locked="0"/>
    </xf>
    <xf numFmtId="0" fontId="43" fillId="10" borderId="5" xfId="0" applyFont="1" applyFill="1" applyBorder="1" applyAlignment="1" applyProtection="1">
      <alignment horizontal="left" wrapText="1"/>
      <protection locked="0"/>
    </xf>
    <xf numFmtId="0" fontId="33" fillId="0" borderId="35" xfId="0" applyFont="1" applyBorder="1" applyAlignment="1" applyProtection="1">
      <alignment horizontal="center" vertical="center" wrapText="1"/>
    </xf>
    <xf numFmtId="0" fontId="33" fillId="0" borderId="36" xfId="0" applyFont="1" applyBorder="1" applyAlignment="1" applyProtection="1">
      <alignment horizontal="center" vertical="center" wrapText="1"/>
    </xf>
    <xf numFmtId="44" fontId="33" fillId="3" borderId="40" xfId="2" applyFont="1" applyFill="1" applyBorder="1" applyAlignment="1" applyProtection="1">
      <alignment horizontal="center"/>
    </xf>
    <xf numFmtId="43" fontId="33" fillId="3" borderId="13" xfId="1" applyFont="1" applyFill="1" applyBorder="1" applyAlignment="1" applyProtection="1">
      <alignment horizontal="center"/>
    </xf>
    <xf numFmtId="0" fontId="36" fillId="5" borderId="2" xfId="0" applyFont="1" applyFill="1" applyBorder="1" applyAlignment="1" applyProtection="1">
      <alignment horizontal="center" vertical="center"/>
    </xf>
    <xf numFmtId="0" fontId="36" fillId="5" borderId="3" xfId="0" applyFont="1" applyFill="1" applyBorder="1" applyAlignment="1" applyProtection="1">
      <alignment horizontal="center" vertical="center"/>
    </xf>
    <xf numFmtId="0" fontId="90" fillId="5" borderId="11" xfId="0" applyFont="1" applyFill="1" applyBorder="1" applyAlignment="1" applyProtection="1">
      <alignment horizontal="center" vertical="center"/>
    </xf>
    <xf numFmtId="0" fontId="0" fillId="0" borderId="12" xfId="0" applyBorder="1"/>
    <xf numFmtId="0" fontId="91" fillId="5" borderId="2" xfId="0" applyFont="1" applyFill="1" applyBorder="1" applyAlignment="1" applyProtection="1">
      <alignment horizontal="center" vertical="center" wrapText="1"/>
    </xf>
    <xf numFmtId="0" fontId="91" fillId="5" borderId="3" xfId="0" applyFont="1" applyFill="1" applyBorder="1" applyAlignment="1" applyProtection="1">
      <alignment horizontal="center" vertical="center" wrapText="1"/>
    </xf>
    <xf numFmtId="167" fontId="33" fillId="7" borderId="2" xfId="1" applyNumberFormat="1" applyFont="1" applyFill="1" applyBorder="1" applyAlignment="1" applyProtection="1">
      <alignment horizontal="center"/>
    </xf>
    <xf numFmtId="167" fontId="33" fillId="7" borderId="3" xfId="1" applyNumberFormat="1" applyFont="1" applyFill="1" applyBorder="1" applyAlignment="1" applyProtection="1">
      <alignment horizontal="center"/>
    </xf>
    <xf numFmtId="43" fontId="33" fillId="0" borderId="2" xfId="1" applyNumberFormat="1" applyFont="1" applyFill="1" applyBorder="1" applyAlignment="1" applyProtection="1">
      <alignment horizontal="center"/>
    </xf>
    <xf numFmtId="43" fontId="33" fillId="0" borderId="3" xfId="1" applyNumberFormat="1" applyFont="1" applyFill="1" applyBorder="1" applyAlignment="1" applyProtection="1">
      <alignment horizontal="center"/>
    </xf>
    <xf numFmtId="0" fontId="72" fillId="0" borderId="0" xfId="0" applyFont="1" applyAlignment="1" applyProtection="1">
      <alignment horizontal="center"/>
    </xf>
    <xf numFmtId="0" fontId="72" fillId="0" borderId="0" xfId="0" applyFont="1" applyBorder="1" applyAlignment="1" applyProtection="1">
      <alignment horizontal="center"/>
    </xf>
    <xf numFmtId="0" fontId="32" fillId="5" borderId="11" xfId="0" applyFont="1" applyFill="1" applyBorder="1" applyAlignment="1" applyProtection="1">
      <alignment horizontal="left" vertical="center"/>
    </xf>
    <xf numFmtId="0" fontId="32" fillId="5" borderId="12" xfId="0" applyFont="1" applyFill="1" applyBorder="1" applyAlignment="1" applyProtection="1">
      <alignment horizontal="left" vertical="center"/>
    </xf>
    <xf numFmtId="0" fontId="32" fillId="5" borderId="10" xfId="0" applyFont="1" applyFill="1" applyBorder="1" applyAlignment="1" applyProtection="1">
      <alignment horizontal="left" vertical="center"/>
    </xf>
    <xf numFmtId="43" fontId="33" fillId="0" borderId="2" xfId="1" applyFont="1" applyFill="1" applyBorder="1" applyAlignment="1" applyProtection="1">
      <alignment horizontal="center"/>
    </xf>
    <xf numFmtId="43" fontId="33" fillId="0" borderId="3" xfId="1" applyFont="1" applyFill="1" applyBorder="1" applyAlignment="1" applyProtection="1">
      <alignment horizontal="center"/>
    </xf>
    <xf numFmtId="167" fontId="33" fillId="0" borderId="2" xfId="1" applyNumberFormat="1" applyFont="1" applyFill="1" applyBorder="1" applyAlignment="1" applyProtection="1">
      <alignment horizontal="center"/>
    </xf>
    <xf numFmtId="167" fontId="33" fillId="0" borderId="3" xfId="1" applyNumberFormat="1" applyFont="1" applyFill="1" applyBorder="1" applyAlignment="1" applyProtection="1">
      <alignment horizontal="center"/>
    </xf>
    <xf numFmtId="0" fontId="33" fillId="4" borderId="2" xfId="0" applyFont="1" applyFill="1" applyBorder="1" applyAlignment="1" applyProtection="1">
      <alignment horizontal="left" vertical="center" wrapText="1"/>
      <protection locked="0"/>
    </xf>
    <xf numFmtId="0" fontId="33" fillId="4" borderId="3" xfId="0" applyFont="1" applyFill="1" applyBorder="1" applyAlignment="1" applyProtection="1">
      <alignment horizontal="left" vertical="center" wrapText="1"/>
      <protection locked="0"/>
    </xf>
    <xf numFmtId="10" fontId="33" fillId="4" borderId="2" xfId="4" applyNumberFormat="1" applyFont="1" applyFill="1" applyBorder="1" applyAlignment="1" applyProtection="1">
      <alignment horizontal="center" vertical="center"/>
      <protection locked="0"/>
    </xf>
    <xf numFmtId="10" fontId="33" fillId="4" borderId="3" xfId="4" applyNumberFormat="1" applyFont="1" applyFill="1" applyBorder="1" applyAlignment="1" applyProtection="1">
      <alignment horizontal="center" vertical="center"/>
      <protection locked="0"/>
    </xf>
    <xf numFmtId="0" fontId="69" fillId="0" borderId="11" xfId="0" applyFont="1" applyBorder="1" applyAlignment="1" applyProtection="1">
      <alignment horizontal="center" vertical="center"/>
    </xf>
    <xf numFmtId="0" fontId="69" fillId="0" borderId="10" xfId="0" applyFont="1" applyBorder="1" applyAlignment="1" applyProtection="1">
      <alignment horizontal="center" vertical="center"/>
    </xf>
    <xf numFmtId="0" fontId="69" fillId="0" borderId="11" xfId="0" applyFont="1" applyBorder="1" applyAlignment="1" applyProtection="1">
      <alignment horizontal="center" vertical="center" wrapText="1"/>
    </xf>
    <xf numFmtId="0" fontId="69" fillId="0" borderId="10" xfId="0" applyFont="1" applyBorder="1" applyAlignment="1" applyProtection="1">
      <alignment horizontal="center" vertical="center" wrapText="1"/>
    </xf>
    <xf numFmtId="2" fontId="33" fillId="0" borderId="11" xfId="0" applyNumberFormat="1" applyFont="1" applyFill="1" applyBorder="1" applyAlignment="1" applyProtection="1">
      <alignment horizontal="center"/>
    </xf>
    <xf numFmtId="2" fontId="33" fillId="0" borderId="10" xfId="0" applyNumberFormat="1" applyFont="1" applyFill="1" applyBorder="1" applyAlignment="1" applyProtection="1">
      <alignment horizontal="center"/>
    </xf>
    <xf numFmtId="43" fontId="36" fillId="5" borderId="11" xfId="1" applyFont="1" applyFill="1" applyBorder="1" applyAlignment="1" applyProtection="1">
      <alignment horizontal="center"/>
    </xf>
    <xf numFmtId="43" fontId="36" fillId="5" borderId="10" xfId="1" applyFont="1" applyFill="1" applyBorder="1" applyAlignment="1" applyProtection="1">
      <alignment horizontal="center"/>
    </xf>
    <xf numFmtId="1" fontId="33" fillId="0" borderId="2" xfId="0" applyNumberFormat="1" applyFont="1" applyFill="1" applyBorder="1" applyAlignment="1" applyProtection="1">
      <alignment horizontal="center"/>
    </xf>
    <xf numFmtId="1" fontId="33" fillId="0" borderId="3" xfId="0" applyNumberFormat="1" applyFont="1" applyFill="1" applyBorder="1" applyAlignment="1" applyProtection="1">
      <alignment horizontal="center"/>
    </xf>
    <xf numFmtId="0" fontId="33" fillId="4" borderId="9" xfId="0" applyFont="1" applyFill="1" applyBorder="1" applyAlignment="1" applyProtection="1">
      <alignment horizontal="left" vertical="top" wrapText="1"/>
      <protection locked="0"/>
    </xf>
    <xf numFmtId="0" fontId="33" fillId="4" borderId="4" xfId="0" applyFont="1" applyFill="1" applyBorder="1" applyAlignment="1" applyProtection="1">
      <alignment horizontal="left" vertical="top" wrapText="1"/>
      <protection locked="0"/>
    </xf>
    <xf numFmtId="0" fontId="33" fillId="4" borderId="5" xfId="0" applyFont="1" applyFill="1" applyBorder="1" applyAlignment="1" applyProtection="1">
      <alignment horizontal="left" vertical="top" wrapText="1"/>
      <protection locked="0"/>
    </xf>
    <xf numFmtId="0" fontId="33" fillId="4" borderId="6" xfId="0" applyFont="1" applyFill="1" applyBorder="1" applyAlignment="1" applyProtection="1">
      <alignment horizontal="left" vertical="top" wrapText="1"/>
      <protection locked="0"/>
    </xf>
    <xf numFmtId="0" fontId="33" fillId="4" borderId="7" xfId="0" applyFont="1" applyFill="1" applyBorder="1" applyAlignment="1" applyProtection="1">
      <alignment horizontal="left" vertical="top" wrapText="1"/>
      <protection locked="0"/>
    </xf>
    <xf numFmtId="0" fontId="33" fillId="4" borderId="8" xfId="0" applyFont="1" applyFill="1" applyBorder="1" applyAlignment="1" applyProtection="1">
      <alignment horizontal="left" vertical="top" wrapText="1"/>
      <protection locked="0"/>
    </xf>
    <xf numFmtId="1" fontId="33" fillId="0" borderId="2" xfId="0" applyNumberFormat="1" applyFont="1" applyFill="1" applyBorder="1" applyAlignment="1" applyProtection="1">
      <alignment horizontal="center" vertical="center"/>
    </xf>
    <xf numFmtId="1" fontId="33" fillId="0" borderId="3" xfId="0" applyNumberFormat="1" applyFont="1" applyFill="1" applyBorder="1" applyAlignment="1" applyProtection="1">
      <alignment horizontal="center" vertical="center"/>
    </xf>
    <xf numFmtId="0" fontId="48" fillId="5" borderId="11" xfId="0" applyFont="1" applyFill="1" applyBorder="1" applyAlignment="1" applyProtection="1">
      <alignment horizontal="center" vertical="center"/>
    </xf>
    <xf numFmtId="0" fontId="48" fillId="5" borderId="12" xfId="0" applyFont="1" applyFill="1" applyBorder="1" applyAlignment="1" applyProtection="1">
      <alignment horizontal="center" vertical="center"/>
    </xf>
    <xf numFmtId="0" fontId="48" fillId="5" borderId="10" xfId="0" applyFont="1" applyFill="1" applyBorder="1" applyAlignment="1" applyProtection="1">
      <alignment horizontal="center" vertical="center"/>
    </xf>
    <xf numFmtId="0" fontId="69" fillId="0" borderId="11" xfId="0" applyFont="1" applyBorder="1" applyAlignment="1" applyProtection="1">
      <alignment horizontal="left" vertical="center" wrapText="1"/>
    </xf>
    <xf numFmtId="0" fontId="69" fillId="0" borderId="12" xfId="0" applyFont="1" applyBorder="1" applyAlignment="1" applyProtection="1">
      <alignment horizontal="left" vertical="center" wrapText="1"/>
    </xf>
    <xf numFmtId="0" fontId="69" fillId="0" borderId="10" xfId="0" applyFont="1" applyBorder="1" applyAlignment="1" applyProtection="1">
      <alignment horizontal="left" vertical="center" wrapText="1"/>
    </xf>
    <xf numFmtId="44" fontId="33" fillId="0" borderId="2" xfId="2" applyFont="1" applyFill="1" applyBorder="1" applyAlignment="1" applyProtection="1">
      <alignment horizontal="center" vertical="center" wrapText="1"/>
    </xf>
    <xf numFmtId="44" fontId="33" fillId="0" borderId="3" xfId="2" applyFont="1" applyFill="1" applyBorder="1" applyAlignment="1" applyProtection="1">
      <alignment horizontal="center" vertical="center" wrapText="1"/>
    </xf>
    <xf numFmtId="0" fontId="35" fillId="3" borderId="0" xfId="0" applyFont="1" applyFill="1" applyAlignment="1" applyProtection="1">
      <alignment horizontal="center"/>
    </xf>
    <xf numFmtId="0" fontId="97" fillId="0" borderId="0" xfId="0" applyNumberFormat="1" applyFont="1" applyBorder="1" applyAlignment="1" applyProtection="1">
      <alignment horizontal="left" wrapText="1"/>
    </xf>
    <xf numFmtId="0" fontId="69" fillId="0" borderId="9" xfId="0" applyFont="1" applyBorder="1" applyAlignment="1" applyProtection="1">
      <alignment horizontal="center"/>
    </xf>
    <xf numFmtId="0" fontId="69" fillId="0" borderId="4" xfId="0" applyFont="1" applyBorder="1" applyAlignment="1" applyProtection="1">
      <alignment horizontal="center"/>
    </xf>
    <xf numFmtId="0" fontId="69" fillId="0" borderId="5" xfId="0" applyFont="1" applyBorder="1" applyAlignment="1" applyProtection="1">
      <alignment horizontal="center"/>
    </xf>
    <xf numFmtId="0" fontId="44" fillId="0" borderId="0" xfId="0" applyFont="1" applyAlignment="1" applyProtection="1">
      <alignment horizontal="center"/>
    </xf>
    <xf numFmtId="0" fontId="14" fillId="0" borderId="11" xfId="0" applyFont="1" applyFill="1" applyBorder="1" applyAlignment="1" applyProtection="1">
      <alignment horizontal="left"/>
    </xf>
    <xf numFmtId="0" fontId="14" fillId="0" borderId="12" xfId="0" applyFont="1" applyFill="1" applyBorder="1" applyAlignment="1" applyProtection="1">
      <alignment horizontal="left"/>
    </xf>
    <xf numFmtId="0" fontId="14" fillId="0" borderId="10" xfId="0" applyFont="1" applyFill="1" applyBorder="1" applyAlignment="1" applyProtection="1">
      <alignment horizontal="left"/>
    </xf>
    <xf numFmtId="0" fontId="14" fillId="4" borderId="11" xfId="0" applyFont="1" applyFill="1" applyBorder="1" applyAlignment="1" applyProtection="1">
      <alignment horizontal="left"/>
      <protection locked="0"/>
    </xf>
    <xf numFmtId="0" fontId="14" fillId="4" borderId="12" xfId="0" applyFont="1" applyFill="1" applyBorder="1" applyAlignment="1" applyProtection="1">
      <alignment horizontal="left"/>
      <protection locked="0"/>
    </xf>
    <xf numFmtId="0" fontId="14" fillId="4" borderId="10" xfId="0" applyFont="1" applyFill="1" applyBorder="1" applyAlignment="1" applyProtection="1">
      <alignment horizontal="left"/>
      <protection locked="0"/>
    </xf>
    <xf numFmtId="0" fontId="14" fillId="4" borderId="1" xfId="0" applyFont="1" applyFill="1" applyBorder="1" applyAlignment="1" applyProtection="1">
      <protection locked="0"/>
    </xf>
    <xf numFmtId="0" fontId="63" fillId="0" borderId="0" xfId="0" applyFont="1" applyFill="1" applyAlignment="1" applyProtection="1">
      <alignment horizontal="center" wrapText="1"/>
    </xf>
    <xf numFmtId="0" fontId="19" fillId="0" borderId="6" xfId="0" applyFont="1" applyFill="1" applyBorder="1" applyAlignment="1" applyProtection="1">
      <alignment horizontal="left"/>
    </xf>
    <xf numFmtId="0" fontId="19" fillId="0" borderId="7" xfId="0" applyFont="1" applyFill="1" applyBorder="1" applyAlignment="1" applyProtection="1">
      <alignment horizontal="left"/>
    </xf>
    <xf numFmtId="167" fontId="14" fillId="5" borderId="11" xfId="1" applyNumberFormat="1" applyFont="1" applyFill="1" applyBorder="1" applyAlignment="1" applyProtection="1">
      <alignment horizontal="left"/>
    </xf>
    <xf numFmtId="167" fontId="14" fillId="5" borderId="12" xfId="1" applyNumberFormat="1" applyFont="1" applyFill="1" applyBorder="1" applyAlignment="1" applyProtection="1">
      <alignment horizontal="left"/>
    </xf>
    <xf numFmtId="167" fontId="14" fillId="5" borderId="10" xfId="1" applyNumberFormat="1" applyFont="1" applyFill="1" applyBorder="1" applyAlignment="1" applyProtection="1">
      <alignment horizontal="left"/>
    </xf>
    <xf numFmtId="167" fontId="14" fillId="4" borderId="11" xfId="1" applyNumberFormat="1" applyFont="1" applyFill="1" applyBorder="1" applyAlignment="1" applyProtection="1">
      <alignment horizontal="left"/>
      <protection locked="0"/>
    </xf>
    <xf numFmtId="167" fontId="14" fillId="4" borderId="12" xfId="1" applyNumberFormat="1" applyFont="1" applyFill="1" applyBorder="1" applyAlignment="1" applyProtection="1">
      <alignment horizontal="left"/>
      <protection locked="0"/>
    </xf>
    <xf numFmtId="167" fontId="14" fillId="4" borderId="10" xfId="1" applyNumberFormat="1" applyFont="1" applyFill="1" applyBorder="1" applyAlignment="1" applyProtection="1">
      <alignment horizontal="left"/>
      <protection locked="0"/>
    </xf>
    <xf numFmtId="0" fontId="10" fillId="0" borderId="11" xfId="0" applyFont="1" applyBorder="1" applyAlignment="1" applyProtection="1">
      <alignment horizontal="left"/>
    </xf>
    <xf numFmtId="0" fontId="10" fillId="0" borderId="12" xfId="0" applyFont="1" applyBorder="1" applyAlignment="1" applyProtection="1">
      <alignment horizontal="left"/>
    </xf>
    <xf numFmtId="0" fontId="10" fillId="0" borderId="10" xfId="0" applyFont="1" applyBorder="1" applyAlignment="1" applyProtection="1">
      <alignment horizontal="left"/>
    </xf>
    <xf numFmtId="0" fontId="11" fillId="0" borderId="11" xfId="0" applyFont="1" applyBorder="1" applyAlignment="1" applyProtection="1">
      <alignment horizontal="center"/>
    </xf>
    <xf numFmtId="0" fontId="11" fillId="0" borderId="12" xfId="0" applyFont="1" applyBorder="1" applyAlignment="1" applyProtection="1">
      <alignment horizontal="center"/>
    </xf>
    <xf numFmtId="0" fontId="11" fillId="0" borderId="10" xfId="0" applyFont="1" applyBorder="1" applyAlignment="1" applyProtection="1">
      <alignment horizontal="center"/>
    </xf>
    <xf numFmtId="0" fontId="11" fillId="3" borderId="3" xfId="0" applyFont="1" applyFill="1" applyBorder="1" applyAlignment="1" applyProtection="1">
      <alignment horizontal="left"/>
    </xf>
    <xf numFmtId="0" fontId="11" fillId="3" borderId="6" xfId="0" applyFont="1" applyFill="1" applyBorder="1" applyAlignment="1" applyProtection="1">
      <alignment horizontal="left"/>
    </xf>
    <xf numFmtId="0" fontId="14" fillId="0" borderId="11" xfId="0" applyFont="1" applyFill="1" applyBorder="1" applyAlignment="1" applyProtection="1">
      <alignment horizontal="left" vertical="center" wrapText="1"/>
    </xf>
    <xf numFmtId="0" fontId="14" fillId="0" borderId="10" xfId="0" applyFont="1" applyFill="1" applyBorder="1" applyAlignment="1" applyProtection="1">
      <alignment horizontal="left" vertical="center" wrapText="1"/>
    </xf>
    <xf numFmtId="167" fontId="14" fillId="0" borderId="11" xfId="1" applyNumberFormat="1" applyFont="1" applyFill="1" applyBorder="1" applyAlignment="1" applyProtection="1">
      <alignment horizontal="left"/>
    </xf>
    <xf numFmtId="167" fontId="14" fillId="0" borderId="10" xfId="1" applyNumberFormat="1" applyFont="1" applyFill="1" applyBorder="1" applyAlignment="1" applyProtection="1">
      <alignment horizontal="left"/>
    </xf>
    <xf numFmtId="0" fontId="10" fillId="0" borderId="9" xfId="0" applyFont="1" applyBorder="1" applyAlignment="1" applyProtection="1">
      <alignment horizontal="left"/>
    </xf>
    <xf numFmtId="0" fontId="10" fillId="0" borderId="4" xfId="0" applyFont="1" applyBorder="1" applyAlignment="1" applyProtection="1">
      <alignment horizontal="left"/>
    </xf>
    <xf numFmtId="0" fontId="11" fillId="0" borderId="1" xfId="0" applyFont="1" applyFill="1" applyBorder="1" applyAlignment="1" applyProtection="1">
      <alignment horizontal="center"/>
    </xf>
    <xf numFmtId="0" fontId="10" fillId="0" borderId="1" xfId="0" applyFont="1" applyFill="1" applyBorder="1" applyAlignment="1" applyProtection="1">
      <alignment horizontal="left"/>
    </xf>
    <xf numFmtId="0" fontId="10" fillId="0" borderId="11" xfId="0" applyFont="1" applyFill="1" applyBorder="1" applyAlignment="1" applyProtection="1">
      <alignment horizontal="left"/>
    </xf>
    <xf numFmtId="0" fontId="14" fillId="4" borderId="1" xfId="0" applyFont="1" applyFill="1" applyBorder="1" applyAlignment="1" applyProtection="1">
      <alignment horizontal="left"/>
      <protection locked="0"/>
    </xf>
    <xf numFmtId="167" fontId="14" fillId="0" borderId="12" xfId="1" applyNumberFormat="1" applyFont="1" applyFill="1" applyBorder="1" applyAlignment="1" applyProtection="1">
      <alignment horizontal="left"/>
    </xf>
    <xf numFmtId="0" fontId="14" fillId="4" borderId="3" xfId="0" applyFont="1" applyFill="1" applyBorder="1" applyAlignment="1" applyProtection="1">
      <alignment wrapText="1"/>
      <protection locked="0"/>
    </xf>
    <xf numFmtId="0" fontId="14" fillId="4" borderId="3" xfId="0" applyFont="1" applyFill="1" applyBorder="1" applyAlignment="1" applyProtection="1">
      <protection locked="0"/>
    </xf>
    <xf numFmtId="0" fontId="56" fillId="0" borderId="1" xfId="0" applyFont="1" applyFill="1" applyBorder="1" applyAlignment="1" applyProtection="1">
      <alignment horizontal="left"/>
    </xf>
    <xf numFmtId="0" fontId="56" fillId="0" borderId="11" xfId="0" applyFont="1" applyFill="1" applyBorder="1" applyAlignment="1" applyProtection="1">
      <alignment horizontal="left"/>
    </xf>
    <xf numFmtId="0" fontId="14" fillId="4" borderId="1" xfId="0" applyFont="1" applyFill="1" applyBorder="1" applyAlignment="1" applyProtection="1">
      <alignment horizontal="left" vertical="top" wrapText="1"/>
      <protection locked="0"/>
    </xf>
    <xf numFmtId="0" fontId="10" fillId="5" borderId="1" xfId="0" applyFont="1" applyFill="1" applyBorder="1" applyAlignment="1" applyProtection="1">
      <alignment horizontal="left"/>
    </xf>
    <xf numFmtId="0" fontId="10" fillId="5" borderId="11" xfId="0" applyFont="1" applyFill="1" applyBorder="1" applyAlignment="1" applyProtection="1">
      <alignment horizontal="left"/>
    </xf>
    <xf numFmtId="0" fontId="19" fillId="0" borderId="11" xfId="0" applyFont="1" applyFill="1" applyBorder="1" applyAlignment="1" applyProtection="1">
      <alignment horizontal="left"/>
    </xf>
    <xf numFmtId="0" fontId="19" fillId="0" borderId="12" xfId="0" applyFont="1" applyFill="1" applyBorder="1" applyAlignment="1" applyProtection="1">
      <alignment horizontal="left"/>
    </xf>
    <xf numFmtId="0" fontId="19" fillId="0" borderId="10" xfId="0" applyFont="1" applyFill="1" applyBorder="1" applyAlignment="1" applyProtection="1">
      <alignment horizontal="left"/>
    </xf>
    <xf numFmtId="0" fontId="14" fillId="4" borderId="10" xfId="0" applyFont="1" applyFill="1" applyBorder="1" applyAlignment="1" applyProtection="1">
      <alignment horizontal="left" vertical="center"/>
      <protection locked="0"/>
    </xf>
    <xf numFmtId="0" fontId="14" fillId="4" borderId="1" xfId="0" applyFont="1" applyFill="1" applyBorder="1" applyAlignment="1" applyProtection="1">
      <alignment horizontal="left" vertical="center"/>
      <protection locked="0"/>
    </xf>
    <xf numFmtId="0" fontId="19" fillId="7" borderId="2" xfId="0" applyFont="1" applyFill="1" applyBorder="1" applyAlignment="1" applyProtection="1">
      <alignment horizontal="center"/>
    </xf>
    <xf numFmtId="0" fontId="19" fillId="7" borderId="3" xfId="0" applyFont="1" applyFill="1" applyBorder="1" applyAlignment="1" applyProtection="1">
      <alignment horizontal="center"/>
    </xf>
    <xf numFmtId="1" fontId="14" fillId="0" borderId="1" xfId="0" applyNumberFormat="1" applyFont="1" applyFill="1" applyBorder="1" applyAlignment="1" applyProtection="1">
      <alignment horizontal="center" vertical="center"/>
    </xf>
    <xf numFmtId="0" fontId="19" fillId="0" borderId="11" xfId="0" applyFont="1" applyFill="1" applyBorder="1" applyAlignment="1" applyProtection="1">
      <alignment horizontal="left" wrapText="1"/>
    </xf>
    <xf numFmtId="0" fontId="19" fillId="0" borderId="12" xfId="0" applyFont="1" applyFill="1" applyBorder="1" applyAlignment="1" applyProtection="1">
      <alignment horizontal="left" wrapText="1"/>
    </xf>
    <xf numFmtId="0" fontId="19" fillId="0" borderId="10" xfId="0" applyFont="1" applyFill="1" applyBorder="1" applyAlignment="1" applyProtection="1">
      <alignment horizontal="left" wrapText="1"/>
    </xf>
    <xf numFmtId="0" fontId="19" fillId="4" borderId="11" xfId="0" applyFont="1" applyFill="1" applyBorder="1" applyAlignment="1" applyProtection="1">
      <alignment horizontal="left"/>
      <protection locked="0"/>
    </xf>
    <xf numFmtId="0" fontId="19" fillId="4" borderId="12" xfId="0" applyFont="1" applyFill="1" applyBorder="1" applyAlignment="1" applyProtection="1">
      <alignment horizontal="left"/>
      <protection locked="0"/>
    </xf>
    <xf numFmtId="0" fontId="19" fillId="4" borderId="10" xfId="0" applyFont="1" applyFill="1" applyBorder="1" applyAlignment="1" applyProtection="1">
      <alignment horizontal="left"/>
      <protection locked="0"/>
    </xf>
    <xf numFmtId="0" fontId="10" fillId="3" borderId="11" xfId="0" applyFont="1" applyFill="1" applyBorder="1" applyAlignment="1" applyProtection="1">
      <alignment horizontal="left"/>
    </xf>
    <xf numFmtId="0" fontId="10" fillId="3" borderId="12" xfId="0" applyFont="1" applyFill="1" applyBorder="1" applyAlignment="1" applyProtection="1">
      <alignment horizontal="left"/>
    </xf>
    <xf numFmtId="0" fontId="10" fillId="3" borderId="10" xfId="0" applyFont="1" applyFill="1" applyBorder="1" applyAlignment="1" applyProtection="1">
      <alignment horizontal="left"/>
    </xf>
    <xf numFmtId="0" fontId="26" fillId="3" borderId="1" xfId="0" applyFont="1" applyFill="1" applyBorder="1" applyAlignment="1" applyProtection="1">
      <alignment horizontal="left"/>
    </xf>
    <xf numFmtId="0" fontId="7" fillId="0" borderId="9"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7" fillId="0" borderId="5" xfId="0" applyFont="1" applyFill="1" applyBorder="1" applyAlignment="1" applyProtection="1">
      <alignment horizontal="center" vertical="center"/>
    </xf>
    <xf numFmtId="0" fontId="7" fillId="0" borderId="6" xfId="0" applyFont="1" applyFill="1" applyBorder="1" applyAlignment="1" applyProtection="1">
      <alignment horizontal="center" vertical="center"/>
    </xf>
    <xf numFmtId="0" fontId="7" fillId="0" borderId="7" xfId="0" applyFont="1" applyFill="1" applyBorder="1" applyAlignment="1" applyProtection="1">
      <alignment horizontal="center" vertical="center"/>
    </xf>
    <xf numFmtId="0" fontId="7" fillId="0" borderId="8" xfId="0" applyFont="1" applyFill="1" applyBorder="1" applyAlignment="1" applyProtection="1">
      <alignment horizontal="center" vertical="center"/>
    </xf>
    <xf numFmtId="0" fontId="26" fillId="0" borderId="1" xfId="0" applyFont="1" applyFill="1" applyBorder="1" applyAlignment="1" applyProtection="1">
      <alignment horizontal="left"/>
    </xf>
    <xf numFmtId="0" fontId="10" fillId="0" borderId="12" xfId="0" applyFont="1" applyFill="1" applyBorder="1" applyAlignment="1" applyProtection="1">
      <alignment horizontal="left"/>
    </xf>
    <xf numFmtId="0" fontId="10" fillId="0" borderId="10" xfId="0" applyFont="1" applyFill="1" applyBorder="1" applyAlignment="1" applyProtection="1">
      <alignment horizontal="left"/>
    </xf>
    <xf numFmtId="0" fontId="10" fillId="5" borderId="12" xfId="0" applyFont="1" applyFill="1" applyBorder="1" applyAlignment="1" applyProtection="1">
      <alignment horizontal="left"/>
    </xf>
    <xf numFmtId="0" fontId="10" fillId="5" borderId="10" xfId="0" applyFont="1" applyFill="1" applyBorder="1" applyAlignment="1" applyProtection="1">
      <alignment horizontal="left"/>
    </xf>
    <xf numFmtId="0" fontId="11" fillId="3" borderId="11" xfId="0" applyFont="1" applyFill="1" applyBorder="1" applyAlignment="1" applyProtection="1">
      <alignment horizontal="left"/>
    </xf>
    <xf numFmtId="0" fontId="11" fillId="3" borderId="12" xfId="0" applyFont="1" applyFill="1" applyBorder="1" applyAlignment="1" applyProtection="1">
      <alignment horizontal="left"/>
    </xf>
    <xf numFmtId="0" fontId="11" fillId="3" borderId="10" xfId="0" applyFont="1" applyFill="1" applyBorder="1" applyAlignment="1" applyProtection="1">
      <alignment horizontal="left"/>
    </xf>
    <xf numFmtId="0" fontId="14" fillId="4" borderId="10" xfId="0" applyFont="1" applyFill="1" applyBorder="1" applyAlignment="1" applyProtection="1">
      <alignment horizontal="left" wrapText="1"/>
      <protection locked="0"/>
    </xf>
    <xf numFmtId="0" fontId="4" fillId="0" borderId="0" xfId="0" applyFont="1" applyAlignment="1" applyProtection="1">
      <alignment horizontal="left" wrapText="1"/>
    </xf>
    <xf numFmtId="0" fontId="0" fillId="0" borderId="0" xfId="0" applyAlignment="1" applyProtection="1">
      <alignment horizontal="left" wrapText="1"/>
    </xf>
    <xf numFmtId="0" fontId="44" fillId="0" borderId="0" xfId="0" applyFont="1" applyFill="1" applyAlignment="1" applyProtection="1">
      <alignment horizontal="center" vertical="center"/>
    </xf>
    <xf numFmtId="0" fontId="4" fillId="0" borderId="0" xfId="0" applyFont="1" applyAlignment="1" applyProtection="1">
      <alignment horizontal="left" vertical="center" wrapText="1"/>
    </xf>
    <xf numFmtId="0" fontId="4" fillId="0" borderId="0" xfId="0" applyFont="1" applyFill="1" applyAlignment="1" applyProtection="1">
      <alignment horizontal="left" vertical="center" wrapText="1" indent="2"/>
    </xf>
    <xf numFmtId="0" fontId="4" fillId="0" borderId="0" xfId="0" applyFont="1" applyFill="1" applyAlignment="1" applyProtection="1">
      <alignment horizontal="left" vertical="center" wrapText="1"/>
    </xf>
    <xf numFmtId="0" fontId="71" fillId="0" borderId="0" xfId="0" applyFont="1" applyAlignment="1" applyProtection="1">
      <alignment horizontal="left" vertical="center" wrapText="1"/>
    </xf>
    <xf numFmtId="0" fontId="32" fillId="0" borderId="0" xfId="0" applyFont="1" applyFill="1" applyBorder="1" applyAlignment="1" applyProtection="1">
      <alignment horizontal="left"/>
      <protection locked="0"/>
    </xf>
    <xf numFmtId="0" fontId="4" fillId="4" borderId="35" xfId="0" applyFont="1" applyFill="1" applyBorder="1" applyAlignment="1" applyProtection="1">
      <alignment horizontal="left" vertical="top" wrapText="1"/>
      <protection locked="0"/>
    </xf>
    <xf numFmtId="0" fontId="4" fillId="4" borderId="36" xfId="0" applyFont="1" applyFill="1" applyBorder="1" applyAlignment="1" applyProtection="1">
      <alignment horizontal="left" vertical="top" wrapText="1"/>
      <protection locked="0"/>
    </xf>
    <xf numFmtId="0" fontId="4" fillId="4" borderId="37" xfId="0" applyFont="1" applyFill="1" applyBorder="1" applyAlignment="1" applyProtection="1">
      <alignment horizontal="left" vertical="top" wrapText="1"/>
      <protection locked="0"/>
    </xf>
    <xf numFmtId="0" fontId="4" fillId="4" borderId="38" xfId="0" applyFont="1" applyFill="1" applyBorder="1" applyAlignment="1" applyProtection="1">
      <alignment horizontal="left" vertical="top" wrapText="1"/>
      <protection locked="0"/>
    </xf>
    <xf numFmtId="0" fontId="4" fillId="4" borderId="0" xfId="0" applyFont="1" applyFill="1" applyBorder="1" applyAlignment="1" applyProtection="1">
      <alignment horizontal="left" vertical="top" wrapText="1"/>
      <protection locked="0"/>
    </xf>
    <xf numFmtId="0" fontId="4" fillId="4" borderId="39" xfId="0" applyFont="1" applyFill="1" applyBorder="1" applyAlignment="1" applyProtection="1">
      <alignment horizontal="left" vertical="top" wrapText="1"/>
      <protection locked="0"/>
    </xf>
    <xf numFmtId="0" fontId="4" fillId="4" borderId="40" xfId="0" applyFont="1" applyFill="1" applyBorder="1" applyAlignment="1" applyProtection="1">
      <alignment horizontal="left" vertical="top" wrapText="1"/>
      <protection locked="0"/>
    </xf>
    <xf numFmtId="0" fontId="4" fillId="4" borderId="13" xfId="0" applyFont="1" applyFill="1" applyBorder="1" applyAlignment="1" applyProtection="1">
      <alignment horizontal="left" vertical="top" wrapText="1"/>
      <protection locked="0"/>
    </xf>
    <xf numFmtId="0" fontId="4" fillId="4" borderId="41" xfId="0" applyFont="1" applyFill="1" applyBorder="1" applyAlignment="1" applyProtection="1">
      <alignment horizontal="left" vertical="top" wrapText="1"/>
      <protection locked="0"/>
    </xf>
    <xf numFmtId="0" fontId="63" fillId="0" borderId="14" xfId="0" applyFont="1" applyBorder="1" applyAlignment="1" applyProtection="1">
      <alignment horizontal="left" vertical="center"/>
    </xf>
    <xf numFmtId="0" fontId="63" fillId="0" borderId="0" xfId="0" applyFont="1" applyBorder="1" applyAlignment="1" applyProtection="1">
      <alignment horizontal="left" vertical="center"/>
    </xf>
    <xf numFmtId="0" fontId="64" fillId="0" borderId="0" xfId="0" applyFont="1" applyAlignment="1" applyProtection="1">
      <alignment horizontal="left" vertical="center" wrapText="1"/>
    </xf>
    <xf numFmtId="0" fontId="63" fillId="0" borderId="14" xfId="0"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0" fontId="84" fillId="0" borderId="0" xfId="0" applyFont="1" applyAlignment="1" applyProtection="1">
      <alignment horizontal="left" vertical="center" wrapText="1"/>
    </xf>
    <xf numFmtId="0" fontId="90" fillId="0" borderId="0" xfId="0" applyFont="1" applyFill="1" applyAlignment="1" applyProtection="1">
      <alignment horizontal="center"/>
    </xf>
    <xf numFmtId="0" fontId="16" fillId="0" borderId="34" xfId="0" applyFont="1" applyFill="1" applyBorder="1" applyAlignment="1" applyProtection="1">
      <alignment horizontal="center" vertical="center"/>
    </xf>
    <xf numFmtId="43" fontId="33" fillId="0" borderId="0" xfId="0" applyNumberFormat="1" applyFont="1" applyFill="1" applyBorder="1" applyAlignment="1" applyProtection="1">
      <alignment horizontal="center" vertical="center"/>
    </xf>
    <xf numFmtId="43" fontId="33" fillId="0" borderId="23" xfId="0" applyNumberFormat="1" applyFont="1" applyFill="1" applyBorder="1" applyAlignment="1" applyProtection="1">
      <alignment horizontal="center" vertical="center"/>
    </xf>
    <xf numFmtId="10" fontId="33" fillId="0" borderId="0" xfId="4" applyNumberFormat="1" applyFont="1" applyFill="1" applyBorder="1" applyAlignment="1" applyProtection="1">
      <alignment horizontal="center" vertical="center"/>
    </xf>
    <xf numFmtId="10" fontId="33" fillId="0" borderId="23" xfId="4" applyNumberFormat="1" applyFont="1" applyFill="1" applyBorder="1" applyAlignment="1" applyProtection="1">
      <alignment horizontal="center" vertical="center"/>
    </xf>
    <xf numFmtId="0" fontId="45" fillId="0" borderId="9" xfId="0" applyFont="1" applyFill="1" applyBorder="1" applyAlignment="1" applyProtection="1">
      <alignment horizontal="center" vertical="center"/>
    </xf>
    <xf numFmtId="0" fontId="45" fillId="0" borderId="4" xfId="0" applyFont="1" applyFill="1" applyBorder="1" applyAlignment="1" applyProtection="1">
      <alignment horizontal="center" vertical="center"/>
    </xf>
    <xf numFmtId="0" fontId="45" fillId="0" borderId="5" xfId="0" applyFont="1" applyFill="1" applyBorder="1" applyAlignment="1" applyProtection="1">
      <alignment horizontal="center" vertical="center"/>
    </xf>
    <xf numFmtId="0" fontId="16" fillId="5" borderId="11" xfId="0" applyFont="1" applyFill="1" applyBorder="1" applyAlignment="1" applyProtection="1">
      <alignment horizontal="center" vertical="center"/>
    </xf>
    <xf numFmtId="0" fontId="16" fillId="5" borderId="10" xfId="0" applyFont="1" applyFill="1" applyBorder="1" applyAlignment="1" applyProtection="1">
      <alignment horizontal="center" vertical="center"/>
    </xf>
    <xf numFmtId="0" fontId="52" fillId="0" borderId="0" xfId="0" applyFont="1" applyFill="1" applyBorder="1" applyAlignment="1" applyProtection="1">
      <alignment horizontal="left" vertical="center"/>
    </xf>
    <xf numFmtId="0" fontId="19" fillId="7" borderId="1" xfId="0" applyFont="1" applyFill="1" applyBorder="1" applyAlignment="1" applyProtection="1">
      <alignment horizontal="center" vertical="center"/>
    </xf>
    <xf numFmtId="0" fontId="11" fillId="5" borderId="9" xfId="0" applyFont="1" applyFill="1" applyBorder="1" applyAlignment="1" applyProtection="1">
      <alignment horizontal="center" vertical="center"/>
    </xf>
    <xf numFmtId="0" fontId="11" fillId="5" borderId="4" xfId="0" applyFont="1" applyFill="1" applyBorder="1" applyAlignment="1" applyProtection="1">
      <alignment horizontal="center" vertical="center"/>
    </xf>
    <xf numFmtId="0" fontId="11" fillId="5" borderId="5" xfId="0" applyFont="1" applyFill="1" applyBorder="1" applyAlignment="1" applyProtection="1">
      <alignment horizontal="center" vertical="center"/>
    </xf>
    <xf numFmtId="0" fontId="11" fillId="3" borderId="9" xfId="0" applyFont="1" applyFill="1" applyBorder="1" applyAlignment="1" applyProtection="1">
      <alignment horizontal="center" vertical="center"/>
    </xf>
    <xf numFmtId="0" fontId="11" fillId="3" borderId="4" xfId="0" applyFont="1" applyFill="1" applyBorder="1" applyAlignment="1" applyProtection="1">
      <alignment horizontal="center" vertical="center"/>
    </xf>
    <xf numFmtId="0" fontId="11" fillId="3" borderId="5" xfId="0" applyFont="1" applyFill="1" applyBorder="1" applyAlignment="1" applyProtection="1">
      <alignment horizontal="center" vertical="center"/>
    </xf>
    <xf numFmtId="0" fontId="16" fillId="3" borderId="23" xfId="0" applyFont="1" applyFill="1" applyBorder="1" applyAlignment="1" applyProtection="1">
      <alignment horizontal="center" vertical="center" wrapText="1"/>
    </xf>
    <xf numFmtId="0" fontId="16" fillId="3" borderId="23" xfId="0" applyFont="1" applyFill="1" applyBorder="1" applyAlignment="1" applyProtection="1">
      <alignment horizontal="center" vertical="center"/>
    </xf>
    <xf numFmtId="0" fontId="16" fillId="3" borderId="0" xfId="0" applyFont="1" applyFill="1" applyBorder="1" applyAlignment="1" applyProtection="1">
      <alignment horizontal="center" vertical="center" wrapText="1"/>
    </xf>
    <xf numFmtId="0" fontId="16" fillId="3" borderId="0" xfId="0" applyFont="1" applyFill="1" applyBorder="1" applyAlignment="1" applyProtection="1">
      <alignment horizontal="center" vertical="center"/>
    </xf>
    <xf numFmtId="0" fontId="33" fillId="0" borderId="0" xfId="0" applyFont="1" applyFill="1" applyAlignment="1" applyProtection="1">
      <alignment horizontal="center" vertical="center"/>
    </xf>
    <xf numFmtId="0" fontId="124" fillId="0" borderId="0" xfId="0" applyFont="1" applyFill="1" applyAlignment="1" applyProtection="1">
      <alignment horizontal="center" vertical="center"/>
    </xf>
    <xf numFmtId="0" fontId="67" fillId="0" borderId="0" xfId="0" applyFont="1" applyFill="1" applyBorder="1" applyAlignment="1" applyProtection="1">
      <alignment horizontal="center" vertical="center"/>
    </xf>
    <xf numFmtId="0" fontId="14" fillId="7" borderId="2" xfId="0" applyNumberFormat="1" applyFont="1" applyFill="1" applyBorder="1" applyAlignment="1" applyProtection="1">
      <alignment horizontal="left" vertical="center"/>
    </xf>
    <xf numFmtId="0" fontId="0" fillId="7" borderId="3" xfId="0" applyFill="1" applyBorder="1" applyProtection="1"/>
    <xf numFmtId="0" fontId="72" fillId="0" borderId="0" xfId="0" applyFont="1" applyAlignment="1" applyProtection="1">
      <alignment horizontal="center" vertical="center"/>
    </xf>
    <xf numFmtId="0" fontId="31" fillId="7" borderId="2" xfId="0" applyFont="1" applyFill="1" applyBorder="1" applyAlignment="1" applyProtection="1">
      <alignment horizontal="left" vertical="center"/>
    </xf>
    <xf numFmtId="0" fontId="31" fillId="7" borderId="3" xfId="0" applyFont="1" applyFill="1" applyBorder="1" applyAlignment="1" applyProtection="1">
      <alignment horizontal="left" vertical="center"/>
    </xf>
    <xf numFmtId="0" fontId="63" fillId="0" borderId="1" xfId="0" applyFont="1" applyFill="1" applyBorder="1" applyAlignment="1" applyProtection="1">
      <alignment horizontal="center" vertical="center" wrapText="1"/>
    </xf>
    <xf numFmtId="44" fontId="90" fillId="0" borderId="11" xfId="2" applyNumberFormat="1" applyFont="1" applyFill="1" applyBorder="1" applyAlignment="1" applyProtection="1">
      <alignment horizontal="center"/>
    </xf>
    <xf numFmtId="44" fontId="90" fillId="0" borderId="10" xfId="2" applyNumberFormat="1" applyFont="1" applyFill="1" applyBorder="1" applyAlignment="1" applyProtection="1">
      <alignment horizontal="center"/>
    </xf>
    <xf numFmtId="43" fontId="63" fillId="0" borderId="1" xfId="1" applyNumberFormat="1" applyFont="1" applyFill="1" applyBorder="1" applyAlignment="1" applyProtection="1">
      <alignment horizontal="center"/>
    </xf>
    <xf numFmtId="0" fontId="33" fillId="0" borderId="11" xfId="0" applyFont="1" applyFill="1" applyBorder="1" applyAlignment="1" applyProtection="1">
      <alignment horizontal="center" wrapText="1"/>
    </xf>
    <xf numFmtId="0" fontId="33" fillId="0" borderId="10" xfId="0" applyFont="1" applyFill="1" applyBorder="1" applyAlignment="1" applyProtection="1">
      <alignment horizontal="center" wrapText="1"/>
    </xf>
    <xf numFmtId="0" fontId="43" fillId="0" borderId="1" xfId="0" applyFont="1" applyFill="1" applyBorder="1" applyAlignment="1" applyProtection="1">
      <alignment horizontal="center" vertical="center" wrapText="1"/>
    </xf>
    <xf numFmtId="44" fontId="33" fillId="0" borderId="1" xfId="0" applyNumberFormat="1" applyFont="1" applyFill="1" applyBorder="1" applyAlignment="1" applyProtection="1">
      <alignment horizontal="center" vertical="center" wrapText="1"/>
    </xf>
    <xf numFmtId="44" fontId="33" fillId="3" borderId="11" xfId="0" applyNumberFormat="1" applyFont="1" applyFill="1" applyBorder="1" applyAlignment="1" applyProtection="1">
      <alignment horizontal="center" vertical="center"/>
    </xf>
    <xf numFmtId="44" fontId="33" fillId="3" borderId="10" xfId="0" applyNumberFormat="1" applyFont="1" applyFill="1" applyBorder="1" applyAlignment="1" applyProtection="1">
      <alignment horizontal="center" vertical="center"/>
    </xf>
    <xf numFmtId="44" fontId="63" fillId="0" borderId="1" xfId="2" applyFont="1" applyFill="1" applyBorder="1" applyAlignment="1" applyProtection="1">
      <alignment horizontal="center"/>
    </xf>
    <xf numFmtId="44" fontId="90" fillId="0" borderId="1" xfId="2" applyFont="1" applyFill="1" applyBorder="1" applyAlignment="1" applyProtection="1">
      <alignment horizontal="center"/>
    </xf>
    <xf numFmtId="0" fontId="33" fillId="0" borderId="1" xfId="0" applyFont="1" applyFill="1" applyBorder="1" applyAlignment="1" applyProtection="1">
      <alignment horizontal="center"/>
    </xf>
    <xf numFmtId="44" fontId="33" fillId="0" borderId="1" xfId="0" applyNumberFormat="1" applyFont="1" applyFill="1" applyBorder="1" applyAlignment="1" applyProtection="1">
      <alignment horizontal="center" vertical="center"/>
    </xf>
    <xf numFmtId="44" fontId="32" fillId="0" borderId="1" xfId="2" applyFont="1" applyFill="1" applyBorder="1" applyAlignment="1" applyProtection="1">
      <alignment horizontal="center"/>
    </xf>
    <xf numFmtId="44" fontId="35" fillId="9" borderId="1" xfId="2" applyFont="1" applyFill="1" applyBorder="1" applyAlignment="1" applyProtection="1">
      <alignment horizontal="center"/>
    </xf>
    <xf numFmtId="43" fontId="33" fillId="0" borderId="1" xfId="1" applyFont="1" applyFill="1" applyBorder="1" applyAlignment="1" applyProtection="1">
      <alignment horizontal="center" vertical="center" wrapText="1"/>
    </xf>
    <xf numFmtId="0" fontId="33" fillId="0" borderId="11" xfId="0" applyFont="1" applyFill="1" applyBorder="1" applyAlignment="1" applyProtection="1">
      <alignment horizontal="center" vertical="center" wrapText="1"/>
    </xf>
    <xf numFmtId="0" fontId="33" fillId="0" borderId="10" xfId="0" applyFont="1" applyFill="1" applyBorder="1" applyAlignment="1" applyProtection="1">
      <alignment horizontal="center" vertical="center" wrapText="1"/>
    </xf>
    <xf numFmtId="0" fontId="33" fillId="0" borderId="1" xfId="0" applyFont="1" applyFill="1" applyBorder="1" applyAlignment="1" applyProtection="1">
      <alignment horizontal="center" vertical="center" wrapText="1"/>
    </xf>
    <xf numFmtId="44" fontId="33" fillId="3" borderId="1" xfId="2" applyFont="1" applyFill="1" applyBorder="1" applyAlignment="1" applyProtection="1">
      <alignment horizontal="center"/>
    </xf>
    <xf numFmtId="43" fontId="33" fillId="0" borderId="0" xfId="1" applyFont="1" applyFill="1" applyBorder="1" applyAlignment="1" applyProtection="1">
      <alignment horizontal="center"/>
    </xf>
    <xf numFmtId="173" fontId="33" fillId="4" borderId="1" xfId="0" applyNumberFormat="1" applyFont="1" applyFill="1" applyBorder="1" applyAlignment="1" applyProtection="1">
      <alignment horizontal="center" vertical="center" wrapText="1"/>
      <protection locked="0"/>
    </xf>
    <xf numFmtId="44" fontId="33" fillId="0" borderId="1" xfId="2" applyFont="1" applyFill="1" applyBorder="1" applyAlignment="1" applyProtection="1">
      <alignment horizontal="center"/>
    </xf>
    <xf numFmtId="43" fontId="33" fillId="3" borderId="1" xfId="1" applyFont="1" applyFill="1" applyBorder="1" applyAlignment="1" applyProtection="1">
      <alignment horizontal="center"/>
    </xf>
    <xf numFmtId="0" fontId="33" fillId="0" borderId="1" xfId="0" applyFont="1" applyFill="1" applyBorder="1" applyAlignment="1" applyProtection="1">
      <alignment horizontal="center" wrapText="1"/>
    </xf>
    <xf numFmtId="2" fontId="33" fillId="4" borderId="1" xfId="0" applyNumberFormat="1" applyFont="1" applyFill="1" applyBorder="1" applyAlignment="1" applyProtection="1">
      <alignment horizontal="left" vertical="center"/>
      <protection locked="0"/>
    </xf>
    <xf numFmtId="0" fontId="33" fillId="0" borderId="0" xfId="0" applyFont="1" applyFill="1" applyBorder="1" applyAlignment="1" applyProtection="1">
      <alignment horizontal="center" wrapText="1"/>
    </xf>
    <xf numFmtId="44" fontId="33" fillId="0" borderId="0" xfId="2" applyFont="1" applyFill="1" applyBorder="1" applyAlignment="1" applyProtection="1">
      <alignment horizontal="center"/>
    </xf>
    <xf numFmtId="2" fontId="33" fillId="3" borderId="1" xfId="0" applyNumberFormat="1" applyFont="1" applyFill="1" applyBorder="1" applyAlignment="1" applyProtection="1">
      <alignment horizontal="left" vertical="center"/>
    </xf>
    <xf numFmtId="44" fontId="33" fillId="10" borderId="1" xfId="2" applyFont="1" applyFill="1" applyBorder="1" applyAlignment="1" applyProtection="1">
      <alignment horizontal="center"/>
      <protection locked="0"/>
    </xf>
    <xf numFmtId="0" fontId="33" fillId="0" borderId="0" xfId="0" applyFont="1" applyFill="1" applyBorder="1" applyAlignment="1" applyProtection="1">
      <alignment horizontal="center"/>
    </xf>
    <xf numFmtId="44" fontId="33" fillId="4" borderId="11" xfId="0" applyNumberFormat="1" applyFont="1" applyFill="1" applyBorder="1" applyAlignment="1" applyProtection="1">
      <alignment horizontal="left" vertical="center" wrapText="1"/>
      <protection locked="0"/>
    </xf>
    <xf numFmtId="44" fontId="33" fillId="4" borderId="12" xfId="0" applyNumberFormat="1" applyFont="1" applyFill="1" applyBorder="1" applyAlignment="1" applyProtection="1">
      <alignment horizontal="left" vertical="center" wrapText="1"/>
      <protection locked="0"/>
    </xf>
    <xf numFmtId="44" fontId="33" fillId="4" borderId="10" xfId="0" applyNumberFormat="1" applyFont="1" applyFill="1" applyBorder="1" applyAlignment="1" applyProtection="1">
      <alignment horizontal="left" vertical="center" wrapText="1"/>
      <protection locked="0"/>
    </xf>
    <xf numFmtId="0" fontId="32" fillId="3" borderId="11" xfId="0" applyFont="1" applyFill="1" applyBorder="1" applyAlignment="1" applyProtection="1">
      <alignment horizontal="left"/>
    </xf>
    <xf numFmtId="0" fontId="32" fillId="3" borderId="12" xfId="0" applyFont="1" applyFill="1" applyBorder="1" applyAlignment="1" applyProtection="1">
      <alignment horizontal="left"/>
    </xf>
    <xf numFmtId="0" fontId="32" fillId="3" borderId="10" xfId="0" applyFont="1" applyFill="1" applyBorder="1" applyAlignment="1" applyProtection="1">
      <alignment horizontal="left"/>
    </xf>
    <xf numFmtId="44" fontId="32" fillId="3" borderId="1" xfId="2" applyNumberFormat="1" applyFont="1" applyFill="1" applyBorder="1" applyAlignment="1" applyProtection="1">
      <alignment horizontal="center"/>
    </xf>
    <xf numFmtId="44" fontId="33" fillId="3" borderId="1" xfId="0" applyNumberFormat="1" applyFont="1" applyFill="1" applyBorder="1" applyAlignment="1" applyProtection="1">
      <alignment horizontal="center"/>
    </xf>
    <xf numFmtId="43" fontId="33" fillId="0" borderId="1" xfId="1" applyFont="1" applyFill="1" applyBorder="1" applyAlignment="1" applyProtection="1">
      <alignment horizontal="center"/>
    </xf>
    <xf numFmtId="173" fontId="33" fillId="3" borderId="11" xfId="0" applyNumberFormat="1" applyFont="1" applyFill="1" applyBorder="1" applyAlignment="1" applyProtection="1">
      <alignment horizontal="center"/>
    </xf>
    <xf numFmtId="0" fontId="33" fillId="3" borderId="10" xfId="0" applyFont="1" applyFill="1" applyBorder="1" applyProtection="1"/>
    <xf numFmtId="44" fontId="33" fillId="4" borderId="1" xfId="2" applyNumberFormat="1" applyFont="1" applyFill="1" applyBorder="1" applyAlignment="1" applyProtection="1">
      <alignment horizontal="center"/>
      <protection locked="0"/>
    </xf>
    <xf numFmtId="167" fontId="32" fillId="0" borderId="1" xfId="1" applyNumberFormat="1" applyFont="1" applyFill="1" applyBorder="1" applyAlignment="1" applyProtection="1">
      <alignment horizontal="center" vertical="center"/>
    </xf>
    <xf numFmtId="0" fontId="32" fillId="0" borderId="1" xfId="0" applyFont="1" applyBorder="1" applyAlignment="1" applyProtection="1">
      <alignment horizontal="center" vertical="center"/>
    </xf>
    <xf numFmtId="44" fontId="32" fillId="4" borderId="1" xfId="2" applyNumberFormat="1" applyFont="1" applyFill="1" applyBorder="1" applyAlignment="1" applyProtection="1">
      <alignment horizontal="center"/>
      <protection locked="0"/>
    </xf>
    <xf numFmtId="44" fontId="33" fillId="0" borderId="1" xfId="2" applyFont="1" applyFill="1" applyBorder="1" applyAlignment="1" applyProtection="1">
      <alignment horizontal="center" vertical="center" wrapText="1"/>
    </xf>
    <xf numFmtId="43" fontId="33" fillId="0" borderId="11" xfId="1" applyFont="1" applyFill="1" applyBorder="1" applyAlignment="1" applyProtection="1">
      <alignment horizontal="center"/>
    </xf>
    <xf numFmtId="43" fontId="33" fillId="0" borderId="10" xfId="1" applyFont="1" applyFill="1" applyBorder="1" applyAlignment="1" applyProtection="1">
      <alignment horizontal="center"/>
    </xf>
    <xf numFmtId="43" fontId="33" fillId="10" borderId="1" xfId="1" applyFont="1" applyFill="1" applyBorder="1" applyAlignment="1" applyProtection="1">
      <alignment horizontal="center"/>
      <protection locked="0"/>
    </xf>
    <xf numFmtId="0" fontId="35" fillId="13" borderId="0" xfId="0" applyFont="1" applyFill="1" applyAlignment="1" applyProtection="1">
      <alignment horizontal="center"/>
    </xf>
    <xf numFmtId="44" fontId="33" fillId="0" borderId="0" xfId="0" applyNumberFormat="1" applyFont="1" applyFill="1" applyBorder="1" applyAlignment="1" applyProtection="1">
      <alignment horizontal="center"/>
    </xf>
    <xf numFmtId="44" fontId="33" fillId="3" borderId="12" xfId="0" applyNumberFormat="1" applyFont="1" applyFill="1" applyBorder="1" applyAlignment="1" applyProtection="1">
      <alignment horizontal="center" vertical="center"/>
    </xf>
    <xf numFmtId="0" fontId="90" fillId="0" borderId="11" xfId="0" applyFont="1" applyFill="1" applyBorder="1" applyAlignment="1" applyProtection="1">
      <alignment horizontal="left"/>
    </xf>
    <xf numFmtId="0" fontId="90" fillId="0" borderId="12" xfId="0" applyFont="1" applyFill="1" applyBorder="1" applyAlignment="1" applyProtection="1">
      <alignment horizontal="left"/>
    </xf>
    <xf numFmtId="0" fontId="90" fillId="0" borderId="10" xfId="0" applyFont="1" applyFill="1" applyBorder="1" applyAlignment="1" applyProtection="1">
      <alignment horizontal="left"/>
    </xf>
    <xf numFmtId="44" fontId="33" fillId="5" borderId="1" xfId="2" applyNumberFormat="1" applyFont="1" applyFill="1" applyBorder="1" applyAlignment="1" applyProtection="1">
      <alignment horizontal="center"/>
    </xf>
    <xf numFmtId="0" fontId="69" fillId="5" borderId="9" xfId="0" applyFont="1" applyFill="1" applyBorder="1" applyAlignment="1" applyProtection="1">
      <alignment horizontal="center" vertical="center" wrapText="1"/>
    </xf>
    <xf numFmtId="0" fontId="69" fillId="5" borderId="5" xfId="0" applyFont="1" applyFill="1" applyBorder="1" applyAlignment="1" applyProtection="1">
      <alignment horizontal="center" vertical="center" wrapText="1"/>
    </xf>
    <xf numFmtId="0" fontId="82" fillId="5" borderId="6" xfId="0" applyFont="1" applyFill="1" applyBorder="1" applyAlignment="1" applyProtection="1">
      <alignment horizontal="center" vertical="center"/>
    </xf>
    <xf numFmtId="0" fontId="82" fillId="5" borderId="8" xfId="0" applyFont="1" applyFill="1" applyBorder="1" applyAlignment="1" applyProtection="1">
      <alignment horizontal="center" vertical="center"/>
    </xf>
    <xf numFmtId="0" fontId="69" fillId="0" borderId="12" xfId="0" applyFont="1" applyBorder="1" applyAlignment="1" applyProtection="1">
      <alignment horizontal="center" vertical="center" wrapText="1"/>
    </xf>
    <xf numFmtId="0" fontId="33" fillId="4" borderId="11" xfId="0" applyFont="1" applyFill="1" applyBorder="1" applyAlignment="1" applyProtection="1">
      <alignment horizontal="left" vertical="center" wrapText="1"/>
      <protection locked="0"/>
    </xf>
    <xf numFmtId="0" fontId="33" fillId="4" borderId="12" xfId="0" applyFont="1" applyFill="1" applyBorder="1" applyAlignment="1" applyProtection="1">
      <alignment horizontal="left" vertical="center" wrapText="1"/>
      <protection locked="0"/>
    </xf>
    <xf numFmtId="0" fontId="33" fillId="4" borderId="10" xfId="0" applyFont="1" applyFill="1" applyBorder="1" applyAlignment="1" applyProtection="1">
      <alignment horizontal="left" vertical="center" wrapText="1"/>
      <protection locked="0"/>
    </xf>
    <xf numFmtId="0" fontId="36" fillId="0" borderId="0" xfId="0" applyFont="1" applyFill="1" applyBorder="1" applyAlignment="1" applyProtection="1">
      <alignment horizontal="right" indent="2"/>
    </xf>
    <xf numFmtId="0" fontId="55" fillId="0" borderId="13" xfId="0" applyFont="1" applyFill="1" applyBorder="1" applyAlignment="1" applyProtection="1">
      <alignment horizontal="center"/>
    </xf>
    <xf numFmtId="173" fontId="33" fillId="3" borderId="13" xfId="0" applyNumberFormat="1" applyFont="1" applyFill="1" applyBorder="1" applyAlignment="1" applyProtection="1">
      <alignment horizontal="center"/>
    </xf>
    <xf numFmtId="44" fontId="33" fillId="5" borderId="14" xfId="0" applyNumberFormat="1" applyFont="1" applyFill="1" applyBorder="1" applyAlignment="1" applyProtection="1">
      <alignment horizontal="center" vertical="center"/>
    </xf>
    <xf numFmtId="44" fontId="33" fillId="5" borderId="23" xfId="0" applyNumberFormat="1" applyFont="1" applyFill="1" applyBorder="1" applyAlignment="1" applyProtection="1">
      <alignment horizontal="center" vertical="center"/>
    </xf>
    <xf numFmtId="0" fontId="97" fillId="5" borderId="0" xfId="0" applyFont="1" applyFill="1" applyBorder="1" applyAlignment="1" applyProtection="1">
      <alignment horizontal="left" wrapText="1"/>
    </xf>
    <xf numFmtId="0" fontId="33" fillId="0" borderId="0" xfId="0" applyFont="1" applyFill="1" applyBorder="1" applyAlignment="1" applyProtection="1">
      <alignment horizontal="left" vertical="center" wrapText="1"/>
    </xf>
    <xf numFmtId="44" fontId="33" fillId="5" borderId="9" xfId="2" applyNumberFormat="1" applyFont="1" applyFill="1" applyBorder="1" applyAlignment="1" applyProtection="1">
      <alignment horizontal="center" vertical="center"/>
    </xf>
    <xf numFmtId="44" fontId="33" fillId="5" borderId="5" xfId="2" applyNumberFormat="1" applyFont="1" applyFill="1" applyBorder="1" applyAlignment="1" applyProtection="1">
      <alignment horizontal="center" vertical="center"/>
    </xf>
    <xf numFmtId="2" fontId="33" fillId="3" borderId="13" xfId="0" applyNumberFormat="1" applyFont="1" applyFill="1" applyBorder="1" applyAlignment="1" applyProtection="1">
      <alignment horizontal="center"/>
    </xf>
    <xf numFmtId="0" fontId="104" fillId="0" borderId="0" xfId="0" applyFont="1" applyBorder="1" applyAlignment="1" applyProtection="1">
      <alignment horizontal="left" vertical="center" wrapText="1"/>
    </xf>
    <xf numFmtId="0" fontId="84" fillId="0" borderId="0" xfId="0" applyFont="1" applyBorder="1" applyAlignment="1" applyProtection="1">
      <alignment horizontal="left" wrapText="1"/>
    </xf>
    <xf numFmtId="173" fontId="33" fillId="12" borderId="13" xfId="0" applyNumberFormat="1" applyFont="1" applyFill="1" applyBorder="1" applyAlignment="1" applyProtection="1">
      <alignment horizontal="center"/>
      <protection locked="0"/>
    </xf>
    <xf numFmtId="0" fontId="84" fillId="0" borderId="0" xfId="0" applyFont="1" applyBorder="1" applyAlignment="1" applyProtection="1">
      <alignment horizontal="left" vertical="center" wrapText="1"/>
    </xf>
    <xf numFmtId="0" fontId="32" fillId="0" borderId="0" xfId="0" applyFont="1" applyFill="1" applyBorder="1" applyAlignment="1" applyProtection="1">
      <alignment horizontal="right" indent="2"/>
    </xf>
    <xf numFmtId="0" fontId="33" fillId="3" borderId="11" xfId="0" applyFont="1" applyFill="1" applyBorder="1" applyAlignment="1" applyProtection="1">
      <alignment horizontal="center"/>
    </xf>
    <xf numFmtId="0" fontId="33" fillId="3" borderId="10" xfId="0" applyFont="1" applyFill="1" applyBorder="1" applyAlignment="1" applyProtection="1">
      <alignment horizontal="center"/>
    </xf>
    <xf numFmtId="0" fontId="32" fillId="0" borderId="2" xfId="0" applyFont="1" applyFill="1" applyBorder="1" applyAlignment="1" applyProtection="1">
      <alignment horizontal="center" vertical="center"/>
    </xf>
    <xf numFmtId="0" fontId="33" fillId="0" borderId="11" xfId="0" applyFont="1" applyFill="1" applyBorder="1" applyAlignment="1" applyProtection="1">
      <alignment horizontal="left"/>
    </xf>
    <xf numFmtId="0" fontId="33" fillId="0" borderId="12" xfId="0" applyFont="1" applyFill="1" applyBorder="1" applyAlignment="1" applyProtection="1">
      <alignment horizontal="left"/>
    </xf>
    <xf numFmtId="0" fontId="33" fillId="4" borderId="11" xfId="0" applyFont="1" applyFill="1" applyBorder="1" applyAlignment="1" applyProtection="1">
      <alignment horizontal="left"/>
      <protection locked="0"/>
    </xf>
    <xf numFmtId="0" fontId="33" fillId="4" borderId="12" xfId="0" applyFont="1" applyFill="1" applyBorder="1" applyAlignment="1" applyProtection="1">
      <alignment horizontal="left"/>
      <protection locked="0"/>
    </xf>
    <xf numFmtId="0" fontId="36" fillId="3" borderId="11" xfId="0" applyFont="1" applyFill="1" applyBorder="1" applyAlignment="1" applyProtection="1">
      <alignment horizontal="left"/>
    </xf>
    <xf numFmtId="0" fontId="36" fillId="3" borderId="12" xfId="0" applyFont="1" applyFill="1" applyBorder="1" applyAlignment="1" applyProtection="1">
      <alignment horizontal="left"/>
    </xf>
    <xf numFmtId="0" fontId="36" fillId="3" borderId="10" xfId="0" applyFont="1" applyFill="1" applyBorder="1" applyAlignment="1" applyProtection="1">
      <alignment horizontal="left"/>
    </xf>
    <xf numFmtId="44" fontId="32" fillId="5" borderId="1" xfId="2" applyNumberFormat="1" applyFont="1" applyFill="1" applyBorder="1" applyAlignment="1" applyProtection="1">
      <alignment horizontal="center"/>
    </xf>
    <xf numFmtId="0" fontId="33" fillId="0" borderId="0" xfId="0" applyFont="1" applyAlignment="1" applyProtection="1">
      <alignment horizontal="left" vertical="top"/>
    </xf>
    <xf numFmtId="0" fontId="33" fillId="0" borderId="0" xfId="0" applyFont="1" applyAlignment="1" applyProtection="1">
      <alignment horizontal="left" vertical="top" wrapText="1"/>
    </xf>
    <xf numFmtId="0" fontId="84" fillId="0" borderId="0" xfId="0" applyFont="1" applyAlignment="1" applyProtection="1">
      <alignment horizontal="left" vertical="top" wrapText="1"/>
    </xf>
    <xf numFmtId="0" fontId="35" fillId="0" borderId="0" xfId="0" applyFont="1" applyFill="1" applyAlignment="1" applyProtection="1">
      <alignment horizontal="center"/>
    </xf>
    <xf numFmtId="0" fontId="48" fillId="0" borderId="0" xfId="0" applyFont="1" applyFill="1" applyAlignment="1" applyProtection="1">
      <alignment horizontal="left"/>
    </xf>
    <xf numFmtId="0" fontId="33" fillId="0" borderId="0" xfId="0" applyFont="1" applyFill="1" applyAlignment="1" applyProtection="1">
      <alignment horizontal="left" vertical="top" wrapText="1"/>
    </xf>
    <xf numFmtId="0" fontId="32" fillId="0" borderId="9" xfId="0" applyFont="1" applyBorder="1" applyAlignment="1" applyProtection="1">
      <alignment horizontal="left" vertical="center"/>
    </xf>
    <xf numFmtId="0" fontId="32" fillId="0" borderId="4" xfId="0" applyFont="1" applyBorder="1" applyAlignment="1" applyProtection="1">
      <alignment horizontal="left" vertical="center"/>
    </xf>
    <xf numFmtId="0" fontId="32" fillId="0" borderId="5" xfId="0" applyFont="1" applyBorder="1" applyAlignment="1" applyProtection="1">
      <alignment horizontal="left" vertical="center"/>
    </xf>
    <xf numFmtId="0" fontId="32" fillId="0" borderId="6" xfId="0" applyFont="1" applyBorder="1" applyAlignment="1" applyProtection="1">
      <alignment horizontal="left" vertical="center"/>
    </xf>
    <xf numFmtId="0" fontId="32" fillId="0" borderId="7" xfId="0" applyFont="1" applyBorder="1" applyAlignment="1" applyProtection="1">
      <alignment horizontal="left" vertical="center"/>
    </xf>
    <xf numFmtId="0" fontId="32" fillId="0" borderId="8" xfId="0" applyFont="1" applyBorder="1" applyAlignment="1" applyProtection="1">
      <alignment horizontal="left" vertical="center"/>
    </xf>
    <xf numFmtId="0" fontId="43" fillId="0" borderId="11" xfId="0" applyFont="1" applyFill="1" applyBorder="1" applyAlignment="1" applyProtection="1">
      <alignment horizontal="center" vertical="center"/>
    </xf>
    <xf numFmtId="0" fontId="43" fillId="0" borderId="12" xfId="0" applyFont="1" applyFill="1" applyBorder="1" applyAlignment="1" applyProtection="1">
      <alignment horizontal="center" vertical="center"/>
    </xf>
    <xf numFmtId="0" fontId="43" fillId="0" borderId="10" xfId="0" applyFont="1" applyFill="1" applyBorder="1" applyAlignment="1" applyProtection="1">
      <alignment horizontal="center" vertical="center"/>
    </xf>
    <xf numFmtId="0" fontId="69" fillId="0" borderId="1" xfId="0" applyFont="1" applyFill="1" applyBorder="1" applyAlignment="1" applyProtection="1">
      <alignment horizontal="center" vertical="center" wrapText="1"/>
    </xf>
    <xf numFmtId="167" fontId="32" fillId="5" borderId="11" xfId="1" applyNumberFormat="1" applyFont="1" applyFill="1" applyBorder="1" applyAlignment="1" applyProtection="1">
      <alignment horizontal="left"/>
    </xf>
    <xf numFmtId="167" fontId="32" fillId="5" borderId="12" xfId="1" applyNumberFormat="1" applyFont="1" applyFill="1" applyBorder="1" applyAlignment="1" applyProtection="1">
      <alignment horizontal="left"/>
    </xf>
    <xf numFmtId="167" fontId="32" fillId="5" borderId="10" xfId="1" applyNumberFormat="1" applyFont="1" applyFill="1" applyBorder="1" applyAlignment="1" applyProtection="1">
      <alignment horizontal="left"/>
    </xf>
    <xf numFmtId="44" fontId="35" fillId="11" borderId="3" xfId="2" applyNumberFormat="1" applyFont="1" applyFill="1" applyBorder="1" applyAlignment="1" applyProtection="1">
      <alignment horizontal="center"/>
    </xf>
    <xf numFmtId="0" fontId="33" fillId="3" borderId="1" xfId="0" applyFont="1" applyFill="1" applyBorder="1" applyAlignment="1" applyProtection="1">
      <alignment horizontal="center"/>
    </xf>
    <xf numFmtId="44" fontId="33" fillId="5" borderId="6" xfId="0" applyNumberFormat="1" applyFont="1" applyFill="1" applyBorder="1" applyAlignment="1" applyProtection="1">
      <alignment horizontal="center" vertical="center"/>
    </xf>
    <xf numFmtId="44" fontId="33" fillId="5" borderId="8" xfId="0" applyNumberFormat="1" applyFont="1" applyFill="1" applyBorder="1" applyAlignment="1" applyProtection="1">
      <alignment horizontal="center" vertical="center"/>
    </xf>
    <xf numFmtId="44" fontId="32" fillId="5" borderId="33" xfId="2" applyFont="1" applyFill="1" applyBorder="1" applyAlignment="1" applyProtection="1">
      <alignment horizontal="center"/>
    </xf>
    <xf numFmtId="44" fontId="32" fillId="5" borderId="27" xfId="2" applyFont="1" applyFill="1" applyBorder="1" applyAlignment="1" applyProtection="1">
      <alignment horizontal="center"/>
    </xf>
    <xf numFmtId="167" fontId="32" fillId="0" borderId="9" xfId="1" applyNumberFormat="1" applyFont="1" applyFill="1" applyBorder="1" applyAlignment="1" applyProtection="1">
      <alignment horizontal="center" vertical="center"/>
    </xf>
    <xf numFmtId="167" fontId="32" fillId="0" borderId="5" xfId="1" applyNumberFormat="1" applyFont="1" applyFill="1" applyBorder="1" applyAlignment="1" applyProtection="1">
      <alignment horizontal="center" vertical="center"/>
    </xf>
    <xf numFmtId="167" fontId="32" fillId="0" borderId="6" xfId="1" applyNumberFormat="1" applyFont="1" applyFill="1" applyBorder="1" applyAlignment="1" applyProtection="1">
      <alignment horizontal="center" vertical="center"/>
    </xf>
    <xf numFmtId="167" fontId="32" fillId="0" borderId="8" xfId="1" applyNumberFormat="1"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167" fontId="33" fillId="5" borderId="11" xfId="1" applyNumberFormat="1" applyFont="1" applyFill="1" applyBorder="1" applyAlignment="1" applyProtection="1">
      <alignment horizontal="left"/>
    </xf>
    <xf numFmtId="167" fontId="33" fillId="5" borderId="12" xfId="1" applyNumberFormat="1" applyFont="1" applyFill="1" applyBorder="1" applyAlignment="1" applyProtection="1">
      <alignment horizontal="left"/>
    </xf>
    <xf numFmtId="167" fontId="33" fillId="5" borderId="10" xfId="1" applyNumberFormat="1" applyFont="1" applyFill="1" applyBorder="1" applyAlignment="1" applyProtection="1">
      <alignment horizontal="left"/>
    </xf>
    <xf numFmtId="0" fontId="32" fillId="5" borderId="11" xfId="0" applyFont="1" applyFill="1" applyBorder="1" applyAlignment="1" applyProtection="1">
      <alignment horizontal="left"/>
    </xf>
    <xf numFmtId="0" fontId="32" fillId="5" borderId="12" xfId="0" applyFont="1" applyFill="1" applyBorder="1" applyAlignment="1" applyProtection="1">
      <alignment horizontal="left"/>
    </xf>
    <xf numFmtId="0" fontId="32" fillId="5" borderId="10" xfId="0" applyFont="1" applyFill="1" applyBorder="1" applyAlignment="1" applyProtection="1">
      <alignment horizontal="left"/>
    </xf>
    <xf numFmtId="0" fontId="32" fillId="0" borderId="1" xfId="0" applyFont="1" applyFill="1" applyBorder="1" applyAlignment="1" applyProtection="1">
      <alignment horizontal="left"/>
    </xf>
    <xf numFmtId="44" fontId="35" fillId="3" borderId="1" xfId="2" applyNumberFormat="1" applyFont="1" applyFill="1" applyBorder="1" applyAlignment="1" applyProtection="1">
      <alignment horizontal="center"/>
    </xf>
    <xf numFmtId="0" fontId="35" fillId="0" borderId="13" xfId="0" applyFont="1" applyFill="1" applyBorder="1" applyAlignment="1" applyProtection="1">
      <alignment horizontal="left"/>
    </xf>
    <xf numFmtId="0" fontId="33" fillId="0" borderId="0" xfId="0" applyFont="1" applyAlignment="1" applyProtection="1">
      <alignment horizontal="left"/>
    </xf>
    <xf numFmtId="0" fontId="33" fillId="4" borderId="35" xfId="0" applyFont="1" applyFill="1" applyBorder="1" applyAlignment="1" applyProtection="1">
      <alignment vertical="top" wrapText="1"/>
      <protection locked="0"/>
    </xf>
    <xf numFmtId="0" fontId="33" fillId="4" borderId="36" xfId="0" applyFont="1" applyFill="1" applyBorder="1" applyAlignment="1" applyProtection="1">
      <alignment vertical="top" wrapText="1"/>
      <protection locked="0"/>
    </xf>
    <xf numFmtId="0" fontId="33" fillId="4" borderId="37" xfId="0" applyFont="1" applyFill="1" applyBorder="1" applyAlignment="1" applyProtection="1">
      <alignment vertical="top" wrapText="1"/>
      <protection locked="0"/>
    </xf>
    <xf numFmtId="0" fontId="33" fillId="4" borderId="38" xfId="0" applyFont="1" applyFill="1" applyBorder="1" applyAlignment="1" applyProtection="1">
      <alignment vertical="top" wrapText="1"/>
      <protection locked="0"/>
    </xf>
    <xf numFmtId="0" fontId="33" fillId="4" borderId="0" xfId="0" applyFont="1" applyFill="1" applyBorder="1" applyAlignment="1" applyProtection="1">
      <alignment vertical="top" wrapText="1"/>
      <protection locked="0"/>
    </xf>
    <xf numFmtId="0" fontId="33" fillId="4" borderId="39" xfId="0" applyFont="1" applyFill="1" applyBorder="1" applyAlignment="1" applyProtection="1">
      <alignment vertical="top" wrapText="1"/>
      <protection locked="0"/>
    </xf>
    <xf numFmtId="0" fontId="33" fillId="4" borderId="40" xfId="0" applyFont="1" applyFill="1" applyBorder="1" applyAlignment="1" applyProtection="1">
      <alignment vertical="top" wrapText="1"/>
      <protection locked="0"/>
    </xf>
    <xf numFmtId="0" fontId="33" fillId="4" borderId="13" xfId="0" applyFont="1" applyFill="1" applyBorder="1" applyAlignment="1" applyProtection="1">
      <alignment vertical="top" wrapText="1"/>
      <protection locked="0"/>
    </xf>
    <xf numFmtId="0" fontId="33" fillId="4" borderId="41" xfId="0" applyFont="1" applyFill="1" applyBorder="1" applyAlignment="1" applyProtection="1">
      <alignment vertical="top" wrapText="1"/>
      <protection locked="0"/>
    </xf>
    <xf numFmtId="0" fontId="12" fillId="7" borderId="0" xfId="0" applyFont="1" applyFill="1" applyBorder="1" applyAlignment="1" applyProtection="1">
      <alignment horizontal="center"/>
    </xf>
    <xf numFmtId="167" fontId="33" fillId="3" borderId="11" xfId="1" applyNumberFormat="1" applyFont="1" applyFill="1" applyBorder="1" applyAlignment="1" applyProtection="1">
      <alignment horizontal="center"/>
    </xf>
    <xf numFmtId="167" fontId="33" fillId="3" borderId="10" xfId="1" applyNumberFormat="1" applyFont="1" applyFill="1" applyBorder="1" applyAlignment="1" applyProtection="1">
      <alignment horizontal="center"/>
    </xf>
    <xf numFmtId="44" fontId="33" fillId="0" borderId="45" xfId="0" applyNumberFormat="1" applyFont="1" applyFill="1" applyBorder="1" applyAlignment="1" applyProtection="1">
      <alignment horizontal="center"/>
    </xf>
    <xf numFmtId="0" fontId="101" fillId="0" borderId="0" xfId="0" applyFont="1" applyFill="1" applyAlignment="1" applyProtection="1">
      <alignment horizontal="left"/>
    </xf>
    <xf numFmtId="173" fontId="33" fillId="4" borderId="11" xfId="0" applyNumberFormat="1" applyFont="1" applyFill="1" applyBorder="1" applyAlignment="1" applyProtection="1">
      <alignment horizontal="center"/>
      <protection locked="0"/>
    </xf>
    <xf numFmtId="173" fontId="33" fillId="4" borderId="10" xfId="0" applyNumberFormat="1" applyFont="1" applyFill="1" applyBorder="1" applyAlignment="1" applyProtection="1">
      <alignment horizontal="center"/>
      <protection locked="0"/>
    </xf>
    <xf numFmtId="0" fontId="33" fillId="0" borderId="10" xfId="0" applyFont="1" applyBorder="1" applyProtection="1">
      <protection locked="0"/>
    </xf>
    <xf numFmtId="0" fontId="32" fillId="5" borderId="1" xfId="0" applyFont="1" applyFill="1" applyBorder="1" applyAlignment="1" applyProtection="1">
      <alignment horizontal="left"/>
    </xf>
    <xf numFmtId="0" fontId="33" fillId="4" borderId="1" xfId="0" applyFont="1" applyFill="1" applyBorder="1" applyAlignment="1" applyProtection="1">
      <alignment horizontal="left"/>
      <protection locked="0"/>
    </xf>
    <xf numFmtId="0" fontId="32" fillId="0" borderId="1" xfId="0" applyFont="1" applyBorder="1" applyAlignment="1" applyProtection="1">
      <alignment horizontal="left" vertical="center"/>
    </xf>
    <xf numFmtId="0" fontId="97" fillId="5" borderId="0" xfId="0" applyFont="1" applyFill="1" applyBorder="1" applyAlignment="1" applyProtection="1">
      <alignment horizontal="left"/>
    </xf>
    <xf numFmtId="0" fontId="33" fillId="4" borderId="1" xfId="0" applyFont="1" applyFill="1" applyBorder="1" applyAlignment="1" applyProtection="1">
      <alignment horizontal="left" vertical="center" wrapText="1"/>
      <protection locked="0"/>
    </xf>
    <xf numFmtId="0" fontId="32" fillId="0" borderId="1" xfId="0" applyFont="1" applyBorder="1" applyAlignment="1" applyProtection="1">
      <alignment horizontal="center" vertical="center" wrapText="1"/>
    </xf>
    <xf numFmtId="44" fontId="33" fillId="3" borderId="1" xfId="0" applyNumberFormat="1" applyFont="1" applyFill="1" applyBorder="1" applyAlignment="1" applyProtection="1">
      <alignment horizontal="center" vertical="center" wrapText="1"/>
    </xf>
    <xf numFmtId="44" fontId="32" fillId="0" borderId="11" xfId="2" applyFont="1" applyFill="1" applyBorder="1" applyAlignment="1" applyProtection="1">
      <alignment horizontal="center"/>
    </xf>
    <xf numFmtId="44" fontId="32" fillId="0" borderId="10" xfId="2" applyFont="1" applyFill="1" applyBorder="1" applyAlignment="1" applyProtection="1">
      <alignment horizontal="center"/>
    </xf>
    <xf numFmtId="0" fontId="33" fillId="0" borderId="1" xfId="0" applyFont="1" applyBorder="1" applyAlignment="1" applyProtection="1">
      <alignment horizontal="center"/>
    </xf>
    <xf numFmtId="0" fontId="12" fillId="0" borderId="0" xfId="0" applyFont="1" applyFill="1" applyBorder="1" applyAlignment="1" applyProtection="1">
      <alignment horizontal="center"/>
    </xf>
    <xf numFmtId="0" fontId="33" fillId="0" borderId="1" xfId="0" applyFont="1" applyFill="1" applyBorder="1" applyAlignment="1" applyProtection="1">
      <alignment horizontal="left"/>
    </xf>
    <xf numFmtId="44" fontId="35" fillId="9" borderId="11" xfId="2" applyFont="1" applyFill="1" applyBorder="1" applyAlignment="1" applyProtection="1">
      <alignment horizontal="center"/>
    </xf>
    <xf numFmtId="44" fontId="35" fillId="9" borderId="10" xfId="2" applyFont="1" applyFill="1" applyBorder="1" applyAlignment="1" applyProtection="1">
      <alignment horizontal="center"/>
    </xf>
    <xf numFmtId="44" fontId="32" fillId="3" borderId="1" xfId="0" applyNumberFormat="1" applyFont="1" applyFill="1" applyBorder="1" applyAlignment="1" applyProtection="1">
      <alignment horizontal="center" vertical="center" wrapText="1"/>
    </xf>
    <xf numFmtId="167" fontId="33" fillId="0" borderId="0" xfId="1" applyNumberFormat="1" applyFont="1" applyFill="1" applyBorder="1" applyAlignment="1" applyProtection="1">
      <alignment horizontal="center"/>
    </xf>
    <xf numFmtId="43" fontId="32" fillId="3" borderId="1" xfId="1" applyFont="1" applyFill="1" applyBorder="1" applyAlignment="1" applyProtection="1">
      <alignment horizontal="center" vertical="center" wrapText="1"/>
    </xf>
    <xf numFmtId="0" fontId="35" fillId="0" borderId="0" xfId="0" applyFont="1" applyAlignment="1" applyProtection="1">
      <alignment horizontal="center"/>
    </xf>
    <xf numFmtId="0" fontId="35" fillId="0" borderId="0" xfId="0" applyFont="1" applyFill="1" applyBorder="1" applyAlignment="1" applyProtection="1">
      <alignment horizontal="left"/>
    </xf>
    <xf numFmtId="0" fontId="33" fillId="4" borderId="35" xfId="0" applyFont="1" applyFill="1" applyBorder="1" applyAlignment="1" applyProtection="1">
      <alignment horizontal="left" vertical="top" wrapText="1"/>
      <protection locked="0"/>
    </xf>
    <xf numFmtId="0" fontId="33" fillId="4" borderId="36" xfId="0" applyFont="1" applyFill="1" applyBorder="1" applyAlignment="1" applyProtection="1">
      <alignment horizontal="left" vertical="top" wrapText="1"/>
      <protection locked="0"/>
    </xf>
    <xf numFmtId="0" fontId="33" fillId="4" borderId="37" xfId="0" applyFont="1" applyFill="1" applyBorder="1" applyAlignment="1" applyProtection="1">
      <alignment horizontal="left" vertical="top" wrapText="1"/>
      <protection locked="0"/>
    </xf>
    <xf numFmtId="0" fontId="33" fillId="4" borderId="38" xfId="0" applyFont="1" applyFill="1" applyBorder="1" applyAlignment="1" applyProtection="1">
      <alignment horizontal="left" vertical="top" wrapText="1"/>
      <protection locked="0"/>
    </xf>
    <xf numFmtId="0" fontId="33" fillId="4" borderId="0" xfId="0" applyFont="1" applyFill="1" applyBorder="1" applyAlignment="1" applyProtection="1">
      <alignment horizontal="left" vertical="top" wrapText="1"/>
      <protection locked="0"/>
    </xf>
    <xf numFmtId="0" fontId="33" fillId="4" borderId="39" xfId="0" applyFont="1" applyFill="1" applyBorder="1" applyAlignment="1" applyProtection="1">
      <alignment horizontal="left" vertical="top" wrapText="1"/>
      <protection locked="0"/>
    </xf>
    <xf numFmtId="0" fontId="33" fillId="4" borderId="40" xfId="0" applyFont="1" applyFill="1" applyBorder="1" applyAlignment="1" applyProtection="1">
      <alignment horizontal="left" vertical="top" wrapText="1"/>
      <protection locked="0"/>
    </xf>
    <xf numFmtId="0" fontId="33" fillId="4" borderId="13" xfId="0" applyFont="1" applyFill="1" applyBorder="1" applyAlignment="1" applyProtection="1">
      <alignment horizontal="left" vertical="top" wrapText="1"/>
      <protection locked="0"/>
    </xf>
    <xf numFmtId="0" fontId="33" fillId="4" borderId="41" xfId="0" applyFont="1" applyFill="1" applyBorder="1" applyAlignment="1" applyProtection="1">
      <alignment horizontal="left" vertical="top" wrapText="1"/>
      <protection locked="0"/>
    </xf>
    <xf numFmtId="0" fontId="32" fillId="5" borderId="33" xfId="0" applyFont="1" applyFill="1" applyBorder="1" applyAlignment="1" applyProtection="1">
      <alignment horizontal="left" vertical="center"/>
    </xf>
    <xf numFmtId="0" fontId="32" fillId="5" borderId="26" xfId="0" applyFont="1" applyFill="1" applyBorder="1" applyAlignment="1" applyProtection="1">
      <alignment horizontal="left" vertical="center"/>
    </xf>
    <xf numFmtId="0" fontId="32" fillId="5" borderId="27" xfId="0" applyFont="1" applyFill="1" applyBorder="1" applyAlignment="1" applyProtection="1">
      <alignment horizontal="left" vertical="center"/>
    </xf>
    <xf numFmtId="167" fontId="32" fillId="5" borderId="1" xfId="1" applyNumberFormat="1" applyFont="1" applyFill="1" applyBorder="1" applyAlignment="1" applyProtection="1">
      <alignment horizontal="left"/>
    </xf>
    <xf numFmtId="0" fontId="36" fillId="3" borderId="1" xfId="0" applyFont="1" applyFill="1" applyBorder="1" applyAlignment="1" applyProtection="1">
      <alignment horizontal="left"/>
    </xf>
    <xf numFmtId="44" fontId="35" fillId="11" borderId="1" xfId="2" applyNumberFormat="1" applyFont="1" applyFill="1" applyBorder="1" applyAlignment="1" applyProtection="1">
      <alignment horizontal="center"/>
    </xf>
    <xf numFmtId="167" fontId="33" fillId="5" borderId="1" xfId="1" applyNumberFormat="1" applyFont="1" applyFill="1" applyBorder="1" applyAlignment="1" applyProtection="1">
      <alignment horizontal="left"/>
    </xf>
    <xf numFmtId="167" fontId="33" fillId="10" borderId="1" xfId="0" applyNumberFormat="1" applyFont="1" applyFill="1" applyBorder="1" applyAlignment="1" applyProtection="1">
      <alignment horizontal="center" wrapText="1"/>
      <protection locked="0"/>
    </xf>
    <xf numFmtId="167" fontId="32" fillId="3" borderId="1" xfId="0" applyNumberFormat="1" applyFont="1" applyFill="1" applyBorder="1" applyAlignment="1" applyProtection="1">
      <alignment horizontal="center" wrapText="1"/>
    </xf>
    <xf numFmtId="44" fontId="33" fillId="3" borderId="11" xfId="2" applyFont="1" applyFill="1" applyBorder="1" applyAlignment="1" applyProtection="1">
      <alignment horizontal="center" wrapText="1"/>
    </xf>
    <xf numFmtId="44" fontId="33" fillId="3" borderId="12" xfId="2" applyFont="1" applyFill="1" applyBorder="1" applyAlignment="1" applyProtection="1">
      <alignment horizontal="center" wrapText="1"/>
    </xf>
    <xf numFmtId="44" fontId="33" fillId="3" borderId="10" xfId="2" applyFont="1" applyFill="1" applyBorder="1" applyAlignment="1" applyProtection="1">
      <alignment horizontal="center" wrapText="1"/>
    </xf>
    <xf numFmtId="0" fontId="36" fillId="0" borderId="0" xfId="0" applyFont="1" applyBorder="1" applyAlignment="1" applyProtection="1">
      <alignment horizontal="left"/>
    </xf>
    <xf numFmtId="0" fontId="33" fillId="0" borderId="12" xfId="0" applyFont="1" applyFill="1" applyBorder="1" applyAlignment="1" applyProtection="1">
      <alignment horizontal="center" wrapText="1"/>
    </xf>
    <xf numFmtId="167" fontId="33" fillId="3" borderId="1" xfId="0" applyNumberFormat="1" applyFont="1" applyFill="1" applyBorder="1" applyAlignment="1" applyProtection="1">
      <alignment horizontal="center" wrapText="1"/>
    </xf>
    <xf numFmtId="0" fontId="33" fillId="10" borderId="35" xfId="0" applyFont="1" applyFill="1" applyBorder="1" applyAlignment="1" applyProtection="1">
      <alignment horizontal="left" vertical="top" wrapText="1"/>
      <protection locked="0"/>
    </xf>
    <xf numFmtId="0" fontId="33" fillId="10" borderId="36" xfId="0" applyFont="1" applyFill="1" applyBorder="1" applyAlignment="1" applyProtection="1">
      <alignment horizontal="left" vertical="top" wrapText="1"/>
      <protection locked="0"/>
    </xf>
    <xf numFmtId="0" fontId="33" fillId="10" borderId="37" xfId="0" applyFont="1" applyFill="1" applyBorder="1" applyAlignment="1" applyProtection="1">
      <alignment horizontal="left" vertical="top" wrapText="1"/>
      <protection locked="0"/>
    </xf>
    <xf numFmtId="0" fontId="33" fillId="10" borderId="38" xfId="0" applyFont="1" applyFill="1" applyBorder="1" applyAlignment="1" applyProtection="1">
      <alignment horizontal="left" vertical="top" wrapText="1"/>
      <protection locked="0"/>
    </xf>
    <xf numFmtId="0" fontId="33" fillId="10" borderId="39" xfId="0" applyFont="1" applyFill="1" applyBorder="1" applyAlignment="1" applyProtection="1">
      <alignment horizontal="left" vertical="top" wrapText="1"/>
      <protection locked="0"/>
    </xf>
    <xf numFmtId="0" fontId="33" fillId="10" borderId="40" xfId="0" applyFont="1" applyFill="1" applyBorder="1" applyAlignment="1" applyProtection="1">
      <alignment horizontal="left" vertical="top" wrapText="1"/>
      <protection locked="0"/>
    </xf>
    <xf numFmtId="0" fontId="33" fillId="10" borderId="13" xfId="0" applyFont="1" applyFill="1" applyBorder="1" applyAlignment="1" applyProtection="1">
      <alignment horizontal="left" vertical="top" wrapText="1"/>
      <protection locked="0"/>
    </xf>
    <xf numFmtId="0" fontId="33" fillId="10" borderId="41" xfId="0" applyFont="1" applyFill="1" applyBorder="1" applyAlignment="1" applyProtection="1">
      <alignment horizontal="left" vertical="top" wrapText="1"/>
      <protection locked="0"/>
    </xf>
    <xf numFmtId="0" fontId="92" fillId="0" borderId="0" xfId="0" applyFont="1" applyAlignment="1" applyProtection="1">
      <alignment horizontal="center"/>
    </xf>
    <xf numFmtId="0" fontId="32" fillId="0" borderId="0" xfId="0" applyFont="1" applyFill="1" applyBorder="1" applyAlignment="1" applyProtection="1">
      <alignment horizontal="center"/>
    </xf>
    <xf numFmtId="0" fontId="90" fillId="0" borderId="0" xfId="5" applyFont="1" applyFill="1" applyAlignment="1" applyProtection="1">
      <alignment horizontal="center" vertical="center" wrapText="1"/>
    </xf>
    <xf numFmtId="173" fontId="33" fillId="4" borderId="13" xfId="0" applyNumberFormat="1" applyFont="1" applyFill="1" applyBorder="1" applyAlignment="1" applyProtection="1">
      <alignment horizontal="center" vertical="center" wrapText="1"/>
      <protection locked="0"/>
    </xf>
    <xf numFmtId="10" fontId="61" fillId="0" borderId="0" xfId="4" applyNumberFormat="1" applyFont="1" applyFill="1" applyBorder="1" applyAlignment="1" applyProtection="1">
      <alignment horizontal="left" vertical="center" wrapText="1"/>
    </xf>
    <xf numFmtId="0" fontId="67" fillId="0" borderId="0" xfId="0" applyFont="1" applyAlignment="1" applyProtection="1">
      <alignment horizontal="center"/>
    </xf>
    <xf numFmtId="0" fontId="123" fillId="0" borderId="0" xfId="0" applyFont="1" applyFill="1" applyAlignment="1" applyProtection="1">
      <alignment horizontal="center"/>
    </xf>
    <xf numFmtId="0" fontId="114" fillId="0" borderId="0" xfId="0" applyFont="1" applyFill="1" applyAlignment="1" applyProtection="1">
      <alignment horizontal="center" vertical="center" wrapText="1"/>
    </xf>
    <xf numFmtId="0" fontId="24" fillId="0" borderId="46" xfId="0" applyFont="1" applyBorder="1" applyAlignment="1" applyProtection="1">
      <alignment horizontal="center"/>
    </xf>
    <xf numFmtId="0" fontId="24" fillId="0" borderId="48" xfId="0" applyFont="1" applyBorder="1" applyAlignment="1" applyProtection="1">
      <alignment horizontal="center"/>
    </xf>
    <xf numFmtId="0" fontId="24" fillId="0" borderId="47" xfId="0" applyFont="1" applyBorder="1" applyAlignment="1" applyProtection="1">
      <alignment horizontal="center"/>
    </xf>
    <xf numFmtId="9" fontId="0" fillId="4" borderId="48" xfId="4" applyNumberFormat="1" applyFont="1" applyFill="1" applyBorder="1" applyAlignment="1" applyProtection="1">
      <alignment horizontal="center"/>
    </xf>
    <xf numFmtId="9" fontId="0" fillId="4" borderId="66" xfId="4" applyNumberFormat="1" applyFont="1" applyFill="1" applyBorder="1" applyAlignment="1" applyProtection="1">
      <alignment horizontal="center"/>
    </xf>
    <xf numFmtId="9" fontId="0" fillId="4" borderId="26" xfId="0" applyNumberFormat="1" applyFill="1" applyBorder="1" applyAlignment="1" applyProtection="1">
      <alignment horizontal="center"/>
    </xf>
    <xf numFmtId="9" fontId="0" fillId="4" borderId="27" xfId="0" applyNumberFormat="1" applyFill="1" applyBorder="1" applyAlignment="1" applyProtection="1">
      <alignment horizontal="center"/>
    </xf>
    <xf numFmtId="9" fontId="0" fillId="4" borderId="67" xfId="4" applyNumberFormat="1" applyFont="1" applyFill="1" applyBorder="1" applyAlignment="1" applyProtection="1">
      <alignment horizontal="center"/>
    </xf>
    <xf numFmtId="9" fontId="0" fillId="4" borderId="69" xfId="0" applyNumberFormat="1" applyFill="1" applyBorder="1" applyAlignment="1" applyProtection="1">
      <alignment horizontal="center"/>
    </xf>
    <xf numFmtId="0" fontId="22" fillId="0" borderId="58" xfId="0" applyFont="1" applyFill="1" applyBorder="1" applyAlignment="1" applyProtection="1">
      <alignment horizontal="center" vertical="center"/>
    </xf>
    <xf numFmtId="0" fontId="22" fillId="0" borderId="65" xfId="0" applyFont="1" applyFill="1" applyBorder="1" applyAlignment="1" applyProtection="1">
      <alignment horizontal="center" vertical="center"/>
    </xf>
    <xf numFmtId="0" fontId="22" fillId="0" borderId="38" xfId="0" applyFont="1" applyBorder="1" applyAlignment="1" applyProtection="1">
      <alignment horizontal="center"/>
    </xf>
    <xf numFmtId="0" fontId="22" fillId="0" borderId="39" xfId="0" applyFont="1" applyBorder="1" applyAlignment="1" applyProtection="1">
      <alignment horizontal="center"/>
    </xf>
    <xf numFmtId="10" fontId="22" fillId="18" borderId="38" xfId="4" applyNumberFormat="1" applyFont="1" applyFill="1" applyBorder="1" applyAlignment="1" applyProtection="1">
      <alignment horizontal="center"/>
    </xf>
    <xf numFmtId="10" fontId="22" fillId="18" borderId="39" xfId="4" applyNumberFormat="1" applyFont="1" applyFill="1" applyBorder="1" applyAlignment="1" applyProtection="1">
      <alignment horizontal="center"/>
    </xf>
    <xf numFmtId="10" fontId="0" fillId="0" borderId="38" xfId="4" applyNumberFormat="1" applyFont="1" applyFill="1" applyBorder="1" applyAlignment="1" applyProtection="1">
      <alignment horizontal="center"/>
    </xf>
    <xf numFmtId="10" fontId="0" fillId="0" borderId="39" xfId="4" applyNumberFormat="1" applyFont="1" applyFill="1" applyBorder="1" applyAlignment="1" applyProtection="1">
      <alignment horizontal="center"/>
    </xf>
    <xf numFmtId="10" fontId="0" fillId="4" borderId="38" xfId="4" applyNumberFormat="1" applyFont="1" applyFill="1" applyBorder="1" applyAlignment="1" applyProtection="1">
      <alignment horizontal="center"/>
    </xf>
    <xf numFmtId="10" fontId="0" fillId="4" borderId="39" xfId="4" applyNumberFormat="1" applyFont="1" applyFill="1" applyBorder="1" applyAlignment="1" applyProtection="1">
      <alignment horizontal="center"/>
    </xf>
    <xf numFmtId="0" fontId="22" fillId="0" borderId="26" xfId="0" applyFont="1" applyFill="1" applyBorder="1" applyAlignment="1" applyProtection="1">
      <alignment horizontal="center"/>
    </xf>
    <xf numFmtId="0" fontId="22" fillId="0" borderId="64" xfId="0" applyFont="1" applyFill="1" applyBorder="1" applyAlignment="1" applyProtection="1">
      <alignment horizontal="center"/>
    </xf>
    <xf numFmtId="0" fontId="24" fillId="0" borderId="35" xfId="0" applyFont="1" applyFill="1" applyBorder="1" applyAlignment="1" applyProtection="1">
      <alignment horizontal="center" vertical="center"/>
    </xf>
    <xf numFmtId="0" fontId="24" fillId="0" borderId="36" xfId="0" applyFont="1" applyFill="1" applyBorder="1" applyAlignment="1" applyProtection="1">
      <alignment horizontal="center" vertical="center"/>
    </xf>
    <xf numFmtId="0" fontId="24" fillId="0" borderId="37" xfId="0" applyFont="1" applyFill="1" applyBorder="1" applyAlignment="1" applyProtection="1">
      <alignment horizontal="center" vertical="center"/>
    </xf>
    <xf numFmtId="0" fontId="24" fillId="0" borderId="40" xfId="0" applyFont="1" applyFill="1" applyBorder="1" applyAlignment="1" applyProtection="1">
      <alignment horizontal="center" vertical="center"/>
    </xf>
    <xf numFmtId="0" fontId="24" fillId="0" borderId="13" xfId="0" applyFont="1" applyFill="1" applyBorder="1" applyAlignment="1" applyProtection="1">
      <alignment horizontal="center" vertical="center"/>
    </xf>
    <xf numFmtId="0" fontId="24" fillId="0" borderId="41" xfId="0" applyFont="1" applyFill="1" applyBorder="1" applyAlignment="1" applyProtection="1">
      <alignment horizontal="center" vertical="center"/>
    </xf>
    <xf numFmtId="0" fontId="68" fillId="0" borderId="0" xfId="0" applyFont="1" applyFill="1" applyAlignment="1" applyProtection="1">
      <alignment horizontal="left" vertical="center" wrapText="1"/>
    </xf>
    <xf numFmtId="0" fontId="24" fillId="0" borderId="35" xfId="0" applyFont="1" applyBorder="1" applyAlignment="1" applyProtection="1">
      <alignment horizontal="center" vertical="center"/>
    </xf>
    <xf numFmtId="0" fontId="24" fillId="0" borderId="36" xfId="0" applyFont="1" applyBorder="1" applyAlignment="1" applyProtection="1">
      <alignment horizontal="center" vertical="center"/>
    </xf>
    <xf numFmtId="0" fontId="24" fillId="0" borderId="37" xfId="0" applyFont="1" applyBorder="1" applyAlignment="1" applyProtection="1">
      <alignment horizontal="center" vertical="center"/>
    </xf>
    <xf numFmtId="0" fontId="24" fillId="0" borderId="40" xfId="0" applyFont="1" applyBorder="1" applyAlignment="1" applyProtection="1">
      <alignment horizontal="center" vertical="center"/>
    </xf>
    <xf numFmtId="0" fontId="24" fillId="0" borderId="13" xfId="0" applyFont="1" applyBorder="1" applyAlignment="1" applyProtection="1">
      <alignment horizontal="center" vertical="center"/>
    </xf>
    <xf numFmtId="0" fontId="24" fillId="0" borderId="41" xfId="0" applyFont="1" applyBorder="1" applyAlignment="1" applyProtection="1">
      <alignment horizontal="center" vertical="center"/>
    </xf>
    <xf numFmtId="0" fontId="22" fillId="0" borderId="59" xfId="0" applyFont="1" applyFill="1" applyBorder="1" applyAlignment="1" applyProtection="1">
      <alignment horizontal="center" vertical="center"/>
    </xf>
    <xf numFmtId="0" fontId="23" fillId="3" borderId="0" xfId="0" applyFont="1" applyFill="1" applyAlignment="1" applyProtection="1">
      <alignment horizontal="center"/>
    </xf>
    <xf numFmtId="0" fontId="24" fillId="5" borderId="35" xfId="0" applyFont="1" applyFill="1" applyBorder="1" applyAlignment="1" applyProtection="1">
      <alignment horizontal="center"/>
    </xf>
    <xf numFmtId="0" fontId="24" fillId="5" borderId="36" xfId="0" applyFont="1" applyFill="1" applyBorder="1" applyAlignment="1" applyProtection="1">
      <alignment horizontal="center"/>
    </xf>
    <xf numFmtId="0" fontId="24" fillId="5" borderId="37" xfId="0" applyFont="1" applyFill="1" applyBorder="1" applyAlignment="1" applyProtection="1">
      <alignment horizontal="center"/>
    </xf>
    <xf numFmtId="0" fontId="23" fillId="3" borderId="0" xfId="0" applyFont="1" applyFill="1" applyBorder="1" applyAlignment="1" applyProtection="1">
      <alignment horizontal="center"/>
    </xf>
    <xf numFmtId="0" fontId="0" fillId="0" borderId="0" xfId="0" applyAlignment="1" applyProtection="1">
      <alignment horizontal="left" vertical="center" wrapText="1"/>
    </xf>
    <xf numFmtId="0" fontId="125" fillId="0" borderId="0" xfId="0" applyFont="1" applyFill="1" applyAlignment="1" applyProtection="1">
      <alignment horizontal="center" wrapText="1"/>
    </xf>
    <xf numFmtId="0" fontId="120" fillId="0" borderId="0" xfId="0" applyFont="1" applyAlignment="1" applyProtection="1">
      <alignment horizontal="center" vertical="center" wrapText="1"/>
    </xf>
    <xf numFmtId="0" fontId="22" fillId="0" borderId="40" xfId="0" applyFont="1" applyBorder="1" applyAlignment="1" applyProtection="1">
      <alignment horizontal="center"/>
    </xf>
    <xf numFmtId="0" fontId="22" fillId="0" borderId="41" xfId="0" applyFont="1" applyBorder="1" applyAlignment="1" applyProtection="1">
      <alignment horizontal="center"/>
    </xf>
    <xf numFmtId="0" fontId="24" fillId="0" borderId="38" xfId="0" applyFont="1" applyBorder="1" applyAlignment="1" applyProtection="1">
      <alignment horizontal="center" vertical="center"/>
    </xf>
    <xf numFmtId="0" fontId="24" fillId="0" borderId="0" xfId="0" applyFont="1" applyBorder="1" applyAlignment="1" applyProtection="1">
      <alignment horizontal="center" vertical="center"/>
    </xf>
    <xf numFmtId="0" fontId="24" fillId="0" borderId="39" xfId="0" applyFont="1" applyBorder="1" applyAlignment="1" applyProtection="1">
      <alignment horizontal="center" vertical="center"/>
    </xf>
    <xf numFmtId="0" fontId="24" fillId="0" borderId="36" xfId="0" applyFont="1" applyFill="1" applyBorder="1" applyAlignment="1" applyProtection="1">
      <alignment horizontal="center"/>
    </xf>
    <xf numFmtId="0" fontId="22" fillId="0" borderId="63" xfId="0" applyFont="1" applyFill="1" applyBorder="1" applyAlignment="1" applyProtection="1">
      <alignment horizontal="center"/>
    </xf>
    <xf numFmtId="0" fontId="22" fillId="0" borderId="27" xfId="0" applyFont="1" applyFill="1" applyBorder="1" applyAlignment="1" applyProtection="1">
      <alignment horizontal="center"/>
    </xf>
    <xf numFmtId="0" fontId="22" fillId="4" borderId="52" xfId="0" applyFont="1" applyFill="1" applyBorder="1" applyAlignment="1" applyProtection="1">
      <alignment horizontal="center"/>
    </xf>
    <xf numFmtId="0" fontId="22" fillId="4" borderId="53" xfId="0" applyFont="1" applyFill="1" applyBorder="1" applyAlignment="1" applyProtection="1">
      <alignment horizontal="center"/>
    </xf>
    <xf numFmtId="10" fontId="0" fillId="4" borderId="52" xfId="4" applyNumberFormat="1" applyFont="1" applyFill="1" applyBorder="1" applyAlignment="1" applyProtection="1">
      <alignment horizontal="center"/>
    </xf>
    <xf numFmtId="10" fontId="0" fillId="4" borderId="53" xfId="4" applyNumberFormat="1" applyFont="1" applyFill="1" applyBorder="1" applyAlignment="1" applyProtection="1">
      <alignment horizontal="center"/>
    </xf>
    <xf numFmtId="10" fontId="22" fillId="18" borderId="56" xfId="4" applyNumberFormat="1" applyFont="1" applyFill="1" applyBorder="1" applyAlignment="1" applyProtection="1">
      <alignment horizontal="center"/>
    </xf>
    <xf numFmtId="10" fontId="22" fillId="18" borderId="57" xfId="4" applyNumberFormat="1" applyFont="1" applyFill="1" applyBorder="1" applyAlignment="1" applyProtection="1">
      <alignment horizontal="center"/>
    </xf>
    <xf numFmtId="8" fontId="22" fillId="4" borderId="56" xfId="0" applyNumberFormat="1" applyFont="1" applyFill="1" applyBorder="1" applyAlignment="1" applyProtection="1">
      <alignment horizontal="center" wrapText="1"/>
    </xf>
    <xf numFmtId="8" fontId="22" fillId="4" borderId="57" xfId="0" applyNumberFormat="1" applyFont="1" applyFill="1" applyBorder="1" applyAlignment="1" applyProtection="1">
      <alignment horizontal="center" wrapText="1"/>
    </xf>
    <xf numFmtId="10" fontId="22" fillId="10" borderId="52" xfId="0" applyNumberFormat="1" applyFont="1" applyFill="1" applyBorder="1" applyAlignment="1" applyProtection="1">
      <alignment horizontal="center"/>
    </xf>
    <xf numFmtId="10" fontId="22" fillId="10" borderId="53" xfId="0" applyNumberFormat="1" applyFont="1" applyFill="1" applyBorder="1" applyAlignment="1" applyProtection="1">
      <alignment horizontal="center"/>
    </xf>
    <xf numFmtId="10" fontId="22" fillId="10" borderId="38" xfId="4" applyNumberFormat="1" applyFont="1" applyFill="1" applyBorder="1" applyAlignment="1" applyProtection="1">
      <alignment horizontal="center"/>
    </xf>
    <xf numFmtId="10" fontId="22" fillId="10" borderId="39" xfId="4" applyNumberFormat="1" applyFont="1" applyFill="1" applyBorder="1" applyAlignment="1" applyProtection="1">
      <alignment horizontal="center"/>
    </xf>
    <xf numFmtId="10" fontId="22" fillId="0" borderId="54" xfId="4" applyNumberFormat="1" applyFont="1" applyFill="1" applyBorder="1" applyAlignment="1" applyProtection="1">
      <alignment horizontal="center"/>
    </xf>
    <xf numFmtId="10" fontId="22" fillId="0" borderId="55" xfId="4" applyNumberFormat="1" applyFont="1" applyFill="1" applyBorder="1" applyAlignment="1" applyProtection="1">
      <alignment horizontal="center"/>
    </xf>
    <xf numFmtId="0" fontId="124" fillId="0" borderId="0" xfId="0" applyFont="1" applyFill="1" applyBorder="1" applyAlignment="1" applyProtection="1">
      <alignment horizontal="center" vertical="center"/>
    </xf>
    <xf numFmtId="0" fontId="114" fillId="0" borderId="0" xfId="0" applyFont="1" applyFill="1" applyAlignment="1" applyProtection="1">
      <alignment horizontal="left" vertical="center" wrapText="1"/>
    </xf>
    <xf numFmtId="0" fontId="68" fillId="0" borderId="0" xfId="0" applyFont="1" applyAlignment="1" applyProtection="1">
      <alignment horizontal="left" vertical="center" wrapText="1"/>
    </xf>
  </cellXfs>
  <cellStyles count="17">
    <cellStyle name="Comma" xfId="1" builtinId="3"/>
    <cellStyle name="Comma 2" xfId="6"/>
    <cellStyle name="Comma 2 2" xfId="14"/>
    <cellStyle name="Comma 2 3" xfId="10"/>
    <cellStyle name="Currency" xfId="2" builtinId="4"/>
    <cellStyle name="Hyperlink" xfId="3" builtinId="8"/>
    <cellStyle name="Normal" xfId="0" builtinId="0"/>
    <cellStyle name="Normal 2" xfId="5"/>
    <cellStyle name="Normal 2 2" xfId="13"/>
    <cellStyle name="Normal 2 3" xfId="9"/>
    <cellStyle name="Normal 3" xfId="8"/>
    <cellStyle name="Normal 3 2" xfId="16"/>
    <cellStyle name="Normal 3 3" xfId="12"/>
    <cellStyle name="Percent" xfId="4" builtinId="5"/>
    <cellStyle name="Percent 2" xfId="7"/>
    <cellStyle name="Percent 2 2" xfId="15"/>
    <cellStyle name="Percent 2 3" xfId="11"/>
  </cellStyles>
  <dxfs count="81">
    <dxf>
      <font>
        <color rgb="FF9C0006"/>
      </font>
      <fill>
        <patternFill>
          <bgColor rgb="FFFFC7CE"/>
        </patternFill>
      </fill>
    </dxf>
    <dxf>
      <font>
        <condense val="0"/>
        <extend val="0"/>
        <color rgb="FF9C0006"/>
      </font>
      <fill>
        <patternFill>
          <bgColor rgb="FFFFC7CE"/>
        </patternFill>
      </fill>
    </dxf>
    <dxf>
      <fill>
        <patternFill>
          <bgColor rgb="FFFFC000"/>
        </patternFill>
      </fill>
    </dxf>
    <dxf>
      <font>
        <b/>
        <i val="0"/>
        <color rgb="FFFF0000"/>
      </font>
    </dxf>
    <dxf>
      <font>
        <condense val="0"/>
        <extend val="0"/>
        <color rgb="FF9C0006"/>
      </font>
      <fill>
        <patternFill>
          <bgColor rgb="FFFFC7CE"/>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FFC000"/>
        </patternFill>
      </fill>
    </dxf>
    <dxf>
      <font>
        <b/>
        <i val="0"/>
        <color rgb="FFFF0000"/>
      </font>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00FFFF"/>
        </patternFill>
      </fill>
    </dxf>
    <dxf>
      <fill>
        <patternFill>
          <bgColor rgb="FFFFFFCC"/>
        </patternFill>
      </fill>
    </dxf>
    <dxf>
      <fill>
        <patternFill>
          <bgColor rgb="FF00FFFF"/>
        </patternFill>
      </fill>
    </dxf>
    <dxf>
      <fill>
        <patternFill>
          <bgColor rgb="FFFFFFCC"/>
        </patternFill>
      </fill>
    </dxf>
    <dxf>
      <fill>
        <patternFill>
          <bgColor rgb="FF00FFFF"/>
        </patternFill>
      </fill>
    </dxf>
    <dxf>
      <fill>
        <patternFill>
          <bgColor rgb="FFFFFFC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000"/>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FF0000"/>
      </font>
    </dxf>
    <dxf>
      <font>
        <condense val="0"/>
        <extend val="0"/>
        <color rgb="FF9C0006"/>
      </font>
      <fill>
        <patternFill>
          <bgColor rgb="FFFFC7CE"/>
        </patternFill>
      </fill>
    </dxf>
    <dxf>
      <font>
        <b/>
        <i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FFCC"/>
      <color rgb="FFCCFFCC"/>
      <color rgb="FF9C0006"/>
      <color rgb="FFFFC7CE"/>
      <color rgb="FFFFFFC5"/>
      <color rgb="FF0066FF"/>
      <color rgb="FF00FFFF"/>
      <color rgb="FFFF0000"/>
      <color rgb="FFFF00FF"/>
      <color rgb="FFCCE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Data'!$N$8</c:f>
              <c:strCache>
                <c:ptCount val="1"/>
                <c:pt idx="0">
                  <c:v>Yesterday Start</c:v>
                </c:pt>
              </c:strCache>
            </c:strRef>
          </c:tx>
          <c:invertIfNegative val="0"/>
          <c:val>
            <c:numRef>
              <c:f>'Page2B - Data'!$N$9:$N$30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Data'!$O$8</c:f>
              <c:strCache>
                <c:ptCount val="1"/>
                <c:pt idx="0">
                  <c:v>Yesterday Duration</c:v>
                </c:pt>
              </c:strCache>
            </c:strRef>
          </c:tx>
          <c:spPr>
            <a:solidFill>
              <a:srgbClr val="4BACC6">
                <a:lumMod val="60000"/>
                <a:lumOff val="40000"/>
              </a:srgbClr>
            </a:solidFill>
          </c:spPr>
          <c:invertIfNegative val="0"/>
          <c:val>
            <c:numRef>
              <c:f>'Page2B - Data'!$O$9:$O$30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Data'!$K$8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Data'!$K$9:$K$30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Data'!$L$8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Data'!$L$9:$L$30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99875072"/>
        <c:axId val="99762176"/>
      </c:barChart>
      <c:catAx>
        <c:axId val="99875072"/>
        <c:scaling>
          <c:orientation val="maxMin"/>
        </c:scaling>
        <c:delete val="0"/>
        <c:axPos val="l"/>
        <c:majorGridlines/>
        <c:majorTickMark val="out"/>
        <c:minorTickMark val="none"/>
        <c:tickLblPos val="nextTo"/>
        <c:crossAx val="99762176"/>
        <c:crosses val="autoZero"/>
        <c:auto val="1"/>
        <c:lblAlgn val="ctr"/>
        <c:lblOffset val="100"/>
        <c:noMultiLvlLbl val="0"/>
      </c:catAx>
      <c:valAx>
        <c:axId val="99762176"/>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99875072"/>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Data'!$U$8</c:f>
              <c:strCache>
                <c:ptCount val="1"/>
                <c:pt idx="0">
                  <c:v>Yesterday Start</c:v>
                </c:pt>
              </c:strCache>
            </c:strRef>
          </c:tx>
          <c:invertIfNegative val="0"/>
          <c:val>
            <c:numRef>
              <c:f>'Page2B - Data'!$U$9:$U$30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Data'!$V$8</c:f>
              <c:strCache>
                <c:ptCount val="1"/>
                <c:pt idx="0">
                  <c:v>Yesterday Duration</c:v>
                </c:pt>
              </c:strCache>
            </c:strRef>
          </c:tx>
          <c:spPr>
            <a:solidFill>
              <a:srgbClr val="4BACC6">
                <a:lumMod val="60000"/>
                <a:lumOff val="40000"/>
              </a:srgbClr>
            </a:solidFill>
          </c:spPr>
          <c:invertIfNegative val="0"/>
          <c:val>
            <c:numRef>
              <c:f>'Page2B - Data'!$V$9:$V$30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Data'!$R$8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Data'!$R$9:$R$30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Data'!$S$8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Data'!$S$9:$S$30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99784192"/>
        <c:axId val="99785728"/>
      </c:barChart>
      <c:catAx>
        <c:axId val="99784192"/>
        <c:scaling>
          <c:orientation val="maxMin"/>
        </c:scaling>
        <c:delete val="0"/>
        <c:axPos val="l"/>
        <c:majorGridlines/>
        <c:majorTickMark val="out"/>
        <c:minorTickMark val="none"/>
        <c:tickLblPos val="nextTo"/>
        <c:crossAx val="99785728"/>
        <c:crosses val="autoZero"/>
        <c:auto val="1"/>
        <c:lblAlgn val="ctr"/>
        <c:lblOffset val="100"/>
        <c:noMultiLvlLbl val="0"/>
      </c:catAx>
      <c:valAx>
        <c:axId val="99785728"/>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99784192"/>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Data'!$AB$8</c:f>
              <c:strCache>
                <c:ptCount val="1"/>
                <c:pt idx="0">
                  <c:v>Yesterday Start</c:v>
                </c:pt>
              </c:strCache>
            </c:strRef>
          </c:tx>
          <c:invertIfNegative val="0"/>
          <c:val>
            <c:numRef>
              <c:f>'Page2B - Data'!$AB$9:$AB$30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Data'!$AC$8</c:f>
              <c:strCache>
                <c:ptCount val="1"/>
                <c:pt idx="0">
                  <c:v>Yesterday Duration</c:v>
                </c:pt>
              </c:strCache>
            </c:strRef>
          </c:tx>
          <c:spPr>
            <a:solidFill>
              <a:srgbClr val="4BACC6">
                <a:lumMod val="60000"/>
                <a:lumOff val="40000"/>
              </a:srgbClr>
            </a:solidFill>
          </c:spPr>
          <c:invertIfNegative val="0"/>
          <c:val>
            <c:numRef>
              <c:f>'Page2B - Data'!$AC$9:$AC$30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Data'!$Y$8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Data'!$Y$9:$Y$30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Data'!$Z$8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Data'!$Z$9:$Z$30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102982400"/>
        <c:axId val="102983936"/>
      </c:barChart>
      <c:catAx>
        <c:axId val="102982400"/>
        <c:scaling>
          <c:orientation val="maxMin"/>
        </c:scaling>
        <c:delete val="0"/>
        <c:axPos val="l"/>
        <c:majorGridlines/>
        <c:majorTickMark val="out"/>
        <c:minorTickMark val="none"/>
        <c:tickLblPos val="nextTo"/>
        <c:crossAx val="102983936"/>
        <c:crosses val="autoZero"/>
        <c:auto val="1"/>
        <c:lblAlgn val="ctr"/>
        <c:lblOffset val="100"/>
        <c:noMultiLvlLbl val="0"/>
      </c:catAx>
      <c:valAx>
        <c:axId val="102983936"/>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102982400"/>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Data'!$AI$8</c:f>
              <c:strCache>
                <c:ptCount val="1"/>
                <c:pt idx="0">
                  <c:v>Yesterday Start</c:v>
                </c:pt>
              </c:strCache>
            </c:strRef>
          </c:tx>
          <c:invertIfNegative val="0"/>
          <c:val>
            <c:numRef>
              <c:f>'Page2B - Data'!$AI$9:$AI$30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Data'!$AJ$8</c:f>
              <c:strCache>
                <c:ptCount val="1"/>
                <c:pt idx="0">
                  <c:v>Yesterday Duration</c:v>
                </c:pt>
              </c:strCache>
            </c:strRef>
          </c:tx>
          <c:spPr>
            <a:solidFill>
              <a:srgbClr val="4BACC6">
                <a:lumMod val="60000"/>
                <a:lumOff val="40000"/>
              </a:srgbClr>
            </a:solidFill>
          </c:spPr>
          <c:invertIfNegative val="0"/>
          <c:val>
            <c:numRef>
              <c:f>'Page2B - Data'!$AJ$9:$AJ$30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Data'!$AF$8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Data'!$AF$9:$AF$30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Data'!$AG$8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Data'!$AG$9:$AG$30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101523840"/>
        <c:axId val="101525376"/>
      </c:barChart>
      <c:catAx>
        <c:axId val="101523840"/>
        <c:scaling>
          <c:orientation val="maxMin"/>
        </c:scaling>
        <c:delete val="0"/>
        <c:axPos val="l"/>
        <c:majorGridlines/>
        <c:majorTickMark val="out"/>
        <c:minorTickMark val="none"/>
        <c:tickLblPos val="nextTo"/>
        <c:crossAx val="101525376"/>
        <c:crosses val="autoZero"/>
        <c:auto val="1"/>
        <c:lblAlgn val="ctr"/>
        <c:lblOffset val="100"/>
        <c:noMultiLvlLbl val="0"/>
      </c:catAx>
      <c:valAx>
        <c:axId val="101525376"/>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101523840"/>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Data'!$AP$8</c:f>
              <c:strCache>
                <c:ptCount val="1"/>
                <c:pt idx="0">
                  <c:v>Yesterday Start</c:v>
                </c:pt>
              </c:strCache>
            </c:strRef>
          </c:tx>
          <c:invertIfNegative val="0"/>
          <c:val>
            <c:numRef>
              <c:f>'Page2B - Data'!$AP$9:$AP$30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Data'!$AQ$8</c:f>
              <c:strCache>
                <c:ptCount val="1"/>
                <c:pt idx="0">
                  <c:v>Yesterday Duration</c:v>
                </c:pt>
              </c:strCache>
            </c:strRef>
          </c:tx>
          <c:spPr>
            <a:solidFill>
              <a:srgbClr val="4BACC6">
                <a:lumMod val="60000"/>
                <a:lumOff val="40000"/>
              </a:srgbClr>
            </a:solidFill>
          </c:spPr>
          <c:invertIfNegative val="0"/>
          <c:val>
            <c:numRef>
              <c:f>'Page2B - Data'!$AQ$9:$AQ$30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Data'!$AM$8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Data'!$AM$9:$AM$30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Data'!$AN$8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Data'!$AN$9:$AN$30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101561472"/>
        <c:axId val="101563008"/>
      </c:barChart>
      <c:catAx>
        <c:axId val="101561472"/>
        <c:scaling>
          <c:orientation val="maxMin"/>
        </c:scaling>
        <c:delete val="0"/>
        <c:axPos val="l"/>
        <c:majorGridlines/>
        <c:majorTickMark val="out"/>
        <c:minorTickMark val="none"/>
        <c:tickLblPos val="nextTo"/>
        <c:crossAx val="101563008"/>
        <c:crosses val="autoZero"/>
        <c:auto val="1"/>
        <c:lblAlgn val="ctr"/>
        <c:lblOffset val="100"/>
        <c:noMultiLvlLbl val="0"/>
      </c:catAx>
      <c:valAx>
        <c:axId val="101563008"/>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101561472"/>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2"/>
          <c:order val="0"/>
          <c:tx>
            <c:strRef>
              <c:f>'Page2B - Data'!$AW$8</c:f>
              <c:strCache>
                <c:ptCount val="1"/>
                <c:pt idx="0">
                  <c:v>Yesterday Start</c:v>
                </c:pt>
              </c:strCache>
            </c:strRef>
          </c:tx>
          <c:invertIfNegative val="0"/>
          <c:val>
            <c:numRef>
              <c:f>'Page2B - Data'!$AW$9:$AW$30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1"/>
          <c:tx>
            <c:strRef>
              <c:f>'Page2B - Data'!$AX$8</c:f>
              <c:strCache>
                <c:ptCount val="1"/>
                <c:pt idx="0">
                  <c:v>Yesterday Duration</c:v>
                </c:pt>
              </c:strCache>
            </c:strRef>
          </c:tx>
          <c:spPr>
            <a:solidFill>
              <a:srgbClr val="4BACC6">
                <a:lumMod val="60000"/>
                <a:lumOff val="40000"/>
              </a:srgbClr>
            </a:solidFill>
          </c:spPr>
          <c:invertIfNegative val="0"/>
          <c:val>
            <c:numRef>
              <c:f>'Page2B - Data'!$AX$9:$AX$30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2"/>
          <c:tx>
            <c:strRef>
              <c:f>'Page2B - Data'!$AT$8</c:f>
              <c:strCache>
                <c:ptCount val="1"/>
                <c:pt idx="0">
                  <c:v>Today Start</c:v>
                </c:pt>
              </c:strCache>
            </c:strRef>
          </c:tx>
          <c:spPr>
            <a:no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Data'!$AT$9:$AT$30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3"/>
          <c:tx>
            <c:strRef>
              <c:f>'Page2B - Data'!$AU$8</c:f>
              <c:strCache>
                <c:ptCount val="1"/>
                <c:pt idx="0">
                  <c:v>Today Duration</c:v>
                </c:pt>
              </c:strCache>
            </c:strRef>
          </c:tx>
          <c:spPr>
            <a:solidFill>
              <a:srgbClr val="1F497D">
                <a:lumMod val="60000"/>
                <a:lumOff val="40000"/>
              </a:srgbClr>
            </a:solidFill>
          </c:spPr>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Data'!$AU$9:$AU$30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101580800"/>
        <c:axId val="101582336"/>
      </c:barChart>
      <c:catAx>
        <c:axId val="101580800"/>
        <c:scaling>
          <c:orientation val="maxMin"/>
        </c:scaling>
        <c:delete val="0"/>
        <c:axPos val="l"/>
        <c:majorGridlines/>
        <c:majorTickMark val="out"/>
        <c:minorTickMark val="none"/>
        <c:tickLblPos val="nextTo"/>
        <c:crossAx val="101582336"/>
        <c:crosses val="autoZero"/>
        <c:auto val="1"/>
        <c:lblAlgn val="ctr"/>
        <c:lblOffset val="100"/>
        <c:noMultiLvlLbl val="0"/>
      </c:catAx>
      <c:valAx>
        <c:axId val="101582336"/>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101580800"/>
        <c:crossesAt val="1"/>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660115697997491"/>
          <c:y val="0.10008168868394211"/>
          <c:w val="0.68276775559138214"/>
          <c:h val="0.88412474509108796"/>
        </c:manualLayout>
      </c:layout>
      <c:barChart>
        <c:barDir val="bar"/>
        <c:grouping val="stacked"/>
        <c:varyColors val="0"/>
        <c:ser>
          <c:idx val="0"/>
          <c:order val="0"/>
          <c:tx>
            <c:strRef>
              <c:f>'Page2B - Data'!$G$8</c:f>
              <c:strCache>
                <c:ptCount val="1"/>
                <c:pt idx="0">
                  <c:v>Yesterday Start</c:v>
                </c:pt>
              </c:strCache>
            </c:strRef>
          </c:tx>
          <c:invertIfNegative val="0"/>
          <c:cat>
            <c:strRef>
              <c:f>'Page2B - Data'!$A$9:$A$30</c:f>
              <c:strCache>
                <c:ptCount val="22"/>
                <c:pt idx="0">
                  <c:v>1. </c:v>
                </c:pt>
                <c:pt idx="1">
                  <c:v>2. </c:v>
                </c:pt>
                <c:pt idx="2">
                  <c:v>3. </c:v>
                </c:pt>
                <c:pt idx="3">
                  <c:v>4. </c:v>
                </c:pt>
                <c:pt idx="4">
                  <c:v>5. </c:v>
                </c:pt>
                <c:pt idx="5">
                  <c:v>6. </c:v>
                </c:pt>
                <c:pt idx="6">
                  <c:v>7. </c:v>
                </c:pt>
                <c:pt idx="7">
                  <c:v>8. </c:v>
                </c:pt>
                <c:pt idx="8">
                  <c:v>9. </c:v>
                </c:pt>
                <c:pt idx="9">
                  <c:v>10. </c:v>
                </c:pt>
                <c:pt idx="10">
                  <c:v>11. </c:v>
                </c:pt>
                <c:pt idx="11">
                  <c:v>12. </c:v>
                </c:pt>
                <c:pt idx="12">
                  <c:v>13. </c:v>
                </c:pt>
                <c:pt idx="13">
                  <c:v>14. </c:v>
                </c:pt>
                <c:pt idx="14">
                  <c:v>15. </c:v>
                </c:pt>
                <c:pt idx="15">
                  <c:v>16. </c:v>
                </c:pt>
                <c:pt idx="16">
                  <c:v>17. </c:v>
                </c:pt>
                <c:pt idx="17">
                  <c:v>18. </c:v>
                </c:pt>
                <c:pt idx="18">
                  <c:v>19. </c:v>
                </c:pt>
                <c:pt idx="19">
                  <c:v>20. </c:v>
                </c:pt>
                <c:pt idx="20">
                  <c:v>21. </c:v>
                </c:pt>
                <c:pt idx="21">
                  <c:v>22. </c:v>
                </c:pt>
              </c:strCache>
            </c:strRef>
          </c:cat>
          <c:val>
            <c:numRef>
              <c:f>'Page2B - Data'!$G$9:$G$30</c:f>
              <c:numCache>
                <c:formatCode>h:mm\ AM/PM</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1"/>
          <c:order val="1"/>
          <c:tx>
            <c:strRef>
              <c:f>'Page2B - Data'!$H$8</c:f>
              <c:strCache>
                <c:ptCount val="1"/>
                <c:pt idx="0">
                  <c:v>Yesterday Duration</c:v>
                </c:pt>
              </c:strCache>
            </c:strRef>
          </c:tx>
          <c:spPr>
            <a:solidFill>
              <a:schemeClr val="accent5">
                <a:lumMod val="60000"/>
                <a:lumOff val="40000"/>
              </a:schemeClr>
            </a:solidFill>
          </c:spPr>
          <c:invertIfNegative val="0"/>
          <c:val>
            <c:numRef>
              <c:f>'Page2B - Data'!$H$9:$H$30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2"/>
          <c:order val="2"/>
          <c:tx>
            <c:strRef>
              <c:f>'Page2B - Data'!$D$8</c:f>
              <c:strCache>
                <c:ptCount val="1"/>
                <c:pt idx="0">
                  <c:v>Today Start</c:v>
                </c:pt>
              </c:strCache>
            </c:strRef>
          </c:tx>
          <c:spPr>
            <a:noFill/>
          </c:spPr>
          <c:invertIfNegative val="0"/>
          <c:val>
            <c:numRef>
              <c:f>'Page2B - Data'!$D$9:$D$30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3"/>
          <c:order val="3"/>
          <c:tx>
            <c:strRef>
              <c:f>'Page2B - Data'!$E$8</c:f>
              <c:strCache>
                <c:ptCount val="1"/>
                <c:pt idx="0">
                  <c:v>Today Duration</c:v>
                </c:pt>
              </c:strCache>
            </c:strRef>
          </c:tx>
          <c:spPr>
            <a:solidFill>
              <a:schemeClr val="tx2">
                <a:lumMod val="60000"/>
                <a:lumOff val="40000"/>
              </a:schemeClr>
            </a:solidFill>
          </c:spPr>
          <c:invertIfNegative val="0"/>
          <c:val>
            <c:numRef>
              <c:f>'Page2B - Data'!$E$9:$E$30</c:f>
              <c:numCache>
                <c:formatCode>_(* #,##0.00_);_(* \(#,##0.00\);_(*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101624832"/>
        <c:axId val="101626624"/>
      </c:barChart>
      <c:catAx>
        <c:axId val="101624832"/>
        <c:scaling>
          <c:orientation val="maxMin"/>
        </c:scaling>
        <c:delete val="0"/>
        <c:axPos val="l"/>
        <c:majorGridlines/>
        <c:majorTickMark val="out"/>
        <c:minorTickMark val="none"/>
        <c:tickLblPos val="nextTo"/>
        <c:crossAx val="101626624"/>
        <c:crosses val="autoZero"/>
        <c:auto val="1"/>
        <c:lblAlgn val="ctr"/>
        <c:lblOffset val="100"/>
        <c:noMultiLvlLbl val="0"/>
      </c:catAx>
      <c:valAx>
        <c:axId val="101626624"/>
        <c:scaling>
          <c:orientation val="minMax"/>
          <c:max val="1"/>
          <c:min val="0"/>
        </c:scaling>
        <c:delete val="0"/>
        <c:axPos val="t"/>
        <c:majorGridlines/>
        <c:numFmt formatCode="h\ AM/PM" sourceLinked="0"/>
        <c:majorTickMark val="out"/>
        <c:minorTickMark val="none"/>
        <c:tickLblPos val="nextTo"/>
        <c:txPr>
          <a:bodyPr rot="-2700000"/>
          <a:lstStyle/>
          <a:p>
            <a:pPr>
              <a:defRPr sz="800"/>
            </a:pPr>
            <a:endParaRPr lang="en-US"/>
          </a:p>
        </c:txPr>
        <c:crossAx val="101624832"/>
        <c:crosses val="autoZero"/>
        <c:crossBetween val="between"/>
        <c:majorUnit val="4.1700000000000022E-2"/>
        <c:minorUnit val="1.0000000000000005E-2"/>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161925</xdr:colOff>
      <xdr:row>44</xdr:row>
      <xdr:rowOff>47625</xdr:rowOff>
    </xdr:from>
    <xdr:to>
      <xdr:col>2</xdr:col>
      <xdr:colOff>2924175</xdr:colOff>
      <xdr:row>48</xdr:row>
      <xdr:rowOff>0</xdr:rowOff>
    </xdr:to>
    <xdr:sp macro="[0]!PrintPage1235woComment" textlink="">
      <xdr:nvSpPr>
        <xdr:cNvPr id="7170" name="Rectangle 2"/>
        <xdr:cNvSpPr>
          <a:spLocks noChangeArrowheads="1"/>
        </xdr:cNvSpPr>
      </xdr:nvSpPr>
      <xdr:spPr bwMode="auto">
        <a:xfrm>
          <a:off x="857250" y="10382250"/>
          <a:ext cx="2762250" cy="6381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"Select Page" Printing:</a:t>
          </a:r>
        </a:p>
        <a:p>
          <a:pPr algn="l" rtl="0">
            <a:defRPr sz="1000"/>
          </a:pPr>
          <a:r>
            <a:rPr lang="en-CA" sz="1000" b="0" i="0" u="none" strike="noStrike" baseline="0">
              <a:solidFill>
                <a:srgbClr val="000000"/>
              </a:solidFill>
              <a:latin typeface="Century Gothic"/>
            </a:rPr>
            <a:t>Click this button to print pages 1-3 &amp; 5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2</xdr:col>
      <xdr:colOff>3105149</xdr:colOff>
      <xdr:row>44</xdr:row>
      <xdr:rowOff>38100</xdr:rowOff>
    </xdr:from>
    <xdr:to>
      <xdr:col>2</xdr:col>
      <xdr:colOff>5934074</xdr:colOff>
      <xdr:row>48</xdr:row>
      <xdr:rowOff>0</xdr:rowOff>
    </xdr:to>
    <xdr:sp macro="[0]!PrintPage1235wComment" textlink="">
      <xdr:nvSpPr>
        <xdr:cNvPr id="7171" name="Rectangle 3"/>
        <xdr:cNvSpPr>
          <a:spLocks noChangeArrowheads="1"/>
        </xdr:cNvSpPr>
      </xdr:nvSpPr>
      <xdr:spPr bwMode="auto">
        <a:xfrm>
          <a:off x="3800474" y="10372725"/>
          <a:ext cx="2828925" cy="647700"/>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"Select Page" Printing: </a:t>
          </a:r>
        </a:p>
        <a:p>
          <a:pPr algn="l" rtl="0">
            <a:defRPr sz="1000"/>
          </a:pPr>
          <a:r>
            <a:rPr lang="en-CA" sz="1000" b="0" i="0" u="none" strike="noStrike" baseline="0">
              <a:solidFill>
                <a:srgbClr val="000000"/>
              </a:solidFill>
              <a:latin typeface="Century Gothic"/>
            </a:rPr>
            <a:t>Click this button to print pages 1-3 &amp; 5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2</xdr:col>
      <xdr:colOff>507111</xdr:colOff>
      <xdr:row>3</xdr:row>
      <xdr:rowOff>81915</xdr:rowOff>
    </xdr:to>
    <xdr:pic>
      <xdr:nvPicPr>
        <xdr:cNvPr id="4" name="Picture 3" descr="CLIV"/>
        <xdr:cNvPicPr/>
      </xdr:nvPicPr>
      <xdr:blipFill>
        <a:blip xmlns:r="http://schemas.openxmlformats.org/officeDocument/2006/relationships" r:embed="rId1" cstate="print">
          <a:grayscl/>
        </a:blip>
        <a:srcRect/>
        <a:stretch>
          <a:fillRect/>
        </a:stretch>
      </xdr:blipFill>
      <xdr:spPr bwMode="auto">
        <a:xfrm>
          <a:off x="0" y="0"/>
          <a:ext cx="1223391" cy="683895"/>
        </a:xfrm>
        <a:prstGeom prst="rect">
          <a:avLst/>
        </a:prstGeom>
        <a:noFill/>
        <a:ln w="9525">
          <a:noFill/>
          <a:miter lim="800000"/>
          <a:headEnd/>
          <a:tailEnd/>
        </a:ln>
      </xdr:spPr>
    </xdr:pic>
    <xdr:clientData/>
  </xdr:twoCellAnchor>
  <xdr:twoCellAnchor>
    <xdr:from>
      <xdr:col>4</xdr:col>
      <xdr:colOff>95250</xdr:colOff>
      <xdr:row>0</xdr:row>
      <xdr:rowOff>66675</xdr:rowOff>
    </xdr:from>
    <xdr:to>
      <xdr:col>7</xdr:col>
      <xdr:colOff>104775</xdr:colOff>
      <xdr:row>3</xdr:row>
      <xdr:rowOff>76200</xdr:rowOff>
    </xdr:to>
    <xdr:sp macro="[0]!PrintInstructionPage" textlink="">
      <xdr:nvSpPr>
        <xdr:cNvPr id="5" name="Rectangle 2"/>
        <xdr:cNvSpPr>
          <a:spLocks noChangeArrowheads="1"/>
        </xdr:cNvSpPr>
      </xdr:nvSpPr>
      <xdr:spPr bwMode="auto">
        <a:xfrm>
          <a:off x="7458075" y="66675"/>
          <a:ext cx="1838325" cy="609600"/>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Instruction Page</a:t>
          </a:r>
        </a:p>
      </xdr:txBody>
    </xdr:sp>
    <xdr:clientData/>
  </xdr:twoCellAnchor>
  <xdr:twoCellAnchor>
    <xdr:from>
      <xdr:col>2</xdr:col>
      <xdr:colOff>171450</xdr:colOff>
      <xdr:row>48</xdr:row>
      <xdr:rowOff>104775</xdr:rowOff>
    </xdr:from>
    <xdr:to>
      <xdr:col>2</xdr:col>
      <xdr:colOff>2933700</xdr:colOff>
      <xdr:row>52</xdr:row>
      <xdr:rowOff>57150</xdr:rowOff>
    </xdr:to>
    <xdr:sp macro="[0]!PrintPage1to7WOcomment" textlink="">
      <xdr:nvSpPr>
        <xdr:cNvPr id="7" name="Rectangle 2"/>
        <xdr:cNvSpPr>
          <a:spLocks noChangeArrowheads="1"/>
        </xdr:cNvSpPr>
      </xdr:nvSpPr>
      <xdr:spPr bwMode="auto">
        <a:xfrm>
          <a:off x="866775" y="11125200"/>
          <a:ext cx="2762250" cy="6381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"All Pages" Printing:</a:t>
          </a:r>
        </a:p>
        <a:p>
          <a:pPr algn="l" rtl="0">
            <a:defRPr sz="1000"/>
          </a:pPr>
          <a:r>
            <a:rPr lang="en-CA" sz="1000" b="0" i="0" u="none" strike="noStrike" baseline="0">
              <a:solidFill>
                <a:srgbClr val="000000"/>
              </a:solidFill>
              <a:latin typeface="Century Gothic"/>
            </a:rPr>
            <a:t>Click this button to print pages 1 - 7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2</xdr:col>
      <xdr:colOff>3095625</xdr:colOff>
      <xdr:row>48</xdr:row>
      <xdr:rowOff>95250</xdr:rowOff>
    </xdr:from>
    <xdr:to>
      <xdr:col>2</xdr:col>
      <xdr:colOff>5924550</xdr:colOff>
      <xdr:row>52</xdr:row>
      <xdr:rowOff>57150</xdr:rowOff>
    </xdr:to>
    <xdr:sp macro="[0]!PrintPage1to7wComment" textlink="">
      <xdr:nvSpPr>
        <xdr:cNvPr id="8" name="Rectangle 3"/>
        <xdr:cNvSpPr>
          <a:spLocks noChangeArrowheads="1"/>
        </xdr:cNvSpPr>
      </xdr:nvSpPr>
      <xdr:spPr bwMode="auto">
        <a:xfrm>
          <a:off x="3790950" y="11115675"/>
          <a:ext cx="2828925" cy="647700"/>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"All Pages" Printing: </a:t>
          </a:r>
        </a:p>
        <a:p>
          <a:pPr algn="l" rtl="0">
            <a:defRPr sz="1000"/>
          </a:pPr>
          <a:r>
            <a:rPr lang="en-CA" sz="1000" b="0" i="0" u="none" strike="noStrike" baseline="0">
              <a:solidFill>
                <a:srgbClr val="000000"/>
              </a:solidFill>
              <a:latin typeface="Century Gothic"/>
            </a:rPr>
            <a:t>Click this button to print pages 1 - 7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990600</xdr:colOff>
      <xdr:row>2</xdr:row>
      <xdr:rowOff>180975</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0" y="0"/>
          <a:ext cx="1219200" cy="600075"/>
        </a:xfrm>
        <a:prstGeom prst="rect">
          <a:avLst/>
        </a:prstGeom>
        <a:noFill/>
        <a:ln w="9525">
          <a:noFill/>
          <a:miter lim="800000"/>
          <a:headEnd/>
          <a:tailEnd/>
        </a:ln>
      </xdr:spPr>
    </xdr:pic>
    <xdr:clientData/>
  </xdr:twoCellAnchor>
  <xdr:twoCellAnchor>
    <xdr:from>
      <xdr:col>15</xdr:col>
      <xdr:colOff>76200</xdr:colOff>
      <xdr:row>0</xdr:row>
      <xdr:rowOff>28576</xdr:rowOff>
    </xdr:from>
    <xdr:to>
      <xdr:col>18</xdr:col>
      <xdr:colOff>85725</xdr:colOff>
      <xdr:row>2</xdr:row>
      <xdr:rowOff>57150</xdr:rowOff>
    </xdr:to>
    <xdr:sp macro="[0]!PrintPage1" textlink="">
      <xdr:nvSpPr>
        <xdr:cNvPr id="3" name="Rectangle 55"/>
        <xdr:cNvSpPr>
          <a:spLocks noChangeArrowheads="1"/>
        </xdr:cNvSpPr>
      </xdr:nvSpPr>
      <xdr:spPr bwMode="auto">
        <a:xfrm>
          <a:off x="7924800" y="28576"/>
          <a:ext cx="1838325" cy="447674"/>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31</xdr:col>
      <xdr:colOff>0</xdr:colOff>
      <xdr:row>0</xdr:row>
      <xdr:rowOff>36193</xdr:rowOff>
    </xdr:from>
    <xdr:to>
      <xdr:col>33</xdr:col>
      <xdr:colOff>638175</xdr:colOff>
      <xdr:row>2</xdr:row>
      <xdr:rowOff>180974</xdr:rowOff>
    </xdr:to>
    <xdr:sp macro="[0]!PrintPage2AwoComment" textlink="">
      <xdr:nvSpPr>
        <xdr:cNvPr id="3127" name="Rectangle 55"/>
        <xdr:cNvSpPr>
          <a:spLocks noChangeArrowheads="1"/>
        </xdr:cNvSpPr>
      </xdr:nvSpPr>
      <xdr:spPr bwMode="auto">
        <a:xfrm>
          <a:off x="8324850" y="36193"/>
          <a:ext cx="1857375" cy="563881"/>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2A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33</xdr:col>
      <xdr:colOff>701041</xdr:colOff>
      <xdr:row>0</xdr:row>
      <xdr:rowOff>30480</xdr:rowOff>
    </xdr:from>
    <xdr:to>
      <xdr:col>36</xdr:col>
      <xdr:colOff>575310</xdr:colOff>
      <xdr:row>2</xdr:row>
      <xdr:rowOff>177165</xdr:rowOff>
    </xdr:to>
    <xdr:sp macro="[0]!PrintPage2AwComment" textlink="">
      <xdr:nvSpPr>
        <xdr:cNvPr id="3130" name="Rectangle 58"/>
        <xdr:cNvSpPr>
          <a:spLocks noChangeArrowheads="1"/>
        </xdr:cNvSpPr>
      </xdr:nvSpPr>
      <xdr:spPr bwMode="auto">
        <a:xfrm>
          <a:off x="10245091" y="30480"/>
          <a:ext cx="1864994" cy="565785"/>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2A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1</xdr:col>
      <xdr:colOff>653796</xdr:colOff>
      <xdr:row>3</xdr:row>
      <xdr:rowOff>42776</xdr:rowOff>
    </xdr:to>
    <xdr:pic>
      <xdr:nvPicPr>
        <xdr:cNvPr id="4" name="Picture 3" descr="CLIV"/>
        <xdr:cNvPicPr/>
      </xdr:nvPicPr>
      <xdr:blipFill>
        <a:blip xmlns:r="http://schemas.openxmlformats.org/officeDocument/2006/relationships" r:embed="rId1" cstate="print">
          <a:grayscl/>
        </a:blip>
        <a:srcRect/>
        <a:stretch>
          <a:fillRect/>
        </a:stretch>
      </xdr:blipFill>
      <xdr:spPr bwMode="auto">
        <a:xfrm>
          <a:off x="0" y="0"/>
          <a:ext cx="1255776" cy="70104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606171</xdr:colOff>
      <xdr:row>3</xdr:row>
      <xdr:rowOff>43815</xdr:rowOff>
    </xdr:to>
    <xdr:pic>
      <xdr:nvPicPr>
        <xdr:cNvPr id="3" name="Picture 2" descr="CLIV"/>
        <xdr:cNvPicPr/>
      </xdr:nvPicPr>
      <xdr:blipFill>
        <a:blip xmlns:r="http://schemas.openxmlformats.org/officeDocument/2006/relationships" r:embed="rId1" cstate="print">
          <a:grayscl/>
        </a:blip>
        <a:srcRect/>
        <a:stretch>
          <a:fillRect/>
        </a:stretch>
      </xdr:blipFill>
      <xdr:spPr bwMode="auto">
        <a:xfrm>
          <a:off x="0" y="0"/>
          <a:ext cx="1215771" cy="672465"/>
        </a:xfrm>
        <a:prstGeom prst="rect">
          <a:avLst/>
        </a:prstGeom>
        <a:noFill/>
        <a:ln w="9525">
          <a:noFill/>
          <a:miter lim="800000"/>
          <a:headEnd/>
          <a:tailEnd/>
        </a:ln>
      </xdr:spPr>
    </xdr:pic>
    <xdr:clientData/>
  </xdr:twoCellAnchor>
  <xdr:twoCellAnchor>
    <xdr:from>
      <xdr:col>0</xdr:col>
      <xdr:colOff>38102</xdr:colOff>
      <xdr:row>36</xdr:row>
      <xdr:rowOff>85724</xdr:rowOff>
    </xdr:from>
    <xdr:to>
      <xdr:col>14</xdr:col>
      <xdr:colOff>680777</xdr:colOff>
      <xdr:row>61</xdr:row>
      <xdr:rowOff>76049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38101</xdr:colOff>
      <xdr:row>63</xdr:row>
      <xdr:rowOff>85724</xdr:rowOff>
    </xdr:from>
    <xdr:to>
      <xdr:col>14</xdr:col>
      <xdr:colOff>680776</xdr:colOff>
      <xdr:row>88</xdr:row>
      <xdr:rowOff>76049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38102</xdr:colOff>
      <xdr:row>90</xdr:row>
      <xdr:rowOff>85724</xdr:rowOff>
    </xdr:from>
    <xdr:to>
      <xdr:col>14</xdr:col>
      <xdr:colOff>716777</xdr:colOff>
      <xdr:row>115</xdr:row>
      <xdr:rowOff>76049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38101</xdr:colOff>
      <xdr:row>117</xdr:row>
      <xdr:rowOff>85724</xdr:rowOff>
    </xdr:from>
    <xdr:to>
      <xdr:col>14</xdr:col>
      <xdr:colOff>680776</xdr:colOff>
      <xdr:row>142</xdr:row>
      <xdr:rowOff>76049</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38101</xdr:colOff>
      <xdr:row>144</xdr:row>
      <xdr:rowOff>85724</xdr:rowOff>
    </xdr:from>
    <xdr:to>
      <xdr:col>14</xdr:col>
      <xdr:colOff>680776</xdr:colOff>
      <xdr:row>169</xdr:row>
      <xdr:rowOff>76049</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38101</xdr:colOff>
      <xdr:row>171</xdr:row>
      <xdr:rowOff>85724</xdr:rowOff>
    </xdr:from>
    <xdr:to>
      <xdr:col>14</xdr:col>
      <xdr:colOff>680776</xdr:colOff>
      <xdr:row>196</xdr:row>
      <xdr:rowOff>76049</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9526</xdr:colOff>
      <xdr:row>9</xdr:row>
      <xdr:rowOff>66675</xdr:rowOff>
    </xdr:from>
    <xdr:to>
      <xdr:col>14</xdr:col>
      <xdr:colOff>652201</xdr:colOff>
      <xdr:row>34</xdr:row>
      <xdr:rowOff>57000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114300</xdr:colOff>
      <xdr:row>0</xdr:row>
      <xdr:rowOff>47625</xdr:rowOff>
    </xdr:from>
    <xdr:to>
      <xdr:col>18</xdr:col>
      <xdr:colOff>95250</xdr:colOff>
      <xdr:row>2</xdr:row>
      <xdr:rowOff>76199</xdr:rowOff>
    </xdr:to>
    <xdr:sp macro="[0]!PrintPage2B" textlink="">
      <xdr:nvSpPr>
        <xdr:cNvPr id="11" name="Rectangle 55"/>
        <xdr:cNvSpPr>
          <a:spLocks noChangeArrowheads="1"/>
        </xdr:cNvSpPr>
      </xdr:nvSpPr>
      <xdr:spPr bwMode="auto">
        <a:xfrm>
          <a:off x="9953625" y="47625"/>
          <a:ext cx="1838325" cy="447674"/>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2B</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1314449</xdr:colOff>
      <xdr:row>3</xdr:row>
      <xdr:rowOff>47625</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0" y="0"/>
          <a:ext cx="1314449" cy="67627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19051</xdr:colOff>
      <xdr:row>0</xdr:row>
      <xdr:rowOff>19051</xdr:rowOff>
    </xdr:from>
    <xdr:to>
      <xdr:col>19</xdr:col>
      <xdr:colOff>1</xdr:colOff>
      <xdr:row>2</xdr:row>
      <xdr:rowOff>76201</xdr:rowOff>
    </xdr:to>
    <xdr:sp macro="[0]!PrintPage3WOcomment" textlink="">
      <xdr:nvSpPr>
        <xdr:cNvPr id="2085" name="Rectangle 37"/>
        <xdr:cNvSpPr>
          <a:spLocks noChangeArrowheads="1"/>
        </xdr:cNvSpPr>
      </xdr:nvSpPr>
      <xdr:spPr bwMode="auto">
        <a:xfrm>
          <a:off x="7143751" y="19051"/>
          <a:ext cx="1809750" cy="514350"/>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19</xdr:col>
      <xdr:colOff>47626</xdr:colOff>
      <xdr:row>0</xdr:row>
      <xdr:rowOff>28576</xdr:rowOff>
    </xdr:from>
    <xdr:to>
      <xdr:col>22</xdr:col>
      <xdr:colOff>9526</xdr:colOff>
      <xdr:row>2</xdr:row>
      <xdr:rowOff>66676</xdr:rowOff>
    </xdr:to>
    <xdr:sp macro="[0]!PrintPage3Wcomment" textlink="">
      <xdr:nvSpPr>
        <xdr:cNvPr id="2088" name="Rectangle 40"/>
        <xdr:cNvSpPr>
          <a:spLocks noChangeArrowheads="1"/>
        </xdr:cNvSpPr>
      </xdr:nvSpPr>
      <xdr:spPr bwMode="auto">
        <a:xfrm>
          <a:off x="9001126" y="28576"/>
          <a:ext cx="1790700" cy="495300"/>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1</xdr:col>
      <xdr:colOff>729996</xdr:colOff>
      <xdr:row>3</xdr:row>
      <xdr:rowOff>16510</xdr:rowOff>
    </xdr:to>
    <xdr:pic>
      <xdr:nvPicPr>
        <xdr:cNvPr id="4" name="Picture 3" descr="CLIV"/>
        <xdr:cNvPicPr/>
      </xdr:nvPicPr>
      <xdr:blipFill>
        <a:blip xmlns:r="http://schemas.openxmlformats.org/officeDocument/2006/relationships" r:embed="rId1" cstate="print">
          <a:grayscl/>
        </a:blip>
        <a:srcRect/>
        <a:stretch>
          <a:fillRect/>
        </a:stretch>
      </xdr:blipFill>
      <xdr:spPr bwMode="auto">
        <a:xfrm>
          <a:off x="0" y="0"/>
          <a:ext cx="1244346" cy="68008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38100</xdr:colOff>
      <xdr:row>0</xdr:row>
      <xdr:rowOff>19050</xdr:rowOff>
    </xdr:from>
    <xdr:to>
      <xdr:col>10</xdr:col>
      <xdr:colOff>9525</xdr:colOff>
      <xdr:row>2</xdr:row>
      <xdr:rowOff>19049</xdr:rowOff>
    </xdr:to>
    <xdr:sp macro="[0]!PrintPage4" textlink="">
      <xdr:nvSpPr>
        <xdr:cNvPr id="2" name="Rectangle 37"/>
        <xdr:cNvSpPr>
          <a:spLocks noChangeArrowheads="1"/>
        </xdr:cNvSpPr>
      </xdr:nvSpPr>
      <xdr:spPr bwMode="auto">
        <a:xfrm>
          <a:off x="6781800" y="19050"/>
          <a:ext cx="1800225" cy="457199"/>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4</a:t>
          </a:r>
        </a:p>
      </xdr:txBody>
    </xdr:sp>
    <xdr:clientData/>
  </xdr:twoCellAnchor>
  <xdr:twoCellAnchor editAs="oneCell">
    <xdr:from>
      <xdr:col>0</xdr:col>
      <xdr:colOff>0</xdr:colOff>
      <xdr:row>0</xdr:row>
      <xdr:rowOff>0</xdr:rowOff>
    </xdr:from>
    <xdr:to>
      <xdr:col>1</xdr:col>
      <xdr:colOff>612521</xdr:colOff>
      <xdr:row>3</xdr:row>
      <xdr:rowOff>15452</xdr:rowOff>
    </xdr:to>
    <xdr:pic>
      <xdr:nvPicPr>
        <xdr:cNvPr id="3" name="Picture 2" descr="CLIV"/>
        <xdr:cNvPicPr/>
      </xdr:nvPicPr>
      <xdr:blipFill>
        <a:blip xmlns:r="http://schemas.openxmlformats.org/officeDocument/2006/relationships" r:embed="rId1" cstate="print">
          <a:grayscl/>
        </a:blip>
        <a:srcRect/>
        <a:stretch>
          <a:fillRect/>
        </a:stretch>
      </xdr:blipFill>
      <xdr:spPr bwMode="auto">
        <a:xfrm>
          <a:off x="0" y="0"/>
          <a:ext cx="1215771" cy="682202"/>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20</xdr:col>
      <xdr:colOff>904876</xdr:colOff>
      <xdr:row>0</xdr:row>
      <xdr:rowOff>45721</xdr:rowOff>
    </xdr:from>
    <xdr:to>
      <xdr:col>22</xdr:col>
      <xdr:colOff>600076</xdr:colOff>
      <xdr:row>3</xdr:row>
      <xdr:rowOff>38100</xdr:rowOff>
    </xdr:to>
    <xdr:sp macro="[0]!PrintPage5" textlink="">
      <xdr:nvSpPr>
        <xdr:cNvPr id="1111" name="Rectangle 87"/>
        <xdr:cNvSpPr>
          <a:spLocks noChangeArrowheads="1"/>
        </xdr:cNvSpPr>
      </xdr:nvSpPr>
      <xdr:spPr bwMode="auto">
        <a:xfrm>
          <a:off x="20240626" y="45721"/>
          <a:ext cx="1790700" cy="611504"/>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5 </a:t>
          </a:r>
        </a:p>
      </xdr:txBody>
    </xdr:sp>
    <xdr:clientData/>
  </xdr:twoCellAnchor>
  <xdr:twoCellAnchor editAs="oneCell">
    <xdr:from>
      <xdr:col>0</xdr:col>
      <xdr:colOff>0</xdr:colOff>
      <xdr:row>0</xdr:row>
      <xdr:rowOff>0</xdr:rowOff>
    </xdr:from>
    <xdr:to>
      <xdr:col>1</xdr:col>
      <xdr:colOff>729996</xdr:colOff>
      <xdr:row>3</xdr:row>
      <xdr:rowOff>60960</xdr:rowOff>
    </xdr:to>
    <xdr:pic>
      <xdr:nvPicPr>
        <xdr:cNvPr id="4" name="Picture 3" descr="CLIV"/>
        <xdr:cNvPicPr/>
      </xdr:nvPicPr>
      <xdr:blipFill>
        <a:blip xmlns:r="http://schemas.openxmlformats.org/officeDocument/2006/relationships" r:embed="rId1" cstate="print">
          <a:grayscl/>
        </a:blip>
        <a:srcRect/>
        <a:stretch>
          <a:fillRect/>
        </a:stretch>
      </xdr:blipFill>
      <xdr:spPr bwMode="auto">
        <a:xfrm>
          <a:off x="0" y="0"/>
          <a:ext cx="1255776" cy="70104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133351</xdr:colOff>
      <xdr:row>0</xdr:row>
      <xdr:rowOff>9526</xdr:rowOff>
    </xdr:from>
    <xdr:to>
      <xdr:col>3</xdr:col>
      <xdr:colOff>647701</xdr:colOff>
      <xdr:row>2</xdr:row>
      <xdr:rowOff>200026</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247651" y="9526"/>
          <a:ext cx="1200150" cy="609600"/>
        </a:xfrm>
        <a:prstGeom prst="rect">
          <a:avLst/>
        </a:prstGeom>
        <a:noFill/>
        <a:ln w="9525">
          <a:noFill/>
          <a:miter lim="800000"/>
          <a:headEnd/>
          <a:tailEnd/>
        </a:ln>
      </xdr:spPr>
    </xdr:pic>
    <xdr:clientData/>
  </xdr:twoCellAnchor>
  <xdr:twoCellAnchor>
    <xdr:from>
      <xdr:col>24</xdr:col>
      <xdr:colOff>704851</xdr:colOff>
      <xdr:row>0</xdr:row>
      <xdr:rowOff>58209</xdr:rowOff>
    </xdr:from>
    <xdr:to>
      <xdr:col>27</xdr:col>
      <xdr:colOff>76201</xdr:colOff>
      <xdr:row>2</xdr:row>
      <xdr:rowOff>96308</xdr:rowOff>
    </xdr:to>
    <xdr:sp macro="[0]!PrintPage6A" textlink="">
      <xdr:nvSpPr>
        <xdr:cNvPr id="3" name="Rectangle 37"/>
        <xdr:cNvSpPr>
          <a:spLocks noChangeArrowheads="1"/>
        </xdr:cNvSpPr>
      </xdr:nvSpPr>
      <xdr:spPr bwMode="auto">
        <a:xfrm>
          <a:off x="15935326" y="58209"/>
          <a:ext cx="1885950" cy="457199"/>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6A (without instruction)</a:t>
          </a:r>
        </a:p>
      </xdr:txBody>
    </xdr:sp>
    <xdr:clientData/>
  </xdr:twoCellAnchor>
  <xdr:twoCellAnchor>
    <xdr:from>
      <xdr:col>28</xdr:col>
      <xdr:colOff>76200</xdr:colOff>
      <xdr:row>0</xdr:row>
      <xdr:rowOff>57150</xdr:rowOff>
    </xdr:from>
    <xdr:to>
      <xdr:col>38</xdr:col>
      <xdr:colOff>66675</xdr:colOff>
      <xdr:row>2</xdr:row>
      <xdr:rowOff>95249</xdr:rowOff>
    </xdr:to>
    <xdr:sp macro="[0]!PrintPage6AInstruction" textlink="">
      <xdr:nvSpPr>
        <xdr:cNvPr id="4" name="Rectangle 37"/>
        <xdr:cNvSpPr>
          <a:spLocks noChangeArrowheads="1"/>
        </xdr:cNvSpPr>
      </xdr:nvSpPr>
      <xdr:spPr bwMode="auto">
        <a:xfrm>
          <a:off x="17973675" y="57150"/>
          <a:ext cx="1885950" cy="457199"/>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Instruction for Page 6A</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704850</xdr:colOff>
      <xdr:row>3</xdr:row>
      <xdr:rowOff>9525</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114300" y="0"/>
          <a:ext cx="1200150" cy="638175"/>
        </a:xfrm>
        <a:prstGeom prst="rect">
          <a:avLst/>
        </a:prstGeom>
        <a:noFill/>
        <a:ln w="9525">
          <a:noFill/>
          <a:miter lim="800000"/>
          <a:headEnd/>
          <a:tailEnd/>
        </a:ln>
      </xdr:spPr>
    </xdr:pic>
    <xdr:clientData/>
  </xdr:twoCellAnchor>
  <xdr:twoCellAnchor>
    <xdr:from>
      <xdr:col>20</xdr:col>
      <xdr:colOff>85726</xdr:colOff>
      <xdr:row>0</xdr:row>
      <xdr:rowOff>48684</xdr:rowOff>
    </xdr:from>
    <xdr:to>
      <xdr:col>21</xdr:col>
      <xdr:colOff>933451</xdr:colOff>
      <xdr:row>2</xdr:row>
      <xdr:rowOff>190500</xdr:rowOff>
    </xdr:to>
    <xdr:sp macro="[0]!PrintPage6B" textlink="">
      <xdr:nvSpPr>
        <xdr:cNvPr id="3" name="Rectangle 37"/>
        <xdr:cNvSpPr>
          <a:spLocks noChangeArrowheads="1"/>
        </xdr:cNvSpPr>
      </xdr:nvSpPr>
      <xdr:spPr bwMode="auto">
        <a:xfrm>
          <a:off x="16783051" y="48684"/>
          <a:ext cx="1828800" cy="560916"/>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6B (without Instruction)</a:t>
          </a:r>
        </a:p>
      </xdr:txBody>
    </xdr:sp>
    <xdr:clientData/>
  </xdr:twoCellAnchor>
  <xdr:twoCellAnchor>
    <xdr:from>
      <xdr:col>22</xdr:col>
      <xdr:colOff>66675</xdr:colOff>
      <xdr:row>0</xdr:row>
      <xdr:rowOff>47627</xdr:rowOff>
    </xdr:from>
    <xdr:to>
      <xdr:col>33</xdr:col>
      <xdr:colOff>561975</xdr:colOff>
      <xdr:row>2</xdr:row>
      <xdr:rowOff>190501</xdr:rowOff>
    </xdr:to>
    <xdr:sp macro="[0]!PrintPage6BInstruction" textlink="">
      <xdr:nvSpPr>
        <xdr:cNvPr id="4" name="Rectangle 37"/>
        <xdr:cNvSpPr>
          <a:spLocks noChangeArrowheads="1"/>
        </xdr:cNvSpPr>
      </xdr:nvSpPr>
      <xdr:spPr bwMode="auto">
        <a:xfrm>
          <a:off x="18726150" y="47627"/>
          <a:ext cx="1819275" cy="561974"/>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Instruction for Page 6B</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733425</xdr:colOff>
      <xdr:row>3</xdr:row>
      <xdr:rowOff>76200</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0" y="0"/>
          <a:ext cx="1285875" cy="723900"/>
        </a:xfrm>
        <a:prstGeom prst="rect">
          <a:avLst/>
        </a:prstGeom>
        <a:noFill/>
        <a:ln w="9525">
          <a:noFill/>
          <a:miter lim="800000"/>
          <a:headEnd/>
          <a:tailEnd/>
        </a:ln>
      </xdr:spPr>
    </xdr:pic>
    <xdr:clientData/>
  </xdr:twoCellAnchor>
  <xdr:twoCellAnchor>
    <xdr:from>
      <xdr:col>12</xdr:col>
      <xdr:colOff>504825</xdr:colOff>
      <xdr:row>0</xdr:row>
      <xdr:rowOff>38100</xdr:rowOff>
    </xdr:from>
    <xdr:to>
      <xdr:col>14</xdr:col>
      <xdr:colOff>781050</xdr:colOff>
      <xdr:row>2</xdr:row>
      <xdr:rowOff>76199</xdr:rowOff>
    </xdr:to>
    <xdr:sp macro="[0]!PrintPage7" textlink="">
      <xdr:nvSpPr>
        <xdr:cNvPr id="3" name="Rectangle 37"/>
        <xdr:cNvSpPr>
          <a:spLocks noChangeArrowheads="1"/>
        </xdr:cNvSpPr>
      </xdr:nvSpPr>
      <xdr:spPr bwMode="auto">
        <a:xfrm>
          <a:off x="10267950" y="38100"/>
          <a:ext cx="1971675" cy="457199"/>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7 (without instruction)</a:t>
          </a:r>
        </a:p>
      </xdr:txBody>
    </xdr:sp>
    <xdr:clientData/>
  </xdr:twoCellAnchor>
  <xdr:twoCellAnchor>
    <xdr:from>
      <xdr:col>23</xdr:col>
      <xdr:colOff>47625</xdr:colOff>
      <xdr:row>0</xdr:row>
      <xdr:rowOff>38100</xdr:rowOff>
    </xdr:from>
    <xdr:to>
      <xdr:col>26</xdr:col>
      <xdr:colOff>190500</xdr:colOff>
      <xdr:row>2</xdr:row>
      <xdr:rowOff>76199</xdr:rowOff>
    </xdr:to>
    <xdr:sp macro="[0]!PrintPage7Instruction" textlink="">
      <xdr:nvSpPr>
        <xdr:cNvPr id="4" name="Rectangle 37"/>
        <xdr:cNvSpPr>
          <a:spLocks noChangeArrowheads="1"/>
        </xdr:cNvSpPr>
      </xdr:nvSpPr>
      <xdr:spPr bwMode="auto">
        <a:xfrm>
          <a:off x="12439650" y="38100"/>
          <a:ext cx="1971675" cy="457199"/>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Instruction for Page 7</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11431</xdr:colOff>
      <xdr:row>0</xdr:row>
      <xdr:rowOff>45721</xdr:rowOff>
    </xdr:from>
    <xdr:to>
      <xdr:col>19</xdr:col>
      <xdr:colOff>0</xdr:colOff>
      <xdr:row>2</xdr:row>
      <xdr:rowOff>28575</xdr:rowOff>
    </xdr:to>
    <xdr:sp macro="[0]!PrintPage8" textlink="">
      <xdr:nvSpPr>
        <xdr:cNvPr id="2" name="Rectangle 87"/>
        <xdr:cNvSpPr>
          <a:spLocks noChangeArrowheads="1"/>
        </xdr:cNvSpPr>
      </xdr:nvSpPr>
      <xdr:spPr bwMode="auto">
        <a:xfrm>
          <a:off x="11212831" y="45721"/>
          <a:ext cx="1445894" cy="401954"/>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Page 8</a:t>
          </a:r>
        </a:p>
      </xdr:txBody>
    </xdr:sp>
    <xdr:clientData/>
  </xdr:twoCellAnchor>
  <xdr:twoCellAnchor editAs="oneCell">
    <xdr:from>
      <xdr:col>0</xdr:col>
      <xdr:colOff>0</xdr:colOff>
      <xdr:row>0</xdr:row>
      <xdr:rowOff>0</xdr:rowOff>
    </xdr:from>
    <xdr:to>
      <xdr:col>1</xdr:col>
      <xdr:colOff>838200</xdr:colOff>
      <xdr:row>3</xdr:row>
      <xdr:rowOff>22860</xdr:rowOff>
    </xdr:to>
    <xdr:pic>
      <xdr:nvPicPr>
        <xdr:cNvPr id="4" name="Picture 3" descr="CLIV"/>
        <xdr:cNvPicPr/>
      </xdr:nvPicPr>
      <xdr:blipFill>
        <a:blip xmlns:r="http://schemas.openxmlformats.org/officeDocument/2006/relationships" r:embed="rId1" cstate="print">
          <a:grayscl/>
        </a:blip>
        <a:srcRect/>
        <a:stretch>
          <a:fillRect/>
        </a:stretch>
      </xdr:blipFill>
      <xdr:spPr bwMode="auto">
        <a:xfrm>
          <a:off x="0" y="0"/>
          <a:ext cx="1085850" cy="68008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0</xdr:colOff>
      <xdr:row>0</xdr:row>
      <xdr:rowOff>47625</xdr:rowOff>
    </xdr:from>
    <xdr:to>
      <xdr:col>3</xdr:col>
      <xdr:colOff>600074</xdr:colOff>
      <xdr:row>3</xdr:row>
      <xdr:rowOff>123825</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381000" y="47625"/>
          <a:ext cx="1409699" cy="7048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66675</xdr:colOff>
      <xdr:row>0</xdr:row>
      <xdr:rowOff>85725</xdr:rowOff>
    </xdr:from>
    <xdr:to>
      <xdr:col>1</xdr:col>
      <xdr:colOff>1066800</xdr:colOff>
      <xdr:row>3</xdr:row>
      <xdr:rowOff>144780</xdr:rowOff>
    </xdr:to>
    <xdr:pic>
      <xdr:nvPicPr>
        <xdr:cNvPr id="2" name="Picture 1" descr="CLIV"/>
        <xdr:cNvPicPr/>
      </xdr:nvPicPr>
      <xdr:blipFill>
        <a:blip xmlns:r="http://schemas.openxmlformats.org/officeDocument/2006/relationships" r:embed="rId1" cstate="print">
          <a:grayscl/>
        </a:blip>
        <a:srcRect/>
        <a:stretch>
          <a:fillRect/>
        </a:stretch>
      </xdr:blipFill>
      <xdr:spPr bwMode="auto">
        <a:xfrm>
          <a:off x="66675" y="85725"/>
          <a:ext cx="1190625" cy="68770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N44"/>
  <sheetViews>
    <sheetView showGridLines="0" zoomScaleNormal="100" workbookViewId="0">
      <pane ySplit="5" topLeftCell="A6" activePane="bottomLeft" state="frozen"/>
      <selection activeCell="B26" sqref="B26:B27"/>
      <selection pane="bottomLeft" activeCell="C6" sqref="C6"/>
    </sheetView>
  </sheetViews>
  <sheetFormatPr defaultColWidth="9.140625" defaultRowHeight="13.5" x14ac:dyDescent="0.25"/>
  <cols>
    <col min="1" max="1" width="9.140625" style="143"/>
    <col min="2" max="2" width="1.28515625" style="143" customWidth="1"/>
    <col min="3" max="3" width="90.85546875" style="143" customWidth="1"/>
    <col min="4" max="16384" width="9.140625" style="143"/>
  </cols>
  <sheetData>
    <row r="1" spans="1:11" x14ac:dyDescent="0.25">
      <c r="C1" s="242"/>
    </row>
    <row r="2" spans="1:11" x14ac:dyDescent="0.25">
      <c r="C2" s="778" t="s">
        <v>847</v>
      </c>
      <c r="D2" s="246"/>
      <c r="E2" s="246"/>
    </row>
    <row r="3" spans="1:11" ht="20.25" x14ac:dyDescent="0.3">
      <c r="C3" s="1267" t="s">
        <v>274</v>
      </c>
      <c r="D3" s="215"/>
      <c r="E3" s="215"/>
      <c r="F3" s="215"/>
      <c r="G3" s="215"/>
    </row>
    <row r="5" spans="1:11" ht="17.25" x14ac:dyDescent="0.3">
      <c r="A5" s="1262" t="s">
        <v>845</v>
      </c>
      <c r="C5" s="232" t="s">
        <v>174</v>
      </c>
    </row>
    <row r="6" spans="1:11" x14ac:dyDescent="0.25">
      <c r="C6" s="142"/>
      <c r="D6" s="142"/>
      <c r="E6" s="142"/>
      <c r="F6" s="142"/>
      <c r="G6" s="142"/>
      <c r="H6" s="142"/>
      <c r="I6" s="142"/>
      <c r="J6" s="142"/>
      <c r="K6" s="142"/>
    </row>
    <row r="7" spans="1:11" ht="41.45" customHeight="1" x14ac:dyDescent="0.25">
      <c r="A7" s="1272" t="s">
        <v>262</v>
      </c>
      <c r="B7" s="1272"/>
      <c r="C7" s="1272"/>
      <c r="D7" s="1272"/>
      <c r="E7" s="142"/>
      <c r="F7" s="142"/>
      <c r="G7" s="142"/>
      <c r="H7" s="142"/>
      <c r="I7" s="142"/>
      <c r="J7" s="142"/>
      <c r="K7" s="142"/>
    </row>
    <row r="8" spans="1:11" x14ac:dyDescent="0.25">
      <c r="A8" s="774"/>
      <c r="B8" s="774"/>
      <c r="C8" s="774"/>
      <c r="D8" s="774"/>
      <c r="E8" s="142"/>
      <c r="F8" s="142"/>
      <c r="G8" s="142"/>
      <c r="H8" s="142"/>
      <c r="I8" s="142"/>
      <c r="J8" s="142"/>
      <c r="K8" s="142"/>
    </row>
    <row r="9" spans="1:11" x14ac:dyDescent="0.25">
      <c r="A9" s="233" t="s">
        <v>527</v>
      </c>
      <c r="B9" s="233"/>
      <c r="D9" s="233"/>
      <c r="E9" s="233"/>
      <c r="F9" s="233"/>
      <c r="G9" s="233"/>
      <c r="H9" s="233"/>
      <c r="I9" s="233"/>
    </row>
    <row r="10" spans="1:11" ht="8.25" customHeight="1" x14ac:dyDescent="0.25">
      <c r="A10" s="233"/>
      <c r="B10" s="233"/>
      <c r="D10" s="233"/>
      <c r="E10" s="233"/>
      <c r="F10" s="233"/>
      <c r="G10" s="233"/>
      <c r="H10" s="233"/>
      <c r="I10" s="233"/>
    </row>
    <row r="11" spans="1:11" ht="40.5" x14ac:dyDescent="0.25">
      <c r="A11" s="234" t="s">
        <v>13</v>
      </c>
      <c r="B11" s="235"/>
      <c r="C11" s="236" t="s">
        <v>534</v>
      </c>
      <c r="D11" s="237"/>
      <c r="E11" s="233"/>
      <c r="F11" s="233"/>
      <c r="G11" s="233"/>
      <c r="H11" s="233"/>
      <c r="I11" s="233"/>
    </row>
    <row r="12" spans="1:11" ht="8.25" customHeight="1" x14ac:dyDescent="0.25">
      <c r="A12" s="233"/>
      <c r="B12" s="233"/>
      <c r="D12" s="233"/>
      <c r="E12" s="233"/>
      <c r="F12" s="233"/>
      <c r="G12" s="233"/>
      <c r="H12" s="233"/>
      <c r="I12" s="233"/>
    </row>
    <row r="13" spans="1:11" x14ac:dyDescent="0.25">
      <c r="A13" s="234" t="s">
        <v>14</v>
      </c>
      <c r="B13" s="233"/>
      <c r="C13" s="143" t="s">
        <v>526</v>
      </c>
      <c r="D13" s="233"/>
      <c r="E13" s="233"/>
      <c r="F13" s="233"/>
      <c r="G13" s="233"/>
      <c r="H13" s="233"/>
      <c r="I13" s="233"/>
    </row>
    <row r="14" spans="1:11" ht="8.25" customHeight="1" x14ac:dyDescent="0.25">
      <c r="A14" s="625"/>
      <c r="B14" s="233"/>
      <c r="D14" s="233"/>
      <c r="E14" s="233"/>
      <c r="F14" s="233"/>
      <c r="G14" s="233"/>
      <c r="H14" s="233"/>
      <c r="I14" s="233"/>
    </row>
    <row r="15" spans="1:11" ht="54.75" customHeight="1" x14ac:dyDescent="0.25">
      <c r="A15" s="234" t="s">
        <v>15</v>
      </c>
      <c r="B15" s="239"/>
      <c r="C15" s="236" t="s">
        <v>535</v>
      </c>
      <c r="D15" s="233"/>
      <c r="E15" s="233"/>
      <c r="F15" s="233"/>
      <c r="G15" s="233"/>
      <c r="H15" s="233"/>
      <c r="I15" s="233"/>
    </row>
    <row r="16" spans="1:11" ht="8.25" customHeight="1" x14ac:dyDescent="0.25">
      <c r="A16" s="625"/>
      <c r="B16" s="233"/>
      <c r="D16" s="233"/>
      <c r="E16" s="233"/>
      <c r="F16" s="233"/>
      <c r="G16" s="233"/>
      <c r="H16" s="233"/>
      <c r="I16" s="233"/>
    </row>
    <row r="17" spans="1:9" ht="40.5" x14ac:dyDescent="0.25">
      <c r="A17" s="234" t="s">
        <v>17</v>
      </c>
      <c r="B17" s="239"/>
      <c r="C17" s="240" t="s">
        <v>318</v>
      </c>
      <c r="D17" s="233"/>
      <c r="E17" s="233"/>
      <c r="F17" s="233"/>
      <c r="G17" s="233"/>
      <c r="H17" s="233"/>
      <c r="I17" s="233"/>
    </row>
    <row r="18" spans="1:9" ht="8.1" customHeight="1" x14ac:dyDescent="0.25">
      <c r="A18" s="234"/>
      <c r="B18" s="239"/>
      <c r="C18" s="240"/>
      <c r="D18" s="233"/>
      <c r="E18" s="233"/>
      <c r="F18" s="233"/>
      <c r="G18" s="233"/>
      <c r="H18" s="233"/>
      <c r="I18" s="233"/>
    </row>
    <row r="19" spans="1:9" ht="44.25" customHeight="1" x14ac:dyDescent="0.25">
      <c r="A19" s="234" t="s">
        <v>18</v>
      </c>
      <c r="B19" s="239"/>
      <c r="C19" s="240" t="s">
        <v>523</v>
      </c>
      <c r="D19" s="233"/>
      <c r="E19" s="233"/>
      <c r="F19" s="233"/>
      <c r="G19" s="233"/>
      <c r="H19" s="233"/>
      <c r="I19" s="233"/>
    </row>
    <row r="20" spans="1:9" ht="8.1" customHeight="1" x14ac:dyDescent="0.25">
      <c r="A20" s="234"/>
      <c r="B20" s="239"/>
      <c r="C20" s="240"/>
      <c r="D20" s="233"/>
      <c r="E20" s="233"/>
      <c r="F20" s="233"/>
      <c r="G20" s="233"/>
      <c r="H20" s="233"/>
      <c r="I20" s="233"/>
    </row>
    <row r="21" spans="1:9" ht="42" customHeight="1" x14ac:dyDescent="0.25">
      <c r="A21" s="234" t="s">
        <v>19</v>
      </c>
      <c r="B21" s="239"/>
      <c r="C21" s="240" t="s">
        <v>524</v>
      </c>
      <c r="D21" s="233"/>
      <c r="E21" s="233"/>
      <c r="F21" s="233"/>
      <c r="G21" s="233"/>
      <c r="H21" s="233"/>
      <c r="I21" s="233"/>
    </row>
    <row r="22" spans="1:9" ht="8.25" customHeight="1" x14ac:dyDescent="0.25">
      <c r="A22" s="234"/>
      <c r="B22" s="239"/>
      <c r="C22" s="240"/>
      <c r="D22" s="233"/>
      <c r="E22" s="233"/>
      <c r="F22" s="233"/>
      <c r="G22" s="233"/>
      <c r="H22" s="233"/>
      <c r="I22" s="233"/>
    </row>
    <row r="23" spans="1:9" ht="40.5" x14ac:dyDescent="0.25">
      <c r="A23" s="234" t="s">
        <v>47</v>
      </c>
      <c r="B23" s="239"/>
      <c r="C23" s="240" t="s">
        <v>275</v>
      </c>
      <c r="D23" s="233"/>
      <c r="E23" s="233"/>
      <c r="F23" s="233"/>
      <c r="G23" s="233"/>
      <c r="H23" s="233"/>
      <c r="I23" s="233"/>
    </row>
    <row r="24" spans="1:9" x14ac:dyDescent="0.25">
      <c r="A24" s="238"/>
      <c r="B24" s="239"/>
      <c r="C24" s="240" t="s">
        <v>709</v>
      </c>
      <c r="D24" s="233"/>
      <c r="E24" s="233"/>
      <c r="F24" s="233"/>
      <c r="G24" s="233"/>
      <c r="H24" s="233"/>
      <c r="I24" s="233"/>
    </row>
    <row r="25" spans="1:9" ht="8.25" customHeight="1" x14ac:dyDescent="0.25">
      <c r="A25" s="238"/>
      <c r="B25" s="239"/>
      <c r="D25" s="233"/>
      <c r="E25" s="233"/>
      <c r="F25" s="233"/>
      <c r="G25" s="233"/>
      <c r="H25" s="233"/>
      <c r="I25" s="233"/>
    </row>
    <row r="26" spans="1:9" s="233" customFormat="1" ht="12.75" x14ac:dyDescent="0.2">
      <c r="A26" s="233" t="s">
        <v>37</v>
      </c>
    </row>
    <row r="27" spans="1:9" ht="8.25" customHeight="1" x14ac:dyDescent="0.25">
      <c r="D27" s="233"/>
      <c r="E27" s="233"/>
      <c r="F27" s="233"/>
      <c r="G27" s="233"/>
      <c r="H27" s="233"/>
      <c r="I27" s="233"/>
    </row>
    <row r="28" spans="1:9" x14ac:dyDescent="0.25">
      <c r="A28" s="238" t="s">
        <v>13</v>
      </c>
      <c r="C28" s="240" t="s">
        <v>16</v>
      </c>
      <c r="D28" s="233"/>
      <c r="E28" s="233"/>
      <c r="F28" s="233"/>
      <c r="G28" s="233"/>
      <c r="H28" s="233"/>
      <c r="I28" s="233"/>
    </row>
    <row r="29" spans="1:9" ht="8.25" customHeight="1" x14ac:dyDescent="0.25">
      <c r="D29" s="233"/>
      <c r="E29" s="233"/>
      <c r="F29" s="233"/>
      <c r="G29" s="233"/>
      <c r="H29" s="233"/>
      <c r="I29" s="233"/>
    </row>
    <row r="30" spans="1:9" x14ac:dyDescent="0.25">
      <c r="A30" s="238" t="s">
        <v>14</v>
      </c>
      <c r="C30" s="240" t="s">
        <v>528</v>
      </c>
      <c r="D30" s="233"/>
      <c r="E30" s="233"/>
      <c r="F30" s="233"/>
      <c r="G30" s="233"/>
      <c r="H30" s="233"/>
      <c r="I30" s="233"/>
    </row>
    <row r="31" spans="1:9" ht="8.25" customHeight="1" x14ac:dyDescent="0.25"/>
    <row r="32" spans="1:9" ht="13.5" customHeight="1" x14ac:dyDescent="0.25">
      <c r="A32" s="238" t="s">
        <v>15</v>
      </c>
      <c r="C32" s="240" t="s">
        <v>197</v>
      </c>
    </row>
    <row r="33" spans="1:14" ht="8.25" customHeight="1" x14ac:dyDescent="0.25">
      <c r="A33" s="238"/>
    </row>
    <row r="34" spans="1:14" x14ac:dyDescent="0.25">
      <c r="A34" s="238" t="s">
        <v>17</v>
      </c>
      <c r="C34" s="240" t="s">
        <v>198</v>
      </c>
      <c r="M34" s="241"/>
      <c r="N34" s="241"/>
    </row>
    <row r="35" spans="1:14" ht="8.25" customHeight="1" x14ac:dyDescent="0.25">
      <c r="M35" s="241"/>
      <c r="N35" s="241"/>
    </row>
    <row r="36" spans="1:14" ht="27" x14ac:dyDescent="0.25">
      <c r="A36" s="238" t="s">
        <v>18</v>
      </c>
      <c r="C36" s="240" t="s">
        <v>199</v>
      </c>
      <c r="M36" s="241"/>
      <c r="N36" s="241"/>
    </row>
    <row r="37" spans="1:14" ht="8.25" customHeight="1" x14ac:dyDescent="0.25"/>
    <row r="38" spans="1:14" ht="27" x14ac:dyDescent="0.25">
      <c r="A38" s="234" t="s">
        <v>19</v>
      </c>
      <c r="B38" s="242"/>
      <c r="C38" s="236" t="s">
        <v>525</v>
      </c>
      <c r="D38" s="243"/>
      <c r="M38" s="241"/>
      <c r="N38" s="241"/>
    </row>
    <row r="39" spans="1:14" ht="8.25" customHeight="1" x14ac:dyDescent="0.25">
      <c r="A39" s="234"/>
      <c r="B39" s="242"/>
      <c r="C39" s="236"/>
      <c r="D39" s="243"/>
      <c r="M39" s="241"/>
      <c r="N39" s="241"/>
    </row>
    <row r="40" spans="1:14" ht="69.75" customHeight="1" x14ac:dyDescent="0.25">
      <c r="A40" s="234" t="s">
        <v>47</v>
      </c>
      <c r="B40" s="242"/>
      <c r="C40" s="236" t="s">
        <v>624</v>
      </c>
      <c r="D40" s="243"/>
      <c r="M40" s="241"/>
      <c r="N40" s="241"/>
    </row>
    <row r="41" spans="1:14" ht="8.25" customHeight="1" x14ac:dyDescent="0.25"/>
    <row r="42" spans="1:14" ht="27" x14ac:dyDescent="0.25">
      <c r="A42" s="238" t="s">
        <v>240</v>
      </c>
      <c r="C42" s="240" t="s">
        <v>257</v>
      </c>
    </row>
    <row r="43" spans="1:14" ht="8.25" customHeight="1" x14ac:dyDescent="0.25">
      <c r="G43" s="244"/>
      <c r="H43" s="244"/>
      <c r="I43" s="244"/>
      <c r="J43" s="244"/>
      <c r="K43" s="244"/>
    </row>
    <row r="44" spans="1:14" ht="8.25" customHeight="1" x14ac:dyDescent="0.25">
      <c r="G44" s="244"/>
      <c r="H44" s="244"/>
      <c r="I44" s="244"/>
      <c r="J44" s="244"/>
      <c r="K44" s="244"/>
    </row>
  </sheetData>
  <sheetProtection password="DCF0" sheet="1" objects="1" scenarios="1"/>
  <mergeCells count="1">
    <mergeCell ref="A7:D7"/>
  </mergeCells>
  <phoneticPr fontId="12" type="noConversion"/>
  <pageMargins left="0.47244094488189003" right="0.47244094488189003" top="0.74803149606299202" bottom="0.74803149606299202" header="0.31496062992126" footer="0.31496062992126"/>
  <pageSetup paperSize="5" scale="50" orientation="portrait" r:id="rId1"/>
  <headerFooter alignWithMargins="0">
    <oddFooter>&amp;L&amp;F  
Tab: FGT&amp;A&amp;CPrinted: &amp;D &amp;T&amp;RPage &amp;P of &amp;N</oddFooter>
  </headerFooter>
  <ignoredErrors>
    <ignoredError sqref="A27:A33 A25" numberStoredAsText="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S92"/>
  <sheetViews>
    <sheetView showGridLines="0" view="pageBreakPreview" zoomScale="80" zoomScaleNormal="100" zoomScaleSheetLayoutView="80" workbookViewId="0">
      <pane ySplit="3" topLeftCell="A4" activePane="bottomLeft" state="frozen"/>
      <selection activeCell="A4" sqref="A4:O4"/>
      <selection pane="bottomLeft" activeCell="D50" sqref="D50"/>
    </sheetView>
  </sheetViews>
  <sheetFormatPr defaultColWidth="9.140625" defaultRowHeight="12.75" outlineLevelCol="1" x14ac:dyDescent="0.2"/>
  <cols>
    <col min="1" max="1" width="3.42578125" style="34" customWidth="1"/>
    <col min="2" max="2" width="15.28515625" style="34" customWidth="1"/>
    <col min="3" max="3" width="8.85546875" style="34" customWidth="1"/>
    <col min="4" max="4" width="13.42578125" style="34" customWidth="1"/>
    <col min="5" max="5" width="9.140625" style="34" customWidth="1"/>
    <col min="6" max="6" width="13" style="34" customWidth="1"/>
    <col min="7" max="7" width="2" style="52" customWidth="1"/>
    <col min="8" max="8" width="10" style="34" customWidth="1"/>
    <col min="9" max="9" width="11.42578125" style="34" customWidth="1"/>
    <col min="10" max="10" width="7.28515625" style="34" customWidth="1"/>
    <col min="11" max="11" width="4.28515625" style="34" customWidth="1"/>
    <col min="12" max="12" width="16.140625" style="34" customWidth="1"/>
    <col min="13" max="13" width="3.42578125" style="34" customWidth="1"/>
    <col min="14" max="14" width="39.42578125" style="1003" hidden="1" customWidth="1" outlineLevel="1"/>
    <col min="15" max="15" width="22.5703125" style="1003" hidden="1" customWidth="1" outlineLevel="1"/>
    <col min="16" max="16" width="9.140625" style="34" collapsed="1"/>
    <col min="17" max="19" width="9.140625" style="34"/>
    <col min="20" max="20" width="9.7109375" style="34" bestFit="1" customWidth="1"/>
    <col min="21" max="16384" width="9.140625" style="34"/>
  </cols>
  <sheetData>
    <row r="1" spans="1:16" s="141" customFormat="1" x14ac:dyDescent="0.2">
      <c r="A1" s="1274" t="str">
        <f>Instructions!C2</f>
        <v>Funding Template Version of 1Apr13</v>
      </c>
      <c r="B1" s="1274"/>
      <c r="C1" s="1274"/>
      <c r="D1" s="1274"/>
      <c r="E1" s="1274"/>
      <c r="F1" s="1274"/>
      <c r="G1" s="1274"/>
      <c r="H1" s="1274"/>
      <c r="I1" s="1274"/>
      <c r="J1" s="1274"/>
      <c r="K1" s="1274"/>
      <c r="L1" s="1274"/>
      <c r="M1" s="1274"/>
      <c r="N1" s="992" t="s">
        <v>50</v>
      </c>
      <c r="O1" s="992"/>
    </row>
    <row r="2" spans="1:16" s="141" customFormat="1" ht="20.25" x14ac:dyDescent="0.3">
      <c r="A2" s="1275" t="str">
        <f>Instructions!C3</f>
        <v>Funding Template - Union</v>
      </c>
      <c r="B2" s="1275"/>
      <c r="C2" s="1275"/>
      <c r="D2" s="1275"/>
      <c r="E2" s="1275"/>
      <c r="F2" s="1275"/>
      <c r="G2" s="1275"/>
      <c r="H2" s="1275"/>
      <c r="I2" s="1275"/>
      <c r="J2" s="1275"/>
      <c r="K2" s="1275"/>
      <c r="L2" s="1275"/>
      <c r="M2" s="1275"/>
      <c r="N2" s="992"/>
      <c r="O2" s="992"/>
    </row>
    <row r="3" spans="1:16" s="141" customFormat="1" ht="16.5" x14ac:dyDescent="0.25">
      <c r="A3" s="1276" t="s">
        <v>109</v>
      </c>
      <c r="B3" s="1276"/>
      <c r="C3" s="1276"/>
      <c r="D3" s="1276"/>
      <c r="E3" s="1276"/>
      <c r="F3" s="1276"/>
      <c r="G3" s="1276"/>
      <c r="H3" s="1276"/>
      <c r="I3" s="1276"/>
      <c r="J3" s="1276"/>
      <c r="K3" s="1276"/>
      <c r="L3" s="1276"/>
      <c r="M3" s="1276"/>
      <c r="N3" s="992"/>
      <c r="O3" s="992"/>
    </row>
    <row r="5" spans="1:16" s="141" customFormat="1" ht="15" x14ac:dyDescent="0.2">
      <c r="A5" s="1277" t="s">
        <v>532</v>
      </c>
      <c r="B5" s="1277"/>
      <c r="C5" s="1277"/>
      <c r="D5" s="1277"/>
      <c r="E5" s="1277"/>
      <c r="F5" s="1277"/>
      <c r="G5" s="1277"/>
      <c r="H5" s="1277"/>
      <c r="I5" s="1277"/>
      <c r="J5" s="1277"/>
      <c r="K5" s="1277"/>
      <c r="L5" s="1277"/>
      <c r="M5" s="1277"/>
      <c r="N5" s="992"/>
      <c r="O5" s="992"/>
    </row>
    <row r="6" spans="1:16" s="216" customFormat="1" ht="6" customHeight="1" x14ac:dyDescent="0.2">
      <c r="B6" s="217"/>
      <c r="C6" s="217"/>
      <c r="D6" s="218"/>
      <c r="E6" s="218"/>
      <c r="F6" s="219"/>
      <c r="G6" s="219"/>
      <c r="H6" s="219"/>
      <c r="I6" s="141"/>
      <c r="J6" s="141"/>
      <c r="K6" s="141"/>
      <c r="L6" s="141"/>
      <c r="M6" s="141"/>
      <c r="N6" s="992"/>
      <c r="O6" s="992"/>
      <c r="P6" s="141"/>
    </row>
    <row r="7" spans="1:16" s="216" customFormat="1" ht="13.5" thickBot="1" x14ac:dyDescent="0.25">
      <c r="B7" s="1278" t="s">
        <v>605</v>
      </c>
      <c r="C7" s="1278"/>
      <c r="D7" s="1279" t="s">
        <v>848</v>
      </c>
      <c r="E7" s="1279"/>
      <c r="F7" s="1279"/>
      <c r="G7" s="221"/>
      <c r="H7" s="1278" t="s">
        <v>239</v>
      </c>
      <c r="I7" s="1278"/>
      <c r="J7" s="1280">
        <v>986166</v>
      </c>
      <c r="K7" s="1280"/>
      <c r="L7" s="1280"/>
      <c r="M7" s="141"/>
      <c r="N7" s="992"/>
      <c r="O7" s="992"/>
      <c r="P7" s="141"/>
    </row>
    <row r="8" spans="1:16" s="216" customFormat="1" ht="6" customHeight="1" x14ac:dyDescent="0.2">
      <c r="B8" s="220"/>
      <c r="C8" s="220"/>
      <c r="D8" s="218"/>
      <c r="E8" s="218"/>
      <c r="H8" s="219"/>
      <c r="I8" s="141"/>
      <c r="J8" s="141"/>
      <c r="K8" s="141"/>
      <c r="L8" s="141"/>
      <c r="M8" s="141"/>
      <c r="N8" s="992"/>
      <c r="O8" s="992"/>
      <c r="P8" s="141"/>
    </row>
    <row r="9" spans="1:16" s="216" customFormat="1" ht="13.5" thickBot="1" x14ac:dyDescent="0.25">
      <c r="B9" s="1278" t="s">
        <v>602</v>
      </c>
      <c r="C9" s="1278"/>
      <c r="D9" s="1279"/>
      <c r="E9" s="1279"/>
      <c r="F9" s="1279"/>
      <c r="G9" s="221"/>
      <c r="H9" s="1278" t="s">
        <v>277</v>
      </c>
      <c r="I9" s="1278"/>
      <c r="J9" s="1279" t="s">
        <v>180</v>
      </c>
      <c r="K9" s="1279"/>
      <c r="L9" s="1279"/>
      <c r="M9" s="141"/>
      <c r="N9" s="992"/>
      <c r="O9" s="992"/>
      <c r="P9" s="141"/>
    </row>
    <row r="10" spans="1:16" s="216" customFormat="1" ht="6" customHeight="1" x14ac:dyDescent="0.2">
      <c r="B10" s="217"/>
      <c r="C10" s="217"/>
      <c r="D10" s="218"/>
      <c r="E10" s="218"/>
      <c r="H10" s="893"/>
      <c r="I10" s="893"/>
      <c r="J10" s="141"/>
      <c r="K10" s="141"/>
      <c r="L10" s="141"/>
      <c r="M10" s="141"/>
      <c r="N10" s="992"/>
      <c r="O10" s="992"/>
      <c r="P10" s="141"/>
    </row>
    <row r="11" spans="1:16" s="216" customFormat="1" ht="13.5" thickBot="1" x14ac:dyDescent="0.25">
      <c r="B11" s="1278" t="s">
        <v>20</v>
      </c>
      <c r="C11" s="1278"/>
      <c r="D11" s="1281"/>
      <c r="E11" s="1282"/>
      <c r="F11" s="1282"/>
      <c r="G11" s="222"/>
      <c r="H11" s="1278" t="s">
        <v>21</v>
      </c>
      <c r="I11" s="1278"/>
      <c r="J11" s="1283">
        <v>37.5</v>
      </c>
      <c r="K11" s="1283"/>
      <c r="L11" s="1283"/>
      <c r="M11" s="141"/>
      <c r="N11" s="992"/>
      <c r="O11" s="992"/>
      <c r="P11" s="141"/>
    </row>
    <row r="12" spans="1:16" s="216" customFormat="1" ht="6" customHeight="1" x14ac:dyDescent="0.2">
      <c r="B12" s="217"/>
      <c r="C12" s="217"/>
      <c r="D12" s="218"/>
      <c r="E12" s="218"/>
      <c r="H12" s="893"/>
      <c r="I12" s="893"/>
      <c r="J12" s="141"/>
      <c r="K12" s="141"/>
      <c r="L12" s="141"/>
      <c r="M12" s="141"/>
      <c r="N12" s="992"/>
      <c r="O12" s="992"/>
      <c r="P12" s="141"/>
    </row>
    <row r="13" spans="1:16" s="216" customFormat="1" ht="13.5" thickBot="1" x14ac:dyDescent="0.25">
      <c r="B13" s="1278" t="s">
        <v>10</v>
      </c>
      <c r="C13" s="1278"/>
      <c r="D13" s="1279"/>
      <c r="E13" s="1279"/>
      <c r="F13" s="1279"/>
      <c r="G13" s="221"/>
      <c r="H13" s="1278" t="s">
        <v>603</v>
      </c>
      <c r="I13" s="1278"/>
      <c r="J13" s="1279" t="s">
        <v>48</v>
      </c>
      <c r="K13" s="1279"/>
      <c r="L13" s="1279"/>
      <c r="M13" s="141"/>
      <c r="N13" s="993">
        <f>IF(J13="Non-Residential",0,1)</f>
        <v>0</v>
      </c>
      <c r="O13" s="994"/>
      <c r="P13" s="141"/>
    </row>
    <row r="14" spans="1:16" s="216" customFormat="1" ht="6" customHeight="1" x14ac:dyDescent="0.2">
      <c r="B14" s="217"/>
      <c r="C14" s="217"/>
      <c r="D14" s="218"/>
      <c r="E14" s="218"/>
      <c r="F14" s="219"/>
      <c r="G14" s="219"/>
      <c r="H14" s="893"/>
      <c r="I14" s="893"/>
      <c r="J14" s="141"/>
      <c r="K14" s="141"/>
      <c r="L14" s="141"/>
      <c r="M14" s="141"/>
      <c r="N14" s="993"/>
      <c r="O14" s="994"/>
      <c r="P14" s="141"/>
    </row>
    <row r="15" spans="1:16" s="216" customFormat="1" ht="13.5" thickBot="1" x14ac:dyDescent="0.25">
      <c r="B15" s="1285" t="s">
        <v>621</v>
      </c>
      <c r="C15" s="1285"/>
      <c r="D15" s="1279">
        <v>1</v>
      </c>
      <c r="E15" s="1279"/>
      <c r="F15" s="1279"/>
      <c r="G15" s="219"/>
      <c r="H15" s="1285" t="s">
        <v>335</v>
      </c>
      <c r="I15" s="1286"/>
      <c r="J15" s="1283">
        <v>0</v>
      </c>
      <c r="K15" s="1283"/>
      <c r="L15" s="1283"/>
      <c r="M15" s="494"/>
      <c r="N15" s="995">
        <f>IF(N13=1,0,36)</f>
        <v>36</v>
      </c>
      <c r="O15" s="996"/>
    </row>
    <row r="16" spans="1:16" s="216" customFormat="1" ht="6" customHeight="1" x14ac:dyDescent="0.2">
      <c r="B16" s="223"/>
      <c r="C16" s="223"/>
      <c r="D16" s="221"/>
      <c r="E16" s="221"/>
      <c r="F16" s="221"/>
      <c r="G16" s="219"/>
      <c r="H16" s="219"/>
      <c r="I16" s="141"/>
      <c r="J16" s="141"/>
      <c r="K16" s="141"/>
      <c r="L16" s="141"/>
      <c r="M16" s="494"/>
      <c r="N16" s="997"/>
      <c r="O16" s="997"/>
      <c r="P16" s="141"/>
    </row>
    <row r="17" spans="1:16" s="216" customFormat="1" ht="13.5" thickBot="1" x14ac:dyDescent="0.25">
      <c r="B17" s="217"/>
      <c r="C17" s="217"/>
      <c r="D17" s="221"/>
      <c r="E17" s="221"/>
      <c r="F17" s="219"/>
      <c r="G17" s="219"/>
      <c r="H17" s="1284" t="s">
        <v>814</v>
      </c>
      <c r="I17" s="1284"/>
      <c r="J17" s="1279" t="s">
        <v>289</v>
      </c>
      <c r="K17" s="1279"/>
      <c r="L17" s="1279"/>
      <c r="M17" s="141"/>
      <c r="N17" s="997"/>
      <c r="O17" s="997"/>
      <c r="P17" s="141"/>
    </row>
    <row r="18" spans="1:16" s="216" customFormat="1" ht="11.25" customHeight="1" x14ac:dyDescent="0.2">
      <c r="B18" s="217"/>
      <c r="C18" s="217"/>
      <c r="D18" s="221"/>
      <c r="E18" s="221"/>
      <c r="F18" s="219"/>
      <c r="G18" s="219"/>
      <c r="H18" s="892"/>
      <c r="I18" s="892"/>
      <c r="J18" s="221"/>
      <c r="K18" s="221"/>
      <c r="L18" s="221"/>
      <c r="N18" s="992"/>
      <c r="O18" s="992"/>
      <c r="P18" s="141"/>
    </row>
    <row r="19" spans="1:16" s="141" customFormat="1" x14ac:dyDescent="0.2">
      <c r="A19" s="1278" t="s">
        <v>604</v>
      </c>
      <c r="B19" s="1278"/>
      <c r="C19" s="1278"/>
      <c r="D19" s="201"/>
      <c r="E19" s="201"/>
      <c r="F19" s="201"/>
      <c r="G19" s="212"/>
      <c r="N19" s="992"/>
      <c r="O19" s="992"/>
    </row>
    <row r="20" spans="1:16" s="141" customFormat="1" ht="6" customHeight="1" x14ac:dyDescent="0.2">
      <c r="A20" s="890"/>
      <c r="B20" s="891"/>
      <c r="C20" s="891"/>
      <c r="D20" s="201"/>
      <c r="E20" s="201"/>
      <c r="F20" s="201"/>
      <c r="G20" s="212"/>
      <c r="H20" s="212"/>
      <c r="I20" s="212"/>
      <c r="J20" s="212"/>
      <c r="K20" s="219"/>
      <c r="L20" s="219"/>
      <c r="N20" s="992"/>
      <c r="O20" s="992"/>
    </row>
    <row r="21" spans="1:16" s="141" customFormat="1" ht="13.5" thickBot="1" x14ac:dyDescent="0.25">
      <c r="B21" s="1278" t="s">
        <v>200</v>
      </c>
      <c r="C21" s="1278"/>
      <c r="D21" s="1288" t="s">
        <v>849</v>
      </c>
      <c r="E21" s="1288"/>
      <c r="F21" s="1288"/>
      <c r="G21" s="212"/>
      <c r="H21" s="1294" t="s">
        <v>841</v>
      </c>
      <c r="I21" s="1294"/>
      <c r="J21" s="1292"/>
      <c r="K21" s="1292"/>
      <c r="L21" s="1292"/>
      <c r="N21" s="992"/>
      <c r="O21" s="992"/>
    </row>
    <row r="22" spans="1:16" s="219" customFormat="1" ht="6" customHeight="1" x14ac:dyDescent="0.2">
      <c r="B22" s="217"/>
      <c r="C22" s="217"/>
      <c r="D22" s="221"/>
      <c r="E22" s="221"/>
      <c r="F22" s="221"/>
      <c r="G22" s="212"/>
      <c r="H22" s="1294"/>
      <c r="I22" s="1294"/>
      <c r="J22" s="1292"/>
      <c r="K22" s="1292"/>
      <c r="L22" s="1292"/>
      <c r="N22" s="994"/>
      <c r="O22" s="994"/>
    </row>
    <row r="23" spans="1:16" s="141" customFormat="1" ht="13.5" thickBot="1" x14ac:dyDescent="0.25">
      <c r="B23" s="1278" t="s">
        <v>263</v>
      </c>
      <c r="C23" s="1278"/>
      <c r="D23" s="1288" t="s">
        <v>850</v>
      </c>
      <c r="E23" s="1288"/>
      <c r="F23" s="1288"/>
      <c r="G23" s="212"/>
      <c r="H23" s="1294"/>
      <c r="I23" s="1294"/>
      <c r="J23" s="1293"/>
      <c r="K23" s="1293"/>
      <c r="L23" s="1293"/>
      <c r="N23" s="992"/>
      <c r="O23" s="992"/>
    </row>
    <row r="24" spans="1:16" s="219" customFormat="1" ht="6" customHeight="1" x14ac:dyDescent="0.2">
      <c r="B24" s="217"/>
      <c r="C24" s="217"/>
      <c r="D24" s="221"/>
      <c r="E24" s="221"/>
      <c r="F24" s="221"/>
      <c r="G24" s="212"/>
      <c r="H24" s="141"/>
      <c r="I24" s="141"/>
      <c r="J24" s="141"/>
      <c r="K24" s="141"/>
      <c r="L24" s="141"/>
      <c r="N24" s="994"/>
      <c r="O24" s="994"/>
    </row>
    <row r="25" spans="1:16" s="141" customFormat="1" ht="13.5" customHeight="1" thickBot="1" x14ac:dyDescent="0.25">
      <c r="B25" s="1278" t="s">
        <v>201</v>
      </c>
      <c r="C25" s="1278"/>
      <c r="D25" s="1288" t="s">
        <v>851</v>
      </c>
      <c r="E25" s="1288"/>
      <c r="F25" s="1288"/>
      <c r="G25" s="212"/>
      <c r="H25" s="1273" t="str">
        <f>IF(AND(J31&gt;0,J34&gt;0),"ERROR ALERT:  You are indicating grid % changes for BOTH employer associations.  Please review your employer association above, and choose the correct one (and only one) below to enter data.","")</f>
        <v/>
      </c>
      <c r="I25" s="1273"/>
      <c r="J25" s="1273"/>
      <c r="K25" s="1273"/>
      <c r="L25" s="1273"/>
      <c r="N25" s="992"/>
      <c r="O25" s="992"/>
    </row>
    <row r="26" spans="1:16" s="219" customFormat="1" ht="6" customHeight="1" x14ac:dyDescent="0.2">
      <c r="B26" s="217"/>
      <c r="C26" s="217"/>
      <c r="D26" s="221"/>
      <c r="E26" s="221"/>
      <c r="F26" s="221"/>
      <c r="G26" s="212"/>
      <c r="H26" s="1273"/>
      <c r="I26" s="1273"/>
      <c r="J26" s="1273"/>
      <c r="K26" s="1273"/>
      <c r="L26" s="1273"/>
      <c r="N26" s="994"/>
      <c r="O26" s="994"/>
    </row>
    <row r="27" spans="1:16" s="141" customFormat="1" ht="13.5" thickBot="1" x14ac:dyDescent="0.25">
      <c r="B27" s="1278" t="s">
        <v>202</v>
      </c>
      <c r="C27" s="1278"/>
      <c r="D27" s="1288" t="s">
        <v>852</v>
      </c>
      <c r="E27" s="1288"/>
      <c r="F27" s="1288"/>
      <c r="G27" s="212"/>
      <c r="H27" s="1273"/>
      <c r="I27" s="1273"/>
      <c r="J27" s="1273"/>
      <c r="K27" s="1273"/>
      <c r="L27" s="1273"/>
      <c r="N27" s="992"/>
      <c r="O27" s="992"/>
    </row>
    <row r="28" spans="1:16" s="141" customFormat="1" x14ac:dyDescent="0.2">
      <c r="B28" s="202"/>
      <c r="C28" s="202"/>
      <c r="D28" s="201"/>
      <c r="E28" s="201"/>
      <c r="F28" s="201"/>
      <c r="G28" s="212"/>
      <c r="H28" s="1273"/>
      <c r="I28" s="1273"/>
      <c r="J28" s="1273"/>
      <c r="K28" s="1273"/>
      <c r="L28" s="1273"/>
      <c r="N28" s="992"/>
      <c r="O28" s="992"/>
    </row>
    <row r="29" spans="1:16" s="141" customFormat="1" x14ac:dyDescent="0.2">
      <c r="A29" s="381" t="s">
        <v>770</v>
      </c>
      <c r="B29" s="202"/>
      <c r="C29" s="202"/>
      <c r="D29" s="212"/>
      <c r="E29" s="212"/>
      <c r="F29" s="212"/>
      <c r="G29" s="212"/>
      <c r="H29" s="1273"/>
      <c r="I29" s="1273"/>
      <c r="J29" s="1273"/>
      <c r="K29" s="1273"/>
      <c r="L29" s="1273"/>
      <c r="N29" s="992"/>
      <c r="O29" s="992"/>
    </row>
    <row r="30" spans="1:16" s="141" customFormat="1" ht="6" customHeight="1" x14ac:dyDescent="0.2">
      <c r="A30" s="381"/>
      <c r="B30" s="202"/>
      <c r="C30" s="202"/>
      <c r="D30" s="201"/>
      <c r="E30" s="201"/>
      <c r="F30" s="201"/>
      <c r="G30" s="212"/>
      <c r="H30" s="212"/>
      <c r="I30" s="212"/>
      <c r="J30" s="212"/>
      <c r="K30" s="219"/>
      <c r="L30" s="219"/>
      <c r="N30" s="992"/>
      <c r="O30" s="992"/>
    </row>
    <row r="31" spans="1:16" s="141" customFormat="1" ht="13.5" thickBot="1" x14ac:dyDescent="0.25">
      <c r="B31" s="1289" t="s">
        <v>824</v>
      </c>
      <c r="C31" s="1289"/>
      <c r="D31" s="1290" t="s">
        <v>829</v>
      </c>
      <c r="E31" s="1290"/>
      <c r="F31" s="1290"/>
      <c r="G31" s="212"/>
      <c r="H31" s="1285" t="s">
        <v>771</v>
      </c>
      <c r="I31" s="1285"/>
      <c r="J31" s="1287"/>
      <c r="K31" s="1287"/>
      <c r="L31" s="1287"/>
      <c r="N31" s="998">
        <f>ROUND(J31,4)</f>
        <v>0</v>
      </c>
      <c r="O31" s="992" t="s">
        <v>826</v>
      </c>
    </row>
    <row r="32" spans="1:16" s="141" customFormat="1" ht="13.5" thickBot="1" x14ac:dyDescent="0.25">
      <c r="B32" s="1289"/>
      <c r="C32" s="1289"/>
      <c r="D32" s="1291"/>
      <c r="E32" s="1291"/>
      <c r="F32" s="1291"/>
      <c r="G32" s="212"/>
      <c r="H32" s="761" t="str">
        <f>IF(AND(D31="(CURRENT) January 1 2014 ",NOT(J31=0)),"ERROR ALERT: You CANNOT input a Grid % Increase if you selected '(CURRENT) January 1 2014' from the left - you must fix before proceeding.","")</f>
        <v/>
      </c>
      <c r="I32" s="212"/>
      <c r="J32" s="212"/>
      <c r="K32" s="219"/>
      <c r="L32" s="219"/>
      <c r="N32" s="992"/>
      <c r="O32" s="992"/>
    </row>
    <row r="33" spans="1:15" s="216" customFormat="1" x14ac:dyDescent="0.2">
      <c r="B33" s="873"/>
      <c r="C33" s="873"/>
      <c r="D33" s="874"/>
      <c r="E33" s="874"/>
      <c r="F33" s="874"/>
      <c r="G33" s="212"/>
      <c r="H33" s="761" t="str">
        <f>IF(AND(D31="(New) Post-January 1 2014",J31=0),"ERROR ALERT: You CANNOT have a nil/blank Grid % Increase, if you are indicating (NEW) Post-January 1 2014 to the left.","")</f>
        <v/>
      </c>
      <c r="I33" s="212"/>
      <c r="J33" s="212"/>
      <c r="K33" s="219"/>
      <c r="L33" s="219"/>
      <c r="N33" s="992"/>
      <c r="O33" s="992"/>
    </row>
    <row r="34" spans="1:15" s="216" customFormat="1" ht="13.5" thickBot="1" x14ac:dyDescent="0.25">
      <c r="B34" s="1289" t="s">
        <v>825</v>
      </c>
      <c r="C34" s="1289"/>
      <c r="D34" s="1290" t="s">
        <v>829</v>
      </c>
      <c r="E34" s="1290"/>
      <c r="F34" s="1290"/>
      <c r="G34" s="212"/>
      <c r="H34" s="1285" t="s">
        <v>771</v>
      </c>
      <c r="I34" s="1285"/>
      <c r="J34" s="1287"/>
      <c r="K34" s="1287"/>
      <c r="L34" s="1287"/>
      <c r="N34" s="998">
        <f>ROUND(J34,4)</f>
        <v>0</v>
      </c>
      <c r="O34" s="992" t="s">
        <v>827</v>
      </c>
    </row>
    <row r="35" spans="1:15" s="216" customFormat="1" ht="13.5" thickBot="1" x14ac:dyDescent="0.25">
      <c r="B35" s="1289"/>
      <c r="C35" s="1289"/>
      <c r="D35" s="1291"/>
      <c r="E35" s="1291"/>
      <c r="F35" s="1291"/>
      <c r="G35" s="212"/>
      <c r="H35" s="761" t="str">
        <f>IF(AND(D34="(CURRENT) January 1 2014 ",NOT(J34=0)),"ERROR ALERT: You CANNOT input a Grid % Increase if you selected '(CURRENT) January 1 2014' from the left - you must fix before proceeding.","")</f>
        <v/>
      </c>
      <c r="I35" s="212"/>
      <c r="J35" s="212"/>
      <c r="K35" s="219"/>
      <c r="L35" s="219"/>
      <c r="N35" s="992"/>
      <c r="O35" s="992"/>
    </row>
    <row r="36" spans="1:15" s="216" customFormat="1" x14ac:dyDescent="0.2">
      <c r="B36" s="873"/>
      <c r="C36" s="873"/>
      <c r="D36" s="1225"/>
      <c r="E36" s="1225"/>
      <c r="F36" s="1225"/>
      <c r="G36" s="212"/>
      <c r="H36" s="761" t="str">
        <f>IF(AND(D34="(New) Post-January 1 2014",J34=0),"ERROR ALERT: You CANNOT have a nil/blank Grid % Increase, if you are indicating (NEW) Post-January 1 2014 to the left.","")</f>
        <v/>
      </c>
      <c r="I36" s="212"/>
      <c r="J36" s="212"/>
      <c r="K36" s="219"/>
      <c r="L36" s="219"/>
      <c r="N36" s="992"/>
      <c r="O36" s="992"/>
    </row>
    <row r="37" spans="1:15" s="216" customFormat="1" ht="13.5" thickBot="1" x14ac:dyDescent="0.25">
      <c r="B37" s="1289" t="s">
        <v>772</v>
      </c>
      <c r="C37" s="1289"/>
      <c r="D37" s="1290" t="s">
        <v>829</v>
      </c>
      <c r="E37" s="1290"/>
      <c r="F37" s="1290"/>
      <c r="G37" s="212"/>
      <c r="H37" s="1285" t="s">
        <v>773</v>
      </c>
      <c r="I37" s="1285"/>
      <c r="J37" s="1295"/>
      <c r="K37" s="1295"/>
      <c r="L37" s="1295"/>
      <c r="N37" s="999">
        <f>ROUND(J37,2)</f>
        <v>0</v>
      </c>
      <c r="O37" s="992" t="s">
        <v>774</v>
      </c>
    </row>
    <row r="38" spans="1:15" s="141" customFormat="1" ht="13.5" thickBot="1" x14ac:dyDescent="0.25">
      <c r="B38" s="1289"/>
      <c r="C38" s="1289"/>
      <c r="D38" s="1291"/>
      <c r="E38" s="1291"/>
      <c r="F38" s="1291"/>
      <c r="G38" s="212"/>
      <c r="H38" s="761" t="str">
        <f>IF(AND(D37="(CURRENT) January 1 2014 ",NOT(J37=0)),"ERROR ALERT: You CANNOT input a new Supervisor Hourly Rate if you selected '(CURRENT) January 1 2014' from the left - you must fix before proceeding.","")</f>
        <v/>
      </c>
      <c r="I38" s="212"/>
      <c r="J38" s="212"/>
      <c r="K38" s="219"/>
      <c r="L38" s="219"/>
      <c r="N38" s="992"/>
      <c r="O38" s="992"/>
    </row>
    <row r="39" spans="1:15" s="141" customFormat="1" x14ac:dyDescent="0.2">
      <c r="B39" s="1273" t="str">
        <f>IF(OR(AND(J9="CSSEA",J31=0,J34&gt;0),AND(J9="Heabc",J31&gt;0,J34=0)),"ERROR ALERT:  The Employer Association you selected farther above does not appear to match with the wage grid data entry you are making immediately above.  Please check and fix.","")</f>
        <v/>
      </c>
      <c r="C39" s="1273"/>
      <c r="D39" s="1273"/>
      <c r="E39" s="1273"/>
      <c r="F39" s="1273"/>
      <c r="G39" s="212"/>
      <c r="H39" s="761" t="str">
        <f>IF(AND(D37="(New) Post-January 1 2014",J37=0),"ERROR ALERT: You CANNOT input a new Supervisor Hourly Rate if you selected '(CURRENT) January 1 2014' from the left.","")</f>
        <v/>
      </c>
      <c r="I39" s="212"/>
      <c r="J39" s="212"/>
      <c r="K39" s="219"/>
      <c r="L39" s="219"/>
      <c r="N39" s="992"/>
      <c r="O39" s="992"/>
    </row>
    <row r="40" spans="1:15" s="141" customFormat="1" ht="12.75" customHeight="1" x14ac:dyDescent="0.2">
      <c r="B40" s="1273"/>
      <c r="C40" s="1273"/>
      <c r="D40" s="1273"/>
      <c r="E40" s="1273"/>
      <c r="F40" s="1273"/>
      <c r="G40" s="212"/>
      <c r="H40" s="761" t="str">
        <f>IF(J37&lt;0,"ERROR ALERT:  You CANNOT have a 'negative' hourly rate.  Please fix.","")</f>
        <v/>
      </c>
      <c r="I40" s="212"/>
      <c r="J40" s="212"/>
      <c r="K40" s="219"/>
      <c r="L40" s="219"/>
      <c r="N40" s="992"/>
      <c r="O40" s="992"/>
    </row>
    <row r="41" spans="1:15" s="141" customFormat="1" x14ac:dyDescent="0.2">
      <c r="B41" s="1273"/>
      <c r="C41" s="1273"/>
      <c r="D41" s="1273"/>
      <c r="E41" s="1273"/>
      <c r="F41" s="1273"/>
      <c r="G41" s="212"/>
      <c r="H41" s="212"/>
      <c r="I41" s="212"/>
      <c r="J41" s="212"/>
      <c r="K41" s="219"/>
      <c r="L41" s="219"/>
      <c r="N41" s="992"/>
      <c r="O41" s="992"/>
    </row>
    <row r="42" spans="1:15" s="141" customFormat="1" ht="15" x14ac:dyDescent="0.2">
      <c r="A42" s="224" t="s">
        <v>533</v>
      </c>
      <c r="B42" s="889"/>
      <c r="C42" s="889"/>
      <c r="D42" s="889"/>
      <c r="E42" s="889"/>
      <c r="F42" s="889"/>
      <c r="G42" s="889"/>
      <c r="H42" s="201"/>
      <c r="I42" s="201"/>
      <c r="J42" s="201"/>
      <c r="M42" s="889"/>
      <c r="N42" s="1000"/>
      <c r="O42" s="1000"/>
    </row>
    <row r="43" spans="1:15" s="141" customFormat="1" ht="15" x14ac:dyDescent="0.2">
      <c r="A43" s="225" t="s">
        <v>126</v>
      </c>
      <c r="B43" s="226"/>
      <c r="C43" s="226"/>
      <c r="D43" s="226"/>
      <c r="E43" s="226"/>
      <c r="F43" s="226"/>
      <c r="G43" s="226"/>
      <c r="H43" s="212"/>
      <c r="I43" s="212"/>
      <c r="J43" s="212"/>
      <c r="K43" s="219"/>
      <c r="L43" s="219"/>
      <c r="M43" s="889"/>
      <c r="N43" s="1000"/>
      <c r="O43" s="1000"/>
    </row>
    <row r="44" spans="1:15" s="141" customFormat="1" x14ac:dyDescent="0.2">
      <c r="B44" s="202"/>
      <c r="C44" s="202"/>
      <c r="D44" s="201"/>
      <c r="E44" s="201"/>
      <c r="F44" s="201"/>
      <c r="G44" s="212"/>
      <c r="I44" s="201"/>
      <c r="J44" s="201"/>
      <c r="N44" s="1000"/>
      <c r="O44" s="1000"/>
    </row>
    <row r="45" spans="1:15" s="141" customFormat="1" ht="13.5" thickBot="1" x14ac:dyDescent="0.25">
      <c r="B45" s="1278" t="s">
        <v>110</v>
      </c>
      <c r="C45" s="1278"/>
      <c r="D45" s="1297">
        <v>8.5800000000000001E-2</v>
      </c>
      <c r="E45" s="1297"/>
      <c r="F45" s="1297"/>
      <c r="G45" s="221"/>
      <c r="H45" s="201"/>
      <c r="I45" s="201"/>
      <c r="J45" s="201"/>
      <c r="N45" s="1001"/>
      <c r="O45" s="1001"/>
    </row>
    <row r="46" spans="1:15" s="141" customFormat="1" ht="6" customHeight="1" x14ac:dyDescent="0.2">
      <c r="B46" s="217"/>
      <c r="C46" s="217"/>
      <c r="D46" s="228"/>
      <c r="E46" s="228"/>
      <c r="F46" s="229"/>
      <c r="G46" s="230"/>
      <c r="N46" s="1000"/>
      <c r="O46" s="1000"/>
    </row>
    <row r="47" spans="1:15" s="141" customFormat="1" ht="13.5" thickBot="1" x14ac:dyDescent="0.25">
      <c r="B47" s="1285" t="s">
        <v>111</v>
      </c>
      <c r="C47" s="1285"/>
      <c r="D47" s="1297">
        <v>0.7228</v>
      </c>
      <c r="E47" s="1297"/>
      <c r="F47" s="1297"/>
      <c r="G47" s="221"/>
      <c r="H47" s="217"/>
      <c r="I47" s="201"/>
      <c r="J47" s="201"/>
      <c r="K47" s="227"/>
      <c r="N47" s="1000"/>
      <c r="O47" s="1000"/>
    </row>
    <row r="48" spans="1:15" s="216" customFormat="1" ht="6" customHeight="1" x14ac:dyDescent="0.2">
      <c r="B48" s="217"/>
      <c r="C48" s="217"/>
      <c r="D48" s="231"/>
      <c r="E48" s="231"/>
      <c r="F48" s="231"/>
      <c r="G48" s="221"/>
      <c r="H48" s="217"/>
      <c r="I48" s="201"/>
      <c r="J48" s="201"/>
      <c r="K48" s="227"/>
      <c r="L48" s="141"/>
      <c r="N48" s="1000"/>
      <c r="O48" s="1000"/>
    </row>
    <row r="49" spans="1:15" s="141" customFormat="1" ht="13.5" thickBot="1" x14ac:dyDescent="0.25">
      <c r="B49" s="1278" t="s">
        <v>121</v>
      </c>
      <c r="C49" s="1278"/>
      <c r="D49" s="1297">
        <f>3.95%*0.7</f>
        <v>2.7649999999999997E-2</v>
      </c>
      <c r="E49" s="1297"/>
      <c r="F49" s="1297"/>
      <c r="G49" s="212"/>
      <c r="H49" s="217"/>
      <c r="I49" s="201"/>
      <c r="J49" s="201"/>
      <c r="K49" s="227"/>
      <c r="N49" s="1001"/>
      <c r="O49" s="1001"/>
    </row>
    <row r="50" spans="1:15" s="141" customFormat="1" x14ac:dyDescent="0.2">
      <c r="B50" s="202"/>
      <c r="C50" s="202"/>
      <c r="D50" s="201"/>
      <c r="E50" s="201"/>
      <c r="F50" s="201"/>
      <c r="G50" s="212"/>
      <c r="H50" s="217"/>
      <c r="I50" s="212"/>
      <c r="J50" s="212"/>
      <c r="K50" s="230"/>
      <c r="L50" s="216"/>
      <c r="N50" s="1002"/>
      <c r="O50" s="1002"/>
    </row>
    <row r="51" spans="1:15" s="141" customFormat="1" x14ac:dyDescent="0.2">
      <c r="B51" s="1298" t="s">
        <v>462</v>
      </c>
      <c r="C51" s="1299"/>
      <c r="D51" s="1300"/>
      <c r="E51" s="1300"/>
      <c r="F51" s="1300"/>
      <c r="G51" s="1300"/>
      <c r="H51" s="1300"/>
      <c r="I51" s="1300"/>
      <c r="J51" s="1300"/>
      <c r="K51" s="1300"/>
      <c r="L51" s="1301"/>
      <c r="N51" s="1002"/>
      <c r="O51" s="1002"/>
    </row>
    <row r="52" spans="1:15" s="141" customFormat="1" x14ac:dyDescent="0.2">
      <c r="B52" s="1302"/>
      <c r="C52" s="1303"/>
      <c r="D52" s="1303"/>
      <c r="E52" s="1303"/>
      <c r="F52" s="1303"/>
      <c r="G52" s="1303"/>
      <c r="H52" s="1303"/>
      <c r="I52" s="1303"/>
      <c r="J52" s="1303"/>
      <c r="K52" s="1303"/>
      <c r="L52" s="1304"/>
      <c r="N52" s="1002"/>
      <c r="O52" s="1002"/>
    </row>
    <row r="53" spans="1:15" s="141" customFormat="1" x14ac:dyDescent="0.2">
      <c r="B53" s="1302"/>
      <c r="C53" s="1303"/>
      <c r="D53" s="1303"/>
      <c r="E53" s="1303"/>
      <c r="F53" s="1303"/>
      <c r="G53" s="1303"/>
      <c r="H53" s="1303"/>
      <c r="I53" s="1303"/>
      <c r="J53" s="1303"/>
      <c r="K53" s="1303"/>
      <c r="L53" s="1304"/>
      <c r="N53" s="1002"/>
      <c r="O53" s="1002"/>
    </row>
    <row r="54" spans="1:15" s="141" customFormat="1" x14ac:dyDescent="0.2">
      <c r="B54" s="1302"/>
      <c r="C54" s="1303"/>
      <c r="D54" s="1303"/>
      <c r="E54" s="1303"/>
      <c r="F54" s="1303"/>
      <c r="G54" s="1303"/>
      <c r="H54" s="1303"/>
      <c r="I54" s="1303"/>
      <c r="J54" s="1303"/>
      <c r="K54" s="1303"/>
      <c r="L54" s="1304"/>
      <c r="N54" s="1002"/>
      <c r="O54" s="1002"/>
    </row>
    <row r="55" spans="1:15" s="141" customFormat="1" x14ac:dyDescent="0.2">
      <c r="B55" s="1302"/>
      <c r="C55" s="1303"/>
      <c r="D55" s="1303"/>
      <c r="E55" s="1303"/>
      <c r="F55" s="1303"/>
      <c r="G55" s="1303"/>
      <c r="H55" s="1303"/>
      <c r="I55" s="1303"/>
      <c r="J55" s="1303"/>
      <c r="K55" s="1303"/>
      <c r="L55" s="1304"/>
      <c r="N55" s="1002"/>
      <c r="O55" s="1002"/>
    </row>
    <row r="56" spans="1:15" s="141" customFormat="1" x14ac:dyDescent="0.2">
      <c r="B56" s="1305"/>
      <c r="C56" s="1306"/>
      <c r="D56" s="1306"/>
      <c r="E56" s="1306"/>
      <c r="F56" s="1306"/>
      <c r="G56" s="1306"/>
      <c r="H56" s="1306"/>
      <c r="I56" s="1306"/>
      <c r="J56" s="1306"/>
      <c r="K56" s="1306"/>
      <c r="L56" s="1307"/>
      <c r="N56" s="1002"/>
      <c r="O56" s="1002"/>
    </row>
    <row r="57" spans="1:15" s="141" customFormat="1" ht="12" customHeight="1" x14ac:dyDescent="0.2">
      <c r="B57" s="202"/>
      <c r="C57" s="202"/>
      <c r="D57" s="201"/>
      <c r="E57" s="201"/>
      <c r="F57" s="201"/>
      <c r="G57" s="212"/>
      <c r="H57" s="217"/>
      <c r="I57" s="212"/>
      <c r="J57" s="212"/>
      <c r="K57" s="230"/>
      <c r="L57" s="216"/>
      <c r="N57" s="1002"/>
      <c r="O57" s="1002"/>
    </row>
    <row r="58" spans="1:15" s="141" customFormat="1" ht="12" customHeight="1" x14ac:dyDescent="0.2">
      <c r="B58" s="202"/>
      <c r="C58" s="202"/>
      <c r="D58" s="201"/>
      <c r="E58" s="201"/>
      <c r="F58" s="201"/>
      <c r="G58" s="212"/>
      <c r="H58" s="217"/>
      <c r="I58" s="212"/>
      <c r="J58" s="212"/>
      <c r="K58" s="230"/>
      <c r="L58" s="216"/>
      <c r="N58" s="1002"/>
      <c r="O58" s="1002"/>
    </row>
    <row r="59" spans="1:15" ht="15" x14ac:dyDescent="0.2">
      <c r="A59" s="224" t="s">
        <v>533</v>
      </c>
      <c r="H59" s="217"/>
      <c r="I59" s="201"/>
      <c r="J59" s="201"/>
      <c r="K59" s="227"/>
      <c r="L59" s="141"/>
      <c r="N59" s="937"/>
      <c r="O59" s="937"/>
    </row>
    <row r="60" spans="1:15" x14ac:dyDescent="0.2">
      <c r="A60" s="464" t="s">
        <v>349</v>
      </c>
      <c r="H60" s="217"/>
      <c r="I60" s="201"/>
      <c r="J60" s="201"/>
      <c r="K60" s="227"/>
      <c r="L60" s="141"/>
    </row>
    <row r="61" spans="1:15" x14ac:dyDescent="0.2">
      <c r="N61" s="1255" t="s">
        <v>836</v>
      </c>
      <c r="O61" s="1004"/>
    </row>
    <row r="62" spans="1:15" ht="13.5" thickBot="1" x14ac:dyDescent="0.25">
      <c r="B62" s="1278" t="s">
        <v>416</v>
      </c>
      <c r="C62" s="1278"/>
      <c r="D62" s="1297">
        <v>0.09</v>
      </c>
      <c r="E62" s="1297"/>
      <c r="F62" s="1297"/>
      <c r="H62" s="54"/>
      <c r="I62" s="52"/>
      <c r="J62" s="52"/>
      <c r="N62" s="1005">
        <f>IF(J17="No", 'LOCK_ME - Page9 - RATES'!F139,0%)</f>
        <v>0.09</v>
      </c>
      <c r="O62" s="1006"/>
    </row>
    <row r="63" spans="1:15" ht="6" customHeight="1" x14ac:dyDescent="0.2"/>
    <row r="64" spans="1:15" ht="13.5" thickBot="1" x14ac:dyDescent="0.25">
      <c r="B64" s="1278" t="s">
        <v>417</v>
      </c>
      <c r="C64" s="1278"/>
      <c r="D64" s="1296">
        <f>IF(J17="Yes",'LOCK_ME - Page9 - RATES'!F140,0%)</f>
        <v>0</v>
      </c>
      <c r="E64" s="1296"/>
      <c r="F64" s="1296"/>
    </row>
    <row r="66" spans="2:19" ht="13.5" thickBot="1" x14ac:dyDescent="0.25">
      <c r="B66" s="272"/>
      <c r="C66" s="272"/>
      <c r="D66" s="272"/>
      <c r="E66" s="272"/>
      <c r="F66" s="272"/>
      <c r="Q66" s="52"/>
      <c r="R66" s="52"/>
      <c r="S66" s="52"/>
    </row>
    <row r="67" spans="2:19" ht="16.5" thickBot="1" x14ac:dyDescent="0.3">
      <c r="B67" s="1308" t="s">
        <v>418</v>
      </c>
      <c r="C67" s="1309"/>
      <c r="D67" s="1309"/>
      <c r="E67" s="1309"/>
      <c r="F67" s="1309"/>
      <c r="G67" s="1309"/>
      <c r="H67" s="1309"/>
      <c r="I67" s="1309"/>
      <c r="J67" s="1309"/>
      <c r="K67" s="1309"/>
      <c r="L67" s="1310"/>
      <c r="N67" s="937"/>
      <c r="O67" s="1007"/>
      <c r="Q67" s="54"/>
      <c r="R67" s="52"/>
      <c r="S67" s="52"/>
    </row>
    <row r="68" spans="2:19" ht="25.5" customHeight="1" x14ac:dyDescent="0.2">
      <c r="B68" s="817" t="s">
        <v>682</v>
      </c>
      <c r="C68" s="662" t="s">
        <v>419</v>
      </c>
      <c r="D68" s="888" t="s">
        <v>683</v>
      </c>
      <c r="E68" s="662" t="s">
        <v>421</v>
      </c>
      <c r="F68" s="1311" t="s">
        <v>689</v>
      </c>
      <c r="G68" s="1311"/>
      <c r="H68" s="662" t="s">
        <v>688</v>
      </c>
      <c r="I68" s="828" t="s">
        <v>690</v>
      </c>
      <c r="J68" s="1327" t="s">
        <v>421</v>
      </c>
      <c r="K68" s="1327"/>
      <c r="L68" s="897" t="s">
        <v>422</v>
      </c>
      <c r="N68" s="937"/>
      <c r="O68" s="937"/>
    </row>
    <row r="69" spans="2:19" ht="13.5" thickBot="1" x14ac:dyDescent="0.25">
      <c r="B69" s="824">
        <f>Page5!AD37</f>
        <v>0</v>
      </c>
      <c r="C69" s="827"/>
      <c r="D69" s="825">
        <f>Page5!AD38</f>
        <v>0</v>
      </c>
      <c r="E69" s="553"/>
      <c r="F69" s="1312">
        <f>ROUND(IF(NOT(D69=0),B69/D69,0),2)</f>
        <v>0</v>
      </c>
      <c r="G69" s="1312"/>
      <c r="H69" s="826"/>
      <c r="I69" s="830">
        <f>ROUND(Page5!S45*F69,2)</f>
        <v>0</v>
      </c>
      <c r="J69" s="553"/>
      <c r="K69" s="827"/>
      <c r="L69" s="896">
        <f>F69+I69</f>
        <v>0</v>
      </c>
    </row>
    <row r="70" spans="2:19" s="52" customFormat="1" ht="13.5" thickBot="1" x14ac:dyDescent="0.25">
      <c r="B70" s="894"/>
      <c r="C70" s="894"/>
      <c r="D70" s="254"/>
      <c r="E70" s="895"/>
      <c r="F70" s="895"/>
      <c r="G70" s="895"/>
      <c r="H70" s="254"/>
      <c r="I70" s="894"/>
      <c r="J70" s="894"/>
      <c r="N70" s="1003"/>
      <c r="O70" s="1003"/>
    </row>
    <row r="71" spans="2:19" s="52" customFormat="1" x14ac:dyDescent="0.2">
      <c r="B71" s="1313" t="s">
        <v>623</v>
      </c>
      <c r="C71" s="1314"/>
      <c r="D71" s="1314"/>
      <c r="E71" s="1315"/>
      <c r="H71" s="894"/>
      <c r="I71" s="894"/>
      <c r="J71" s="894"/>
      <c r="N71" s="1003"/>
      <c r="O71" s="1003"/>
    </row>
    <row r="72" spans="2:19" s="52" customFormat="1" ht="16.5" thickBot="1" x14ac:dyDescent="0.3">
      <c r="B72" s="1316" t="s">
        <v>842</v>
      </c>
      <c r="C72" s="1317"/>
      <c r="D72" s="1317"/>
      <c r="E72" s="1318"/>
      <c r="H72" s="894"/>
      <c r="I72" s="894"/>
      <c r="J72" s="894"/>
      <c r="N72" s="1003"/>
      <c r="O72" s="1003"/>
    </row>
    <row r="73" spans="2:19" s="52" customFormat="1" x14ac:dyDescent="0.2">
      <c r="B73" s="1319" t="s">
        <v>0</v>
      </c>
      <c r="C73" s="1320"/>
      <c r="D73" s="1321" t="s">
        <v>1</v>
      </c>
      <c r="E73" s="1322"/>
      <c r="H73" s="894"/>
      <c r="I73" s="894"/>
      <c r="J73" s="894"/>
      <c r="N73" s="1003"/>
      <c r="O73" s="1003"/>
    </row>
    <row r="74" spans="2:19" s="52" customFormat="1" ht="13.5" thickBot="1" x14ac:dyDescent="0.25">
      <c r="B74" s="1323">
        <f>Page3!E98</f>
        <v>0</v>
      </c>
      <c r="C74" s="1324"/>
      <c r="D74" s="1325">
        <f>Page3!F98</f>
        <v>0</v>
      </c>
      <c r="E74" s="1326"/>
      <c r="H74" s="894"/>
      <c r="I74" s="894"/>
      <c r="J74" s="894"/>
      <c r="N74" s="1003"/>
      <c r="O74" s="1003"/>
    </row>
    <row r="75" spans="2:19" s="52" customFormat="1" ht="13.5" thickBot="1" x14ac:dyDescent="0.25">
      <c r="B75" s="894"/>
      <c r="C75" s="894"/>
      <c r="D75" s="254"/>
      <c r="E75" s="895"/>
      <c r="F75" s="895"/>
      <c r="G75" s="895"/>
      <c r="H75" s="254"/>
      <c r="I75" s="894"/>
      <c r="J75" s="894"/>
      <c r="N75" s="1003"/>
      <c r="O75" s="1003"/>
    </row>
    <row r="76" spans="2:19" ht="16.5" thickBot="1" x14ac:dyDescent="0.3">
      <c r="B76" s="1308" t="s">
        <v>433</v>
      </c>
      <c r="C76" s="1309"/>
      <c r="D76" s="1309"/>
      <c r="E76" s="1309"/>
      <c r="F76" s="1309"/>
      <c r="G76" s="1309"/>
      <c r="H76" s="1309"/>
      <c r="I76" s="1309"/>
      <c r="J76" s="1309"/>
      <c r="K76" s="1309"/>
      <c r="L76" s="1310"/>
    </row>
    <row r="77" spans="2:19" ht="27.75" customHeight="1" x14ac:dyDescent="0.2">
      <c r="B77" s="1330" t="s">
        <v>580</v>
      </c>
      <c r="C77" s="1331"/>
      <c r="D77" s="1331"/>
      <c r="E77" s="829" t="s">
        <v>419</v>
      </c>
      <c r="F77" s="1331" t="s">
        <v>420</v>
      </c>
      <c r="G77" s="1331"/>
      <c r="H77" s="1331"/>
      <c r="I77" s="1331"/>
      <c r="J77" s="1327" t="s">
        <v>421</v>
      </c>
      <c r="K77" s="1327"/>
      <c r="L77" s="897" t="s">
        <v>434</v>
      </c>
    </row>
    <row r="78" spans="2:19" ht="13.5" thickBot="1" x14ac:dyDescent="0.25">
      <c r="B78" s="1332">
        <f>ROUND(Page3!F25*(1+D62+D64),2)</f>
        <v>0</v>
      </c>
      <c r="C78" s="1312"/>
      <c r="D78" s="1312"/>
      <c r="E78" s="553"/>
      <c r="F78" s="1333">
        <f>Page2A!AB9</f>
        <v>0</v>
      </c>
      <c r="G78" s="1333"/>
      <c r="H78" s="1333"/>
      <c r="I78" s="1333"/>
      <c r="J78" s="553"/>
      <c r="K78" s="827"/>
      <c r="L78" s="899">
        <f>ROUND(IF(NOT(F78=0),B78/F78,0),2)</f>
        <v>0</v>
      </c>
    </row>
    <row r="80" spans="2:19" x14ac:dyDescent="0.2">
      <c r="B80" s="1298" t="s">
        <v>462</v>
      </c>
      <c r="C80" s="1299"/>
      <c r="D80" s="1328"/>
      <c r="E80" s="1328"/>
      <c r="F80" s="1328"/>
      <c r="G80" s="1328"/>
      <c r="H80" s="1328"/>
      <c r="I80" s="1328"/>
      <c r="J80" s="1328"/>
      <c r="K80" s="1328"/>
      <c r="L80" s="1329"/>
    </row>
    <row r="81" spans="2:16" x14ac:dyDescent="0.2">
      <c r="B81" s="1302"/>
      <c r="C81" s="1303"/>
      <c r="D81" s="1303"/>
      <c r="E81" s="1303"/>
      <c r="F81" s="1303"/>
      <c r="G81" s="1303"/>
      <c r="H81" s="1303"/>
      <c r="I81" s="1303"/>
      <c r="J81" s="1303"/>
      <c r="K81" s="1303"/>
      <c r="L81" s="1304"/>
    </row>
    <row r="82" spans="2:16" x14ac:dyDescent="0.2">
      <c r="B82" s="1302"/>
      <c r="C82" s="1303"/>
      <c r="D82" s="1303"/>
      <c r="E82" s="1303"/>
      <c r="F82" s="1303"/>
      <c r="G82" s="1303"/>
      <c r="H82" s="1303"/>
      <c r="I82" s="1303"/>
      <c r="J82" s="1303"/>
      <c r="K82" s="1303"/>
      <c r="L82" s="1304"/>
    </row>
    <row r="83" spans="2:16" x14ac:dyDescent="0.2">
      <c r="B83" s="1302"/>
      <c r="C83" s="1303"/>
      <c r="D83" s="1303"/>
      <c r="E83" s="1303"/>
      <c r="F83" s="1303"/>
      <c r="G83" s="1303"/>
      <c r="H83" s="1303"/>
      <c r="I83" s="1303"/>
      <c r="J83" s="1303"/>
      <c r="K83" s="1303"/>
      <c r="L83" s="1304"/>
    </row>
    <row r="84" spans="2:16" x14ac:dyDescent="0.2">
      <c r="B84" s="1302"/>
      <c r="C84" s="1303"/>
      <c r="D84" s="1303"/>
      <c r="E84" s="1303"/>
      <c r="F84" s="1303"/>
      <c r="G84" s="1303"/>
      <c r="H84" s="1303"/>
      <c r="I84" s="1303"/>
      <c r="J84" s="1303"/>
      <c r="K84" s="1303"/>
      <c r="L84" s="1304"/>
    </row>
    <row r="85" spans="2:16" x14ac:dyDescent="0.2">
      <c r="B85" s="1305"/>
      <c r="C85" s="1306"/>
      <c r="D85" s="1306"/>
      <c r="E85" s="1306"/>
      <c r="F85" s="1306"/>
      <c r="G85" s="1306"/>
      <c r="H85" s="1306"/>
      <c r="I85" s="1306"/>
      <c r="J85" s="1306"/>
      <c r="K85" s="1306"/>
      <c r="L85" s="1307"/>
    </row>
    <row r="87" spans="2:16" x14ac:dyDescent="0.2">
      <c r="B87" s="818"/>
      <c r="C87" s="818"/>
      <c r="D87" s="818"/>
      <c r="E87" s="818"/>
      <c r="F87" s="819"/>
      <c r="G87" s="820"/>
      <c r="H87" s="820"/>
      <c r="I87" s="820"/>
      <c r="J87" s="820"/>
      <c r="K87" s="818"/>
      <c r="L87" s="818"/>
      <c r="M87" s="818"/>
      <c r="N87" s="1008"/>
      <c r="O87" s="1008"/>
      <c r="P87" s="818"/>
    </row>
    <row r="88" spans="2:16" ht="15.75" x14ac:dyDescent="0.25">
      <c r="B88" s="823"/>
      <c r="C88" s="822"/>
      <c r="D88" s="822"/>
      <c r="F88" s="821"/>
      <c r="I88" s="647"/>
      <c r="L88" s="647"/>
    </row>
    <row r="89" spans="2:16" x14ac:dyDescent="0.2">
      <c r="F89" s="702"/>
    </row>
    <row r="90" spans="2:16" x14ac:dyDescent="0.2">
      <c r="F90" s="703"/>
    </row>
    <row r="91" spans="2:16" x14ac:dyDescent="0.2">
      <c r="B91" s="38"/>
    </row>
    <row r="92" spans="2:16" x14ac:dyDescent="0.2">
      <c r="B92" s="38"/>
    </row>
  </sheetData>
  <sheetProtection password="DCF0" sheet="1" objects="1" scenarios="1"/>
  <mergeCells count="83">
    <mergeCell ref="B80:C80"/>
    <mergeCell ref="D80:L80"/>
    <mergeCell ref="B81:L85"/>
    <mergeCell ref="B77:D77"/>
    <mergeCell ref="F77:I77"/>
    <mergeCell ref="B78:D78"/>
    <mergeCell ref="F78:I78"/>
    <mergeCell ref="J77:K77"/>
    <mergeCell ref="B76:L76"/>
    <mergeCell ref="B67:L67"/>
    <mergeCell ref="F68:G68"/>
    <mergeCell ref="F69:G69"/>
    <mergeCell ref="B71:E71"/>
    <mergeCell ref="B72:E72"/>
    <mergeCell ref="B73:C73"/>
    <mergeCell ref="D73:E73"/>
    <mergeCell ref="B74:C74"/>
    <mergeCell ref="D74:E74"/>
    <mergeCell ref="J68:K68"/>
    <mergeCell ref="B64:C64"/>
    <mergeCell ref="D64:F64"/>
    <mergeCell ref="B45:C45"/>
    <mergeCell ref="D45:F45"/>
    <mergeCell ref="B47:C47"/>
    <mergeCell ref="D47:F47"/>
    <mergeCell ref="B49:C49"/>
    <mergeCell ref="D49:F49"/>
    <mergeCell ref="B51:C51"/>
    <mergeCell ref="D51:L51"/>
    <mergeCell ref="B52:L56"/>
    <mergeCell ref="B62:C62"/>
    <mergeCell ref="D62:F62"/>
    <mergeCell ref="B37:C38"/>
    <mergeCell ref="D37:F38"/>
    <mergeCell ref="H37:I37"/>
    <mergeCell ref="J37:L37"/>
    <mergeCell ref="B34:C35"/>
    <mergeCell ref="D34:F35"/>
    <mergeCell ref="H34:I34"/>
    <mergeCell ref="J34:L34"/>
    <mergeCell ref="J31:L31"/>
    <mergeCell ref="H25:L29"/>
    <mergeCell ref="A19:C19"/>
    <mergeCell ref="B21:C21"/>
    <mergeCell ref="D21:F21"/>
    <mergeCell ref="B25:C25"/>
    <mergeCell ref="D25:F25"/>
    <mergeCell ref="B23:C23"/>
    <mergeCell ref="D23:F23"/>
    <mergeCell ref="B27:C27"/>
    <mergeCell ref="D27:F27"/>
    <mergeCell ref="B31:C32"/>
    <mergeCell ref="D31:F32"/>
    <mergeCell ref="H31:I31"/>
    <mergeCell ref="J21:L23"/>
    <mergeCell ref="H21:I23"/>
    <mergeCell ref="J11:L11"/>
    <mergeCell ref="B13:C13"/>
    <mergeCell ref="D13:F13"/>
    <mergeCell ref="H13:I13"/>
    <mergeCell ref="H17:I17"/>
    <mergeCell ref="J13:L13"/>
    <mergeCell ref="B15:C15"/>
    <mergeCell ref="D15:F15"/>
    <mergeCell ref="H15:I15"/>
    <mergeCell ref="J15:L15"/>
    <mergeCell ref="J17:L17"/>
    <mergeCell ref="B39:F41"/>
    <mergeCell ref="A1:M1"/>
    <mergeCell ref="A2:M2"/>
    <mergeCell ref="A3:M3"/>
    <mergeCell ref="A5:M5"/>
    <mergeCell ref="B7:C7"/>
    <mergeCell ref="D7:F7"/>
    <mergeCell ref="H7:I7"/>
    <mergeCell ref="J7:L7"/>
    <mergeCell ref="B9:C9"/>
    <mergeCell ref="D9:F9"/>
    <mergeCell ref="H9:I9"/>
    <mergeCell ref="J9:L9"/>
    <mergeCell ref="B11:C11"/>
    <mergeCell ref="D11:F11"/>
    <mergeCell ref="H11:I11"/>
  </mergeCells>
  <conditionalFormatting sqref="J37:L37">
    <cfRule type="cellIs" dxfId="80" priority="2" operator="lessThan">
      <formula>0</formula>
    </cfRule>
  </conditionalFormatting>
  <conditionalFormatting sqref="D62:F62">
    <cfRule type="cellIs" dxfId="79" priority="1" operator="greaterThan">
      <formula>$N$62</formula>
    </cfRule>
  </conditionalFormatting>
  <dataValidations count="14">
    <dataValidation type="decimal" errorStyle="warning" allowBlank="1" showInputMessage="1" showErrorMessage="1" error="The administration % you entered is either (a) above the 9% allowed or (b) not allowed because your organization is incorporated as a Person Centered Society. Please re-enter." sqref="D62:F62">
      <formula1>0</formula1>
      <formula2>N62</formula2>
    </dataValidation>
    <dataValidation type="decimal" allowBlank="1" showInputMessage="1" showErrorMessage="1" error="If &quot;Residential&quot; is your Program Type, you cannot enter &quot;days closed&quot; as this is not relevant in a Residential setting.  Please move onto next input field.  If you are &quot;Non-Residentail&quot;, you may enter up to 36 days.  " prompt="HINT:_x000a_If the program does not operate for each day in the year, backfill % on page 2 will automatically be reduced for each day of closure. " sqref="J15:L15">
      <formula1>0</formula1>
      <formula2>N15</formula2>
    </dataValidation>
    <dataValidation type="list" showInputMessage="1" showErrorMessage="1" errorTitle="Error!" error="You MUST enter Yes or No" sqref="J17:L17">
      <formula1>"Yes, No"</formula1>
    </dataValidation>
    <dataValidation type="decimal" errorStyle="warning" allowBlank="1" showInputMessage="1" showErrorMessage="1" error="The Supervisor Hourly Rate you entered seems incorrect.  It either appears too high or otherwise incorrect (e.g. a negative wage). Are you sure?" sqref="J37:L37">
      <formula1>0</formula1>
      <formula2>30</formula2>
    </dataValidation>
    <dataValidation type="decimal" errorStyle="warning" allowBlank="1" showInputMessage="1" showErrorMessage="1" error="The % increase you entered seems incorrect, either too high or otherwise incorrect (e.g. a negative number). Are you sure?" sqref="J34:L34 J31:L31">
      <formula1>0</formula1>
      <formula2>0.055</formula2>
    </dataValidation>
    <dataValidation type="decimal" allowBlank="1" showInputMessage="1" showErrorMessage="1" error="The MPP Contribution % you entered is invalid. Please re-enter." sqref="D45:F45">
      <formula1>0</formula1>
      <formula2>1</formula2>
    </dataValidation>
    <dataValidation type="decimal" allowBlank="1" showInputMessage="1" showErrorMessage="1" error="The LTD% you entered is invalid. Please re-enter." sqref="D49:F49">
      <formula1>0</formula1>
      <formula2>1</formula2>
    </dataValidation>
    <dataValidation type="decimal" operator="greaterThanOrEqual" allowBlank="1" showInputMessage="1" showErrorMessage="1" sqref="D15:D18 E17:E18">
      <formula1>0</formula1>
    </dataValidation>
    <dataValidation type="decimal" allowBlank="1" showInputMessage="1" showErrorMessage="1" error="MPP Participation % cannot exceed 100%" sqref="D47:F48">
      <formula1>0</formula1>
      <formula2>1</formula2>
    </dataValidation>
    <dataValidation type="list" allowBlank="1" showInputMessage="1" showErrorMessage="1" sqref="J9:L9">
      <formula1>"CSSEA, HEABC"</formula1>
    </dataValidation>
    <dataValidation type="decimal" allowBlank="1" showInputMessage="1" showErrorMessage="1" errorTitle="Error" error="FTE Hours / Week MUST be between 33 to 40" sqref="J11:L11">
      <formula1>33</formula1>
      <formula2>40</formula2>
    </dataValidation>
    <dataValidation type="list" allowBlank="1" showInputMessage="1" showErrorMessage="1" sqref="J13:L13">
      <formula1>"Residential, Non-Residential, Home Based Community Inclusion"</formula1>
    </dataValidation>
    <dataValidation type="list" allowBlank="1" showInputMessage="1" showErrorMessage="1" sqref="D31:F32 D37:F38 D34:F35">
      <formula1>"(CURRENT) January 1 2014 , (NEW) Post-January 1 2014"</formula1>
    </dataValidation>
    <dataValidation type="list" showInputMessage="1" showErrorMessage="1" sqref="J21:L23">
      <formula1>"Developmental Disabilities (DD), Personalized Supports Initiative (PSI)"</formula1>
    </dataValidation>
  </dataValidations>
  <pageMargins left="0" right="0" top="0" bottom="0" header="0.3" footer="0.3"/>
  <pageSetup scale="72" orientation="portrait" r:id="rId1"/>
  <headerFooter alignWithMargins="0">
    <oddFooter>&amp;L&amp;F  
Tab: FGT&amp;A&amp;CPrinted: &amp;D &amp;T&amp;RPage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M65"/>
  <sheetViews>
    <sheetView showGridLines="0" view="pageBreakPreview" zoomScale="60" zoomScaleNormal="100" workbookViewId="0">
      <pane xSplit="3" ySplit="9" topLeftCell="D10" activePane="bottomRight" state="frozen"/>
      <selection activeCell="A4" sqref="A4:O4"/>
      <selection pane="topRight" activeCell="A4" sqref="A4:O4"/>
      <selection pane="bottomLeft" activeCell="A4" sqref="A4:O4"/>
      <selection pane="bottomRight" activeCell="G66" sqref="G66"/>
    </sheetView>
  </sheetViews>
  <sheetFormatPr defaultColWidth="9.140625" defaultRowHeight="12.75" outlineLevelCol="1" x14ac:dyDescent="0.2"/>
  <cols>
    <col min="1" max="1" width="8.7109375" style="141" customWidth="1"/>
    <col min="2" max="2" width="29.140625" style="141" customWidth="1"/>
    <col min="3" max="3" width="8" style="141" customWidth="1"/>
    <col min="4" max="4" width="7.28515625" style="141" customWidth="1"/>
    <col min="5" max="18" width="5.85546875" style="141" customWidth="1"/>
    <col min="19" max="19" width="9.7109375" style="589" customWidth="1"/>
    <col min="20" max="20" width="14" style="589" bestFit="1" customWidth="1"/>
    <col min="21" max="21" width="9" style="140" customWidth="1"/>
    <col min="22" max="22" width="9.85546875" style="141" customWidth="1"/>
    <col min="23" max="23" width="7.5703125" style="141" customWidth="1"/>
    <col min="24" max="24" width="9.42578125" style="141" customWidth="1"/>
    <col min="25" max="25" width="12.28515625" style="141" customWidth="1"/>
    <col min="26" max="26" width="11.5703125" style="141" customWidth="1"/>
    <col min="27" max="27" width="13.140625" style="141" customWidth="1"/>
    <col min="28" max="28" width="13" style="141" customWidth="1"/>
    <col min="29" max="29" width="15.28515625" style="992" hidden="1" customWidth="1" outlineLevel="1"/>
    <col min="30" max="30" width="12.85546875" style="992" hidden="1" customWidth="1" outlineLevel="1"/>
    <col min="31" max="31" width="8.7109375" style="141" customWidth="1" collapsed="1"/>
    <col min="32" max="33" width="9.140625" style="141"/>
    <col min="34" max="34" width="11.5703125" style="141" customWidth="1"/>
    <col min="35" max="16384" width="9.140625" style="141"/>
  </cols>
  <sheetData>
    <row r="1" spans="1:39" x14ac:dyDescent="0.2">
      <c r="A1" s="1274" t="str">
        <f>Instructions!C2</f>
        <v>Funding Template Version of 1Apr13</v>
      </c>
      <c r="B1" s="1274"/>
      <c r="C1" s="1274"/>
      <c r="D1" s="1274"/>
      <c r="E1" s="1274"/>
      <c r="F1" s="1274"/>
      <c r="G1" s="1274"/>
      <c r="H1" s="1274"/>
      <c r="I1" s="1274"/>
      <c r="J1" s="1274"/>
      <c r="K1" s="1274"/>
      <c r="L1" s="1274"/>
      <c r="M1" s="1274"/>
      <c r="N1" s="1274"/>
      <c r="O1" s="1274"/>
      <c r="P1" s="1274"/>
      <c r="Q1" s="1274"/>
      <c r="R1" s="1274"/>
      <c r="S1" s="1274"/>
      <c r="T1" s="1274"/>
      <c r="U1" s="1274"/>
      <c r="V1" s="1274"/>
      <c r="W1" s="1274"/>
      <c r="X1" s="526"/>
      <c r="Y1" s="526"/>
      <c r="Z1" s="526"/>
      <c r="AA1" s="526"/>
      <c r="AB1" s="526"/>
      <c r="AC1" s="992" t="s">
        <v>108</v>
      </c>
      <c r="AD1" s="1009" t="str">
        <f>Page1!N1</f>
        <v>Union</v>
      </c>
    </row>
    <row r="2" spans="1:39" ht="20.25" x14ac:dyDescent="0.3">
      <c r="A2" s="1275" t="str">
        <f>Instructions!C3</f>
        <v>Funding Template - Union</v>
      </c>
      <c r="B2" s="1275"/>
      <c r="C2" s="1275"/>
      <c r="D2" s="1275"/>
      <c r="E2" s="1275"/>
      <c r="F2" s="1275"/>
      <c r="G2" s="1275"/>
      <c r="H2" s="1275"/>
      <c r="I2" s="1275"/>
      <c r="J2" s="1275"/>
      <c r="K2" s="1275"/>
      <c r="L2" s="1275"/>
      <c r="M2" s="1275"/>
      <c r="N2" s="1275"/>
      <c r="O2" s="1275"/>
      <c r="P2" s="1275"/>
      <c r="Q2" s="1275"/>
      <c r="R2" s="1275"/>
      <c r="S2" s="1275"/>
      <c r="T2" s="1275"/>
      <c r="U2" s="1275"/>
      <c r="V2" s="1275"/>
      <c r="W2" s="1275"/>
      <c r="X2" s="527"/>
      <c r="Y2" s="527"/>
      <c r="Z2" s="527"/>
      <c r="AA2" s="527"/>
      <c r="AB2" s="527"/>
      <c r="AC2" s="992" t="s">
        <v>113</v>
      </c>
      <c r="AD2" s="1010">
        <f>Page1!J11</f>
        <v>37.5</v>
      </c>
    </row>
    <row r="3" spans="1:39" ht="17.25" customHeight="1" x14ac:dyDescent="0.25">
      <c r="A3" s="1276" t="s">
        <v>460</v>
      </c>
      <c r="B3" s="1276"/>
      <c r="C3" s="1276"/>
      <c r="D3" s="1276"/>
      <c r="E3" s="1276"/>
      <c r="F3" s="1276"/>
      <c r="G3" s="1276"/>
      <c r="H3" s="1276"/>
      <c r="I3" s="1276"/>
      <c r="J3" s="1276"/>
      <c r="K3" s="1276"/>
      <c r="L3" s="1276"/>
      <c r="M3" s="1276"/>
      <c r="N3" s="1276"/>
      <c r="O3" s="1276"/>
      <c r="P3" s="1276"/>
      <c r="Q3" s="1276"/>
      <c r="R3" s="1276"/>
      <c r="S3" s="1276"/>
      <c r="T3" s="1276"/>
      <c r="U3" s="1276"/>
      <c r="V3" s="1276"/>
      <c r="W3" s="1276"/>
      <c r="X3" s="528"/>
      <c r="Y3" s="528"/>
      <c r="Z3" s="528"/>
      <c r="AA3" s="528"/>
      <c r="AB3" s="528"/>
      <c r="AC3" s="992" t="s">
        <v>90</v>
      </c>
      <c r="AD3" s="1009" t="str">
        <f>Page1!J13</f>
        <v>Non-Residential</v>
      </c>
    </row>
    <row r="4" spans="1:39" ht="25.5" customHeight="1" x14ac:dyDescent="0.3">
      <c r="A4" s="197"/>
      <c r="I4" s="1344" t="str">
        <f>Page1!D7</f>
        <v>Burnaby Assocication for Community Inclusion</v>
      </c>
      <c r="J4" s="1344"/>
      <c r="K4" s="1344"/>
      <c r="L4" s="1344"/>
      <c r="M4" s="1344"/>
      <c r="N4" s="1344"/>
      <c r="O4" s="1344"/>
      <c r="AC4" s="928" t="s">
        <v>338</v>
      </c>
      <c r="AD4" s="1011">
        <f>IF(AD3="Non-Residential",'LOCK_ME - Page9 - RATES'!F132,'LOCK_ME - Page9 - RATES'!H132)</f>
        <v>0.13830000000000001</v>
      </c>
    </row>
    <row r="5" spans="1:39" ht="19.5" customHeight="1" x14ac:dyDescent="0.3">
      <c r="A5" s="198" t="s">
        <v>77</v>
      </c>
      <c r="B5" s="199"/>
      <c r="C5" s="199"/>
      <c r="D5" s="200"/>
      <c r="E5" s="200"/>
      <c r="F5" s="201"/>
      <c r="G5" s="201"/>
      <c r="H5" s="201"/>
      <c r="I5" s="1345">
        <f>Page1!D9</f>
        <v>0</v>
      </c>
      <c r="J5" s="1345"/>
      <c r="K5" s="1345"/>
      <c r="L5" s="1345"/>
      <c r="M5" s="1345"/>
      <c r="N5" s="1345"/>
      <c r="O5" s="1345"/>
      <c r="P5" s="201"/>
      <c r="Q5" s="201"/>
      <c r="X5" s="444"/>
      <c r="Z5" s="447"/>
      <c r="AA5" s="446"/>
      <c r="AF5" s="202"/>
    </row>
    <row r="6" spans="1:39" ht="29.45" customHeight="1" x14ac:dyDescent="0.2">
      <c r="A6" s="1277" t="s">
        <v>176</v>
      </c>
      <c r="B6" s="1277"/>
      <c r="C6" s="1277"/>
      <c r="D6" s="1277"/>
      <c r="E6" s="1277"/>
      <c r="F6" s="1277"/>
      <c r="G6" s="1277"/>
      <c r="H6" s="1277"/>
      <c r="I6" s="1277"/>
      <c r="J6" s="1277"/>
      <c r="K6" s="1277"/>
      <c r="L6" s="1277"/>
      <c r="M6" s="1277"/>
      <c r="N6" s="1277"/>
      <c r="O6" s="1277"/>
      <c r="P6" s="1277"/>
      <c r="Q6" s="1277"/>
      <c r="R6" s="1277"/>
      <c r="S6" s="1277"/>
      <c r="T6" s="1277"/>
      <c r="U6" s="1277"/>
      <c r="V6" s="1277"/>
      <c r="W6" s="1277"/>
      <c r="X6" s="493"/>
      <c r="Y6" s="529"/>
      <c r="Z6" s="529"/>
      <c r="AA6" s="495"/>
      <c r="AB6" s="448"/>
      <c r="AF6" s="202"/>
    </row>
    <row r="7" spans="1:39" s="266" customFormat="1" ht="39" customHeight="1" x14ac:dyDescent="0.2">
      <c r="A7" s="534" t="s">
        <v>35</v>
      </c>
      <c r="B7" s="559" t="s">
        <v>241</v>
      </c>
      <c r="C7" s="560"/>
      <c r="D7" s="265"/>
      <c r="E7" s="1357" t="s">
        <v>22</v>
      </c>
      <c r="F7" s="1358"/>
      <c r="G7" s="1357" t="s">
        <v>23</v>
      </c>
      <c r="H7" s="1358"/>
      <c r="I7" s="1357" t="s">
        <v>24</v>
      </c>
      <c r="J7" s="1358"/>
      <c r="K7" s="1357" t="s">
        <v>242</v>
      </c>
      <c r="L7" s="1358"/>
      <c r="M7" s="1357" t="s">
        <v>25</v>
      </c>
      <c r="N7" s="1358"/>
      <c r="O7" s="1357" t="s">
        <v>243</v>
      </c>
      <c r="P7" s="1358"/>
      <c r="Q7" s="1359" t="s">
        <v>244</v>
      </c>
      <c r="R7" s="1360"/>
      <c r="S7" s="709" t="s">
        <v>276</v>
      </c>
      <c r="T7" s="714" t="s">
        <v>278</v>
      </c>
      <c r="U7" s="534" t="s">
        <v>9</v>
      </c>
      <c r="V7" s="534" t="s">
        <v>148</v>
      </c>
      <c r="W7" s="534" t="s">
        <v>27</v>
      </c>
      <c r="X7" s="263" t="s">
        <v>279</v>
      </c>
      <c r="Y7" s="263" t="s">
        <v>280</v>
      </c>
      <c r="Z7" s="263" t="s">
        <v>347</v>
      </c>
      <c r="AA7" s="263" t="s">
        <v>345</v>
      </c>
      <c r="AB7" s="263" t="s">
        <v>281</v>
      </c>
      <c r="AC7" s="1012" t="s">
        <v>175</v>
      </c>
      <c r="AD7" s="1012" t="s">
        <v>369</v>
      </c>
      <c r="AE7" s="534" t="s">
        <v>35</v>
      </c>
      <c r="AF7" s="1378" t="s">
        <v>38</v>
      </c>
      <c r="AG7" s="1379"/>
      <c r="AH7" s="1379"/>
      <c r="AI7" s="1379"/>
      <c r="AJ7" s="1379"/>
      <c r="AK7" s="1379"/>
      <c r="AL7" s="1380"/>
    </row>
    <row r="8" spans="1:39" s="210" customFormat="1" ht="15" x14ac:dyDescent="0.25">
      <c r="A8" s="1336" t="s">
        <v>282</v>
      </c>
      <c r="B8" s="1337"/>
      <c r="C8" s="1338" t="s">
        <v>454</v>
      </c>
      <c r="D8" s="1334"/>
      <c r="E8" s="1363">
        <f>SUMIF($D$10:$D$53,"Hours",E$10:F$53)</f>
        <v>0</v>
      </c>
      <c r="F8" s="1364"/>
      <c r="G8" s="1363">
        <f>SUMIF($D$10:$D$53,"Hours",G$10:H$53)</f>
        <v>0</v>
      </c>
      <c r="H8" s="1364"/>
      <c r="I8" s="1363">
        <f t="shared" ref="I8" si="0">SUMIF($D$10:$D$53,"Hours",I$10:J$53)</f>
        <v>0</v>
      </c>
      <c r="J8" s="1364"/>
      <c r="K8" s="1363">
        <f t="shared" ref="K8" si="1">SUMIF($D$10:$D$53,"Hours",K$10:L$53)</f>
        <v>0</v>
      </c>
      <c r="L8" s="1364"/>
      <c r="M8" s="1363">
        <f t="shared" ref="M8" si="2">SUMIF($D$10:$D$53,"Hours",M$10:N$53)</f>
        <v>0</v>
      </c>
      <c r="N8" s="1364"/>
      <c r="O8" s="1363">
        <f t="shared" ref="O8" si="3">SUMIF($D$10:$D$53,"Hours",O$10:P$53)</f>
        <v>0</v>
      </c>
      <c r="P8" s="1364"/>
      <c r="Q8" s="1363">
        <f>SUMIF($D$10:$D$53,"Hours",Q$10:R$53)</f>
        <v>0</v>
      </c>
      <c r="R8" s="1364"/>
      <c r="S8" s="710">
        <f>SUMIF($D$10:$D$53,"Hours",S$10:S$53)</f>
        <v>0</v>
      </c>
      <c r="T8" s="207">
        <f>SUMIF($D$10:$D$53,"Hours",T$10:T$53)</f>
        <v>0</v>
      </c>
      <c r="U8" s="207">
        <f>SUM(U10:U53)</f>
        <v>0</v>
      </c>
      <c r="V8" s="206"/>
      <c r="W8" s="207"/>
      <c r="X8" s="264">
        <f>SUM(X10:X53)</f>
        <v>0</v>
      </c>
      <c r="Y8" s="264"/>
      <c r="Z8" s="264">
        <f>SUM(Z10:Z53)</f>
        <v>0</v>
      </c>
      <c r="AA8" s="264"/>
      <c r="AB8" s="383">
        <f>AB9/52.25</f>
        <v>0</v>
      </c>
      <c r="AC8" s="1013"/>
      <c r="AD8" s="1013"/>
      <c r="AE8" s="208"/>
      <c r="AF8" s="1375"/>
      <c r="AG8" s="1376"/>
      <c r="AH8" s="1376"/>
      <c r="AI8" s="1376"/>
      <c r="AJ8" s="1376"/>
      <c r="AK8" s="1376"/>
      <c r="AL8" s="1377"/>
      <c r="AM8" s="209"/>
    </row>
    <row r="9" spans="1:39" s="210" customFormat="1" ht="15" x14ac:dyDescent="0.25">
      <c r="A9" s="1336" t="s">
        <v>283</v>
      </c>
      <c r="B9" s="1337"/>
      <c r="C9" s="1339"/>
      <c r="D9" s="1335"/>
      <c r="E9" s="256"/>
      <c r="F9" s="257"/>
      <c r="G9" s="256"/>
      <c r="H9" s="257"/>
      <c r="I9" s="256"/>
      <c r="J9" s="257"/>
      <c r="K9" s="256"/>
      <c r="L9" s="257"/>
      <c r="M9" s="256"/>
      <c r="N9" s="257"/>
      <c r="O9" s="256"/>
      <c r="P9" s="257"/>
      <c r="Q9" s="256"/>
      <c r="R9" s="257"/>
      <c r="S9" s="711"/>
      <c r="T9" s="207">
        <f>T8*52.25</f>
        <v>0</v>
      </c>
      <c r="U9" s="258"/>
      <c r="V9" s="206"/>
      <c r="W9" s="207"/>
      <c r="X9" s="264"/>
      <c r="Y9" s="264">
        <f>SUM(Y10:Y53)</f>
        <v>0</v>
      </c>
      <c r="Z9" s="264"/>
      <c r="AA9" s="264">
        <f>SUM(AA10:AA53)</f>
        <v>0</v>
      </c>
      <c r="AB9" s="383">
        <f>T9+Y9+AA9</f>
        <v>0</v>
      </c>
      <c r="AC9" s="1014"/>
      <c r="AD9" s="1015"/>
      <c r="AE9" s="259"/>
      <c r="AF9" s="260"/>
      <c r="AG9" s="261"/>
      <c r="AH9" s="261"/>
      <c r="AI9" s="261"/>
      <c r="AJ9" s="261"/>
      <c r="AK9" s="261"/>
      <c r="AL9" s="262"/>
      <c r="AM9" s="209"/>
    </row>
    <row r="10" spans="1:39" ht="14.25" customHeight="1" x14ac:dyDescent="0.2">
      <c r="A10" s="1373">
        <v>1</v>
      </c>
      <c r="B10" s="1353"/>
      <c r="C10" s="1381" t="str">
        <f>IF($B10&gt;0,(VLOOKUP($B10,'LOCK_ME - Page10 - Lookups'!$C$48:$N$81,12,FALSE)),"")</f>
        <v/>
      </c>
      <c r="D10" s="211" t="s">
        <v>125</v>
      </c>
      <c r="E10" s="251"/>
      <c r="F10" s="251"/>
      <c r="G10" s="1270"/>
      <c r="H10" s="1270"/>
      <c r="I10" s="1270"/>
      <c r="J10" s="1270"/>
      <c r="K10" s="1270"/>
      <c r="L10" s="1270"/>
      <c r="M10" s="1270"/>
      <c r="N10" s="1270"/>
      <c r="O10" s="1270"/>
      <c r="P10" s="1270"/>
      <c r="Q10" s="1270"/>
      <c r="R10" s="1270"/>
      <c r="S10" s="712"/>
      <c r="T10" s="715"/>
      <c r="U10" s="1349">
        <f>IF($AD$2&gt;0,T11/$AD$2,0)</f>
        <v>0</v>
      </c>
      <c r="V10" s="1355">
        <f>IF(NOT($U10=0),IF(NOT($AD10=1),IF($AD$3="Non-Residential",100%-Page1!$J$15*2.7678%,100%),0%),0%)</f>
        <v>0</v>
      </c>
      <c r="W10" s="1351">
        <f>IF(NOT(U10=0),VLOOKUP(B10,'LOCK_ME - Page10 - Lookups'!$B$10:$D$43,3,FALSE),0)</f>
        <v>0</v>
      </c>
      <c r="X10" s="1342">
        <f>IF(NOT($AD10=1),-T11*(100%-V10)*$AD$4,0)</f>
        <v>0</v>
      </c>
      <c r="Y10" s="1342">
        <f>X10*52.25</f>
        <v>0</v>
      </c>
      <c r="Z10" s="1342">
        <f>AA10/52.25</f>
        <v>0</v>
      </c>
      <c r="AA10" s="1342">
        <f>IF(NOT($AD10=1),IF($AD$3="Non-Residential",-Page1!$J$11/5*12*$U10,0),0)</f>
        <v>0</v>
      </c>
      <c r="AB10" s="1351"/>
      <c r="AC10" s="1340">
        <f>IF($W10&gt;0,VLOOKUP($B10,'LOCK_ME - Page10 - Lookups'!$B$10:$E$43,4,FALSE),0)</f>
        <v>0</v>
      </c>
      <c r="AD10" s="1340">
        <f>IF(NOT($U10=0),VLOOKUP($B10,'LOCK_ME - Page10 - Lookups'!$B$10:$F$43,5,FALSE),0)</f>
        <v>0</v>
      </c>
      <c r="AE10" s="1365">
        <f>A10</f>
        <v>1</v>
      </c>
      <c r="AF10" s="1367"/>
      <c r="AG10" s="1368"/>
      <c r="AH10" s="1368"/>
      <c r="AI10" s="1368"/>
      <c r="AJ10" s="1368"/>
      <c r="AK10" s="1368"/>
      <c r="AL10" s="1369"/>
      <c r="AM10" s="212"/>
    </row>
    <row r="11" spans="1:39" ht="14.25" customHeight="1" x14ac:dyDescent="0.2">
      <c r="A11" s="1374"/>
      <c r="B11" s="1354"/>
      <c r="C11" s="1382"/>
      <c r="D11" s="252" t="s">
        <v>5</v>
      </c>
      <c r="E11" s="1361">
        <f>IF(F10-E10&gt;=0,(F10-E10)*24,(F10-E10)*24+24)</f>
        <v>0</v>
      </c>
      <c r="F11" s="1362"/>
      <c r="G11" s="1361">
        <f>IF(H10-G10&gt;=0,(H10-G10)*24,(H10-G10)*24+24)</f>
        <v>0</v>
      </c>
      <c r="H11" s="1362"/>
      <c r="I11" s="1361">
        <f t="shared" ref="I11" si="4">IF(J10-I10&gt;=0,(J10-I10)*24,(J10-I10)*24+24)</f>
        <v>0</v>
      </c>
      <c r="J11" s="1362"/>
      <c r="K11" s="1361">
        <f t="shared" ref="K11" si="5">IF(L10-K10&gt;=0,(L10-K10)*24,(L10-K10)*24+24)</f>
        <v>0</v>
      </c>
      <c r="L11" s="1362"/>
      <c r="M11" s="1361">
        <f t="shared" ref="M11" si="6">IF(N10-M10&gt;=0,(N10-M10)*24,(N10-M10)*24+24)</f>
        <v>0</v>
      </c>
      <c r="N11" s="1362"/>
      <c r="O11" s="1361">
        <f t="shared" ref="O11" si="7">IF(P10-O10&gt;=0,(P10-O10)*24,(P10-O10)*24+24)</f>
        <v>0</v>
      </c>
      <c r="P11" s="1362"/>
      <c r="Q11" s="1361">
        <f t="shared" ref="Q11" si="8">IF(R10-Q10&gt;=0,(R10-Q10)*24,(R10-Q10)*24+24)</f>
        <v>0</v>
      </c>
      <c r="R11" s="1362"/>
      <c r="S11" s="713"/>
      <c r="T11" s="715">
        <f>SUM(E11:S11)</f>
        <v>0</v>
      </c>
      <c r="U11" s="1350"/>
      <c r="V11" s="1356"/>
      <c r="W11" s="1352"/>
      <c r="X11" s="1343"/>
      <c r="Y11" s="1343"/>
      <c r="Z11" s="1343"/>
      <c r="AA11" s="1343"/>
      <c r="AB11" s="1352"/>
      <c r="AC11" s="1341"/>
      <c r="AD11" s="1341"/>
      <c r="AE11" s="1366"/>
      <c r="AF11" s="1370"/>
      <c r="AG11" s="1371"/>
      <c r="AH11" s="1371"/>
      <c r="AI11" s="1371"/>
      <c r="AJ11" s="1371"/>
      <c r="AK11" s="1371"/>
      <c r="AL11" s="1372"/>
      <c r="AM11" s="212"/>
    </row>
    <row r="12" spans="1:39" ht="14.25" customHeight="1" x14ac:dyDescent="0.2">
      <c r="A12" s="1373">
        <f>A10+1</f>
        <v>2</v>
      </c>
      <c r="B12" s="1353"/>
      <c r="C12" s="1381" t="str">
        <f>IF($B12&gt;0,(VLOOKUP($B12,'LOCK_ME - Page10 - Lookups'!$C$48:$N$81,12,FALSE)),"")</f>
        <v/>
      </c>
      <c r="D12" s="211" t="s">
        <v>125</v>
      </c>
      <c r="E12" s="251"/>
      <c r="F12" s="251"/>
      <c r="G12" s="251"/>
      <c r="H12" s="251"/>
      <c r="I12" s="251"/>
      <c r="J12" s="251"/>
      <c r="K12" s="251"/>
      <c r="L12" s="251"/>
      <c r="M12" s="251"/>
      <c r="N12" s="251"/>
      <c r="O12" s="251"/>
      <c r="P12" s="251"/>
      <c r="Q12" s="251"/>
      <c r="R12" s="251"/>
      <c r="S12" s="712"/>
      <c r="T12" s="715"/>
      <c r="U12" s="1349">
        <f t="shared" ref="U12" si="9">IF($AD$2&gt;0,T13/$AD$2,0)</f>
        <v>0</v>
      </c>
      <c r="V12" s="1355">
        <f>IF(NOT($U12=0),IF(NOT($AD12=1),IF($AD$3="Non-Residential",100%-Page1!$J$15*2.7678%,100%),0%),0%)</f>
        <v>0</v>
      </c>
      <c r="W12" s="1351">
        <f>IF(NOT(U12=0),VLOOKUP(B12,'LOCK_ME - Page10 - Lookups'!$B$10:$D$43,3,FALSE),0)</f>
        <v>0</v>
      </c>
      <c r="X12" s="1342">
        <f t="shared" ref="X12" si="10">IF(NOT($AD12=1),-T13*(100%-V12)*$AD$4,0)</f>
        <v>0</v>
      </c>
      <c r="Y12" s="1342">
        <f t="shared" ref="Y12" si="11">X12*52.25</f>
        <v>0</v>
      </c>
      <c r="Z12" s="1342">
        <f t="shared" ref="Z12" si="12">AA12/52.25</f>
        <v>0</v>
      </c>
      <c r="AA12" s="1342">
        <f>IF(NOT($AD12=1),IF($AD$3="Non-Residential",-Page1!$J$11/5*12*$U12,0),0)</f>
        <v>0</v>
      </c>
      <c r="AB12" s="1351"/>
      <c r="AC12" s="1340">
        <f>IF($W12&gt;0,VLOOKUP($B12,'LOCK_ME - Page10 - Lookups'!$B$10:$E$43,4,FALSE),0)</f>
        <v>0</v>
      </c>
      <c r="AD12" s="1340">
        <f>IF(NOT($U12=0),VLOOKUP($B12,'LOCK_ME - Page10 - Lookups'!$B$10:$F$43,5,FALSE),0)</f>
        <v>0</v>
      </c>
      <c r="AE12" s="1365">
        <f>A12</f>
        <v>2</v>
      </c>
      <c r="AF12" s="1367"/>
      <c r="AG12" s="1368"/>
      <c r="AH12" s="1368"/>
      <c r="AI12" s="1368"/>
      <c r="AJ12" s="1368"/>
      <c r="AK12" s="1368"/>
      <c r="AL12" s="1369"/>
      <c r="AM12" s="212"/>
    </row>
    <row r="13" spans="1:39" ht="14.25" customHeight="1" x14ac:dyDescent="0.2">
      <c r="A13" s="1374"/>
      <c r="B13" s="1354"/>
      <c r="C13" s="1382"/>
      <c r="D13" s="211" t="s">
        <v>5</v>
      </c>
      <c r="E13" s="1361">
        <f t="shared" ref="E13" si="13">IF(F12-E12&gt;=0,(F12-E12)*24,(F12-E12)*24+24)</f>
        <v>0</v>
      </c>
      <c r="F13" s="1362"/>
      <c r="G13" s="1361">
        <f t="shared" ref="G13" si="14">IF(H12-G12&gt;=0,(H12-G12)*24,(H12-G12)*24+24)</f>
        <v>0</v>
      </c>
      <c r="H13" s="1362"/>
      <c r="I13" s="1361">
        <f t="shared" ref="I13" si="15">IF(J12-I12&gt;=0,(J12-I12)*24,(J12-I12)*24+24)</f>
        <v>0</v>
      </c>
      <c r="J13" s="1362"/>
      <c r="K13" s="1361">
        <f t="shared" ref="K13" si="16">IF(L12-K12&gt;=0,(L12-K12)*24,(L12-K12)*24+24)</f>
        <v>0</v>
      </c>
      <c r="L13" s="1362"/>
      <c r="M13" s="1361">
        <f t="shared" ref="M13" si="17">IF(N12-M12&gt;=0,(N12-M12)*24,(N12-M12)*24+24)</f>
        <v>0</v>
      </c>
      <c r="N13" s="1362"/>
      <c r="O13" s="1361">
        <f t="shared" ref="O13" si="18">IF(P12-O12&gt;=0,(P12-O12)*24,(P12-O12)*24+24)</f>
        <v>0</v>
      </c>
      <c r="P13" s="1362"/>
      <c r="Q13" s="1361">
        <f t="shared" ref="Q13" si="19">IF(R12-Q12&gt;=0,(R12-Q12)*24,(R12-Q12)*24+24)</f>
        <v>0</v>
      </c>
      <c r="R13" s="1362"/>
      <c r="S13" s="713"/>
      <c r="T13" s="715">
        <f t="shared" ref="T13" si="20">SUM(E13:S13)</f>
        <v>0</v>
      </c>
      <c r="U13" s="1350"/>
      <c r="V13" s="1356"/>
      <c r="W13" s="1352"/>
      <c r="X13" s="1343"/>
      <c r="Y13" s="1343"/>
      <c r="Z13" s="1343"/>
      <c r="AA13" s="1343"/>
      <c r="AB13" s="1352"/>
      <c r="AC13" s="1341"/>
      <c r="AD13" s="1341"/>
      <c r="AE13" s="1366"/>
      <c r="AF13" s="1370"/>
      <c r="AG13" s="1371"/>
      <c r="AH13" s="1371"/>
      <c r="AI13" s="1371"/>
      <c r="AJ13" s="1371"/>
      <c r="AK13" s="1371"/>
      <c r="AL13" s="1372"/>
      <c r="AM13" s="212"/>
    </row>
    <row r="14" spans="1:39" ht="14.25" customHeight="1" x14ac:dyDescent="0.2">
      <c r="A14" s="1373">
        <f t="shared" ref="A14" si="21">A12+1</f>
        <v>3</v>
      </c>
      <c r="B14" s="1353"/>
      <c r="C14" s="1381" t="str">
        <f>IF($B14&gt;0,(VLOOKUP($B14,'LOCK_ME - Page10 - Lookups'!$C$48:$N$81,12,FALSE)),"")</f>
        <v/>
      </c>
      <c r="D14" s="211" t="s">
        <v>125</v>
      </c>
      <c r="E14" s="251"/>
      <c r="F14" s="251"/>
      <c r="G14" s="251"/>
      <c r="H14" s="251"/>
      <c r="I14" s="251"/>
      <c r="J14" s="251"/>
      <c r="K14" s="251"/>
      <c r="L14" s="251"/>
      <c r="M14" s="251"/>
      <c r="N14" s="251"/>
      <c r="O14" s="251"/>
      <c r="P14" s="251"/>
      <c r="Q14" s="251"/>
      <c r="R14" s="251"/>
      <c r="S14" s="712"/>
      <c r="T14" s="715"/>
      <c r="U14" s="1349">
        <f t="shared" ref="U14" si="22">IF($AD$2&gt;0,T15/$AD$2,0)</f>
        <v>0</v>
      </c>
      <c r="V14" s="1355">
        <f>IF(NOT($U14=0),IF(NOT($AD14=1),IF($AD$3="Non-Residential",100%-Page1!$J$15*2.7678%,100%),0%),0%)</f>
        <v>0</v>
      </c>
      <c r="W14" s="1351">
        <f>IF(NOT(U14=0),VLOOKUP(B14,'LOCK_ME - Page10 - Lookups'!$B$10:$D$43,3,FALSE),0)</f>
        <v>0</v>
      </c>
      <c r="X14" s="1342">
        <f t="shared" ref="X14" si="23">IF(NOT($AD14=1),-T15*(100%-V14)*$AD$4,0)</f>
        <v>0</v>
      </c>
      <c r="Y14" s="1342">
        <f t="shared" ref="Y14" si="24">X14*52.25</f>
        <v>0</v>
      </c>
      <c r="Z14" s="1342">
        <f t="shared" ref="Z14" si="25">AA14/52.25</f>
        <v>0</v>
      </c>
      <c r="AA14" s="1342">
        <f>IF(NOT($AD14=1),IF($AD$3="Non-Residential",-Page1!$J$11/5*12*$U14,0),0)</f>
        <v>0</v>
      </c>
      <c r="AB14" s="1351"/>
      <c r="AC14" s="1340">
        <f>IF($W14&gt;0,VLOOKUP($B14,'LOCK_ME - Page10 - Lookups'!$B$10:$E$43,4,FALSE),0)</f>
        <v>0</v>
      </c>
      <c r="AD14" s="1340">
        <f>IF(NOT($U14=0),VLOOKUP($B14,'LOCK_ME - Page10 - Lookups'!$B$10:$F$43,5,FALSE),0)</f>
        <v>0</v>
      </c>
      <c r="AE14" s="1365">
        <f>A14</f>
        <v>3</v>
      </c>
      <c r="AF14" s="1367"/>
      <c r="AG14" s="1368"/>
      <c r="AH14" s="1368"/>
      <c r="AI14" s="1368"/>
      <c r="AJ14" s="1368"/>
      <c r="AK14" s="1368"/>
      <c r="AL14" s="1369"/>
      <c r="AM14" s="212"/>
    </row>
    <row r="15" spans="1:39" ht="14.25" customHeight="1" x14ac:dyDescent="0.2">
      <c r="A15" s="1374"/>
      <c r="B15" s="1354"/>
      <c r="C15" s="1382"/>
      <c r="D15" s="211" t="s">
        <v>5</v>
      </c>
      <c r="E15" s="1361">
        <f t="shared" ref="E15" si="26">IF(F14-E14&gt;=0,(F14-E14)*24,(F14-E14)*24+24)</f>
        <v>0</v>
      </c>
      <c r="F15" s="1362"/>
      <c r="G15" s="1361">
        <f t="shared" ref="G15" si="27">IF(H14-G14&gt;=0,(H14-G14)*24,(H14-G14)*24+24)</f>
        <v>0</v>
      </c>
      <c r="H15" s="1362"/>
      <c r="I15" s="1361">
        <f t="shared" ref="I15" si="28">IF(J14-I14&gt;=0,(J14-I14)*24,(J14-I14)*24+24)</f>
        <v>0</v>
      </c>
      <c r="J15" s="1362"/>
      <c r="K15" s="1361">
        <f t="shared" ref="K15" si="29">IF(L14-K14&gt;=0,(L14-K14)*24,(L14-K14)*24+24)</f>
        <v>0</v>
      </c>
      <c r="L15" s="1362"/>
      <c r="M15" s="1361">
        <f t="shared" ref="M15" si="30">IF(N14-M14&gt;=0,(N14-M14)*24,(N14-M14)*24+24)</f>
        <v>0</v>
      </c>
      <c r="N15" s="1362"/>
      <c r="O15" s="1361">
        <f t="shared" ref="O15" si="31">IF(P14-O14&gt;=0,(P14-O14)*24,(P14-O14)*24+24)</f>
        <v>0</v>
      </c>
      <c r="P15" s="1362"/>
      <c r="Q15" s="1361">
        <f t="shared" ref="Q15" si="32">IF(R14-Q14&gt;=0,(R14-Q14)*24,(R14-Q14)*24+24)</f>
        <v>0</v>
      </c>
      <c r="R15" s="1362"/>
      <c r="S15" s="713"/>
      <c r="T15" s="715">
        <f t="shared" ref="T15" si="33">SUM(E15:S15)</f>
        <v>0</v>
      </c>
      <c r="U15" s="1350"/>
      <c r="V15" s="1356"/>
      <c r="W15" s="1352"/>
      <c r="X15" s="1343"/>
      <c r="Y15" s="1343"/>
      <c r="Z15" s="1343"/>
      <c r="AA15" s="1343"/>
      <c r="AB15" s="1352"/>
      <c r="AC15" s="1341"/>
      <c r="AD15" s="1341"/>
      <c r="AE15" s="1366"/>
      <c r="AF15" s="1370"/>
      <c r="AG15" s="1371"/>
      <c r="AH15" s="1371"/>
      <c r="AI15" s="1371"/>
      <c r="AJ15" s="1371"/>
      <c r="AK15" s="1371"/>
      <c r="AL15" s="1372"/>
      <c r="AM15" s="212"/>
    </row>
    <row r="16" spans="1:39" ht="14.25" customHeight="1" x14ac:dyDescent="0.2">
      <c r="A16" s="1373">
        <f t="shared" ref="A16" si="34">A14+1</f>
        <v>4</v>
      </c>
      <c r="B16" s="1353"/>
      <c r="C16" s="1381" t="str">
        <f>IF($B16&gt;0,(VLOOKUP($B16,'LOCK_ME - Page10 - Lookups'!$C$48:$N$81,12,FALSE)),"")</f>
        <v/>
      </c>
      <c r="D16" s="211" t="s">
        <v>125</v>
      </c>
      <c r="E16" s="251"/>
      <c r="F16" s="251"/>
      <c r="G16" s="251"/>
      <c r="H16" s="251"/>
      <c r="I16" s="251"/>
      <c r="J16" s="251"/>
      <c r="K16" s="251"/>
      <c r="L16" s="251"/>
      <c r="M16" s="251"/>
      <c r="N16" s="251"/>
      <c r="O16" s="251"/>
      <c r="P16" s="251"/>
      <c r="Q16" s="251"/>
      <c r="R16" s="251"/>
      <c r="S16" s="712"/>
      <c r="T16" s="715"/>
      <c r="U16" s="1349">
        <f t="shared" ref="U16" si="35">IF($AD$2&gt;0,T17/$AD$2,0)</f>
        <v>0</v>
      </c>
      <c r="V16" s="1355">
        <f>IF(NOT($U16=0),IF(NOT($AD16=1),IF($AD$3="Non-Residential",100%-Page1!$J$15*2.7678%,100%),0%),0%)</f>
        <v>0</v>
      </c>
      <c r="W16" s="1351">
        <f>IF(NOT(U16=0),VLOOKUP(B16,'LOCK_ME - Page10 - Lookups'!$B$10:$D$43,3,FALSE),0)</f>
        <v>0</v>
      </c>
      <c r="X16" s="1342">
        <f t="shared" ref="X16" si="36">IF(NOT($AD16=1),-T17*(100%-V16)*$AD$4,0)</f>
        <v>0</v>
      </c>
      <c r="Y16" s="1342">
        <f t="shared" ref="Y16" si="37">X16*52.25</f>
        <v>0</v>
      </c>
      <c r="Z16" s="1342">
        <f t="shared" ref="Z16" si="38">AA16/52.25</f>
        <v>0</v>
      </c>
      <c r="AA16" s="1342">
        <f>IF(NOT($AD16=1),IF($AD$3="Non-Residential",-Page1!$J$11/5*12*$U16,0),0)</f>
        <v>0</v>
      </c>
      <c r="AB16" s="1351"/>
      <c r="AC16" s="1340">
        <f>IF($W16&gt;0,VLOOKUP($B16,'LOCK_ME - Page10 - Lookups'!$B$10:$E$43,4,FALSE),0)</f>
        <v>0</v>
      </c>
      <c r="AD16" s="1340">
        <f>IF(NOT($U16=0),VLOOKUP($B16,'LOCK_ME - Page10 - Lookups'!$B$10:$F$43,5,FALSE),0)</f>
        <v>0</v>
      </c>
      <c r="AE16" s="1365">
        <f>A16</f>
        <v>4</v>
      </c>
      <c r="AF16" s="1367"/>
      <c r="AG16" s="1368"/>
      <c r="AH16" s="1368"/>
      <c r="AI16" s="1368"/>
      <c r="AJ16" s="1368"/>
      <c r="AK16" s="1368"/>
      <c r="AL16" s="1369"/>
      <c r="AM16" s="212"/>
    </row>
    <row r="17" spans="1:39" ht="14.25" customHeight="1" x14ac:dyDescent="0.2">
      <c r="A17" s="1374"/>
      <c r="B17" s="1354"/>
      <c r="C17" s="1382"/>
      <c r="D17" s="211" t="s">
        <v>5</v>
      </c>
      <c r="E17" s="1361">
        <f t="shared" ref="E17" si="39">IF(F16-E16&gt;=0,(F16-E16)*24,(F16-E16)*24+24)</f>
        <v>0</v>
      </c>
      <c r="F17" s="1362"/>
      <c r="G17" s="1361">
        <f t="shared" ref="G17" si="40">IF(H16-G16&gt;=0,(H16-G16)*24,(H16-G16)*24+24)</f>
        <v>0</v>
      </c>
      <c r="H17" s="1362"/>
      <c r="I17" s="1361">
        <f t="shared" ref="I17" si="41">IF(J16-I16&gt;=0,(J16-I16)*24,(J16-I16)*24+24)</f>
        <v>0</v>
      </c>
      <c r="J17" s="1362"/>
      <c r="K17" s="1361">
        <f t="shared" ref="K17" si="42">IF(L16-K16&gt;=0,(L16-K16)*24,(L16-K16)*24+24)</f>
        <v>0</v>
      </c>
      <c r="L17" s="1362"/>
      <c r="M17" s="1361">
        <f t="shared" ref="M17" si="43">IF(N16-M16&gt;=0,(N16-M16)*24,(N16-M16)*24+24)</f>
        <v>0</v>
      </c>
      <c r="N17" s="1362"/>
      <c r="O17" s="1361">
        <f t="shared" ref="O17" si="44">IF(P16-O16&gt;=0,(P16-O16)*24,(P16-O16)*24+24)</f>
        <v>0</v>
      </c>
      <c r="P17" s="1362"/>
      <c r="Q17" s="1361">
        <f t="shared" ref="Q17" si="45">IF(R16-Q16&gt;=0,(R16-Q16)*24,(R16-Q16)*24+24)</f>
        <v>0</v>
      </c>
      <c r="R17" s="1362"/>
      <c r="S17" s="713"/>
      <c r="T17" s="715">
        <f t="shared" ref="T17" si="46">SUM(E17:S17)</f>
        <v>0</v>
      </c>
      <c r="U17" s="1350"/>
      <c r="V17" s="1356"/>
      <c r="W17" s="1352"/>
      <c r="X17" s="1343"/>
      <c r="Y17" s="1343"/>
      <c r="Z17" s="1343"/>
      <c r="AA17" s="1343"/>
      <c r="AB17" s="1352"/>
      <c r="AC17" s="1341"/>
      <c r="AD17" s="1341"/>
      <c r="AE17" s="1366"/>
      <c r="AF17" s="1370"/>
      <c r="AG17" s="1371"/>
      <c r="AH17" s="1371"/>
      <c r="AI17" s="1371"/>
      <c r="AJ17" s="1371"/>
      <c r="AK17" s="1371"/>
      <c r="AL17" s="1372"/>
      <c r="AM17" s="212"/>
    </row>
    <row r="18" spans="1:39" ht="14.25" customHeight="1" x14ac:dyDescent="0.2">
      <c r="A18" s="1373">
        <f t="shared" ref="A18" si="47">A16+1</f>
        <v>5</v>
      </c>
      <c r="B18" s="1353"/>
      <c r="C18" s="1381" t="str">
        <f>IF($B18&gt;0,(VLOOKUP($B18,'LOCK_ME - Page10 - Lookups'!$C$48:$N$81,12,FALSE)),"")</f>
        <v/>
      </c>
      <c r="D18" s="211" t="s">
        <v>125</v>
      </c>
      <c r="E18" s="251"/>
      <c r="F18" s="251"/>
      <c r="G18" s="251"/>
      <c r="H18" s="251"/>
      <c r="I18" s="251"/>
      <c r="J18" s="251"/>
      <c r="K18" s="251"/>
      <c r="L18" s="251"/>
      <c r="M18" s="251"/>
      <c r="N18" s="251"/>
      <c r="O18" s="251"/>
      <c r="P18" s="251"/>
      <c r="Q18" s="251"/>
      <c r="R18" s="251"/>
      <c r="S18" s="712"/>
      <c r="T18" s="715"/>
      <c r="U18" s="1349">
        <f t="shared" ref="U18" si="48">IF($AD$2&gt;0,T19/$AD$2,0)</f>
        <v>0</v>
      </c>
      <c r="V18" s="1355">
        <f>IF(NOT($U18=0),IF(NOT($AD18=1),IF($AD$3="Non-Residential",100%-Page1!$J$15*2.7678%,100%),0%),0%)</f>
        <v>0</v>
      </c>
      <c r="W18" s="1351">
        <f>IF(NOT(U18=0),VLOOKUP(B18,'LOCK_ME - Page10 - Lookups'!$B$10:$D$43,3,FALSE),0)</f>
        <v>0</v>
      </c>
      <c r="X18" s="1342">
        <f t="shared" ref="X18" si="49">IF(NOT($AD18=1),-T19*(100%-V18)*$AD$4,0)</f>
        <v>0</v>
      </c>
      <c r="Y18" s="1342">
        <f t="shared" ref="Y18" si="50">X18*52.25</f>
        <v>0</v>
      </c>
      <c r="Z18" s="1342">
        <f t="shared" ref="Z18" si="51">AA18/52.25</f>
        <v>0</v>
      </c>
      <c r="AA18" s="1342">
        <f>IF(NOT($AD18=1),IF($AD$3="Non-Residential",-Page1!$J$11/5*12*$U18,0),0)</f>
        <v>0</v>
      </c>
      <c r="AB18" s="1351"/>
      <c r="AC18" s="1340">
        <f>IF($W18&gt;0,VLOOKUP($B18,'LOCK_ME - Page10 - Lookups'!$B$10:$E$43,4,FALSE),0)</f>
        <v>0</v>
      </c>
      <c r="AD18" s="1340">
        <f>IF(NOT($U18=0),VLOOKUP($B18,'LOCK_ME - Page10 - Lookups'!$B$10:$F$43,5,FALSE),0)</f>
        <v>0</v>
      </c>
      <c r="AE18" s="1365">
        <f>A18</f>
        <v>5</v>
      </c>
      <c r="AF18" s="1367"/>
      <c r="AG18" s="1368"/>
      <c r="AH18" s="1368"/>
      <c r="AI18" s="1368"/>
      <c r="AJ18" s="1368"/>
      <c r="AK18" s="1368"/>
      <c r="AL18" s="1369"/>
      <c r="AM18" s="212"/>
    </row>
    <row r="19" spans="1:39" ht="14.25" customHeight="1" x14ac:dyDescent="0.2">
      <c r="A19" s="1374"/>
      <c r="B19" s="1354"/>
      <c r="C19" s="1382"/>
      <c r="D19" s="211" t="s">
        <v>5</v>
      </c>
      <c r="E19" s="1361">
        <f t="shared" ref="E19" si="52">IF(F18-E18&gt;=0,(F18-E18)*24,(F18-E18)*24+24)</f>
        <v>0</v>
      </c>
      <c r="F19" s="1362"/>
      <c r="G19" s="1361">
        <f t="shared" ref="G19" si="53">IF(H18-G18&gt;=0,(H18-G18)*24,(H18-G18)*24+24)</f>
        <v>0</v>
      </c>
      <c r="H19" s="1362"/>
      <c r="I19" s="1361">
        <f t="shared" ref="I19" si="54">IF(J18-I18&gt;=0,(J18-I18)*24,(J18-I18)*24+24)</f>
        <v>0</v>
      </c>
      <c r="J19" s="1362"/>
      <c r="K19" s="1361">
        <f t="shared" ref="K19" si="55">IF(L18-K18&gt;=0,(L18-K18)*24,(L18-K18)*24+24)</f>
        <v>0</v>
      </c>
      <c r="L19" s="1362"/>
      <c r="M19" s="1361">
        <f t="shared" ref="M19" si="56">IF(N18-M18&gt;=0,(N18-M18)*24,(N18-M18)*24+24)</f>
        <v>0</v>
      </c>
      <c r="N19" s="1362"/>
      <c r="O19" s="1361">
        <f t="shared" ref="O19" si="57">IF(P18-O18&gt;=0,(P18-O18)*24,(P18-O18)*24+24)</f>
        <v>0</v>
      </c>
      <c r="P19" s="1362"/>
      <c r="Q19" s="1361">
        <f t="shared" ref="Q19" si="58">IF(R18-Q18&gt;=0,(R18-Q18)*24,(R18-Q18)*24+24)</f>
        <v>0</v>
      </c>
      <c r="R19" s="1362"/>
      <c r="S19" s="713"/>
      <c r="T19" s="715">
        <f t="shared" ref="T19" si="59">SUM(E19:S19)</f>
        <v>0</v>
      </c>
      <c r="U19" s="1350"/>
      <c r="V19" s="1356"/>
      <c r="W19" s="1352"/>
      <c r="X19" s="1343"/>
      <c r="Y19" s="1343"/>
      <c r="Z19" s="1343"/>
      <c r="AA19" s="1343"/>
      <c r="AB19" s="1352"/>
      <c r="AC19" s="1341"/>
      <c r="AD19" s="1341"/>
      <c r="AE19" s="1366"/>
      <c r="AF19" s="1370"/>
      <c r="AG19" s="1371"/>
      <c r="AH19" s="1371"/>
      <c r="AI19" s="1371"/>
      <c r="AJ19" s="1371"/>
      <c r="AK19" s="1371"/>
      <c r="AL19" s="1372"/>
      <c r="AM19" s="212"/>
    </row>
    <row r="20" spans="1:39" ht="14.25" customHeight="1" x14ac:dyDescent="0.2">
      <c r="A20" s="1373">
        <f t="shared" ref="A20" si="60">A18+1</f>
        <v>6</v>
      </c>
      <c r="B20" s="1353"/>
      <c r="C20" s="1381" t="str">
        <f>IF($B20&gt;0,(VLOOKUP($B20,'LOCK_ME - Page10 - Lookups'!$C$48:$N$81,12,FALSE)),"")</f>
        <v/>
      </c>
      <c r="D20" s="211" t="s">
        <v>125</v>
      </c>
      <c r="E20" s="251"/>
      <c r="F20" s="251"/>
      <c r="G20" s="251"/>
      <c r="H20" s="251"/>
      <c r="I20" s="251"/>
      <c r="J20" s="251"/>
      <c r="K20" s="251"/>
      <c r="L20" s="251"/>
      <c r="M20" s="251"/>
      <c r="N20" s="251"/>
      <c r="O20" s="251"/>
      <c r="P20" s="251"/>
      <c r="Q20" s="251"/>
      <c r="R20" s="251"/>
      <c r="S20" s="712"/>
      <c r="T20" s="715"/>
      <c r="U20" s="1349">
        <f t="shared" ref="U20" si="61">IF($AD$2&gt;0,T21/$AD$2,0)</f>
        <v>0</v>
      </c>
      <c r="V20" s="1355">
        <f>IF(NOT($U20=0),IF(NOT($AD20=1),IF($AD$3="Non-Residential",100%-Page1!$J$15*2.7678%,100%),0%),0%)</f>
        <v>0</v>
      </c>
      <c r="W20" s="1351">
        <f>IF(NOT(U20=0),VLOOKUP(B20,'LOCK_ME - Page10 - Lookups'!$B$10:$D$43,3,FALSE),0)</f>
        <v>0</v>
      </c>
      <c r="X20" s="1342">
        <f t="shared" ref="X20" si="62">IF(NOT($AD20=1),-T21*(100%-V20)*$AD$4,0)</f>
        <v>0</v>
      </c>
      <c r="Y20" s="1342">
        <f t="shared" ref="Y20" si="63">X20*52.25</f>
        <v>0</v>
      </c>
      <c r="Z20" s="1342">
        <f t="shared" ref="Z20" si="64">AA20/52.25</f>
        <v>0</v>
      </c>
      <c r="AA20" s="1342">
        <f>IF(NOT($AD20=1),IF($AD$3="Non-Residential",-Page1!$J$11/5*12*$U20,0),0)</f>
        <v>0</v>
      </c>
      <c r="AB20" s="1351"/>
      <c r="AC20" s="1340">
        <f>IF($W20&gt;0,VLOOKUP($B20,'LOCK_ME - Page10 - Lookups'!$B$10:$E$43,4,FALSE),0)</f>
        <v>0</v>
      </c>
      <c r="AD20" s="1340">
        <f>IF(NOT($U20=0),VLOOKUP($B20,'LOCK_ME - Page10 - Lookups'!$B$10:$F$43,5,FALSE),0)</f>
        <v>0</v>
      </c>
      <c r="AE20" s="1365">
        <f>A20</f>
        <v>6</v>
      </c>
      <c r="AF20" s="1367"/>
      <c r="AG20" s="1368"/>
      <c r="AH20" s="1368"/>
      <c r="AI20" s="1368"/>
      <c r="AJ20" s="1368"/>
      <c r="AK20" s="1368"/>
      <c r="AL20" s="1369"/>
      <c r="AM20" s="212"/>
    </row>
    <row r="21" spans="1:39" ht="14.25" customHeight="1" x14ac:dyDescent="0.2">
      <c r="A21" s="1374"/>
      <c r="B21" s="1354"/>
      <c r="C21" s="1382"/>
      <c r="D21" s="211" t="s">
        <v>5</v>
      </c>
      <c r="E21" s="1361">
        <f t="shared" ref="E21" si="65">IF(F20-E20&gt;=0,(F20-E20)*24,(F20-E20)*24+24)</f>
        <v>0</v>
      </c>
      <c r="F21" s="1362"/>
      <c r="G21" s="1361">
        <f t="shared" ref="G21" si="66">IF(H20-G20&gt;=0,(H20-G20)*24,(H20-G20)*24+24)</f>
        <v>0</v>
      </c>
      <c r="H21" s="1362"/>
      <c r="I21" s="1361">
        <f t="shared" ref="I21" si="67">IF(J20-I20&gt;=0,(J20-I20)*24,(J20-I20)*24+24)</f>
        <v>0</v>
      </c>
      <c r="J21" s="1362"/>
      <c r="K21" s="1361">
        <f t="shared" ref="K21" si="68">IF(L20-K20&gt;=0,(L20-K20)*24,(L20-K20)*24+24)</f>
        <v>0</v>
      </c>
      <c r="L21" s="1362"/>
      <c r="M21" s="1361">
        <f t="shared" ref="M21" si="69">IF(N20-M20&gt;=0,(N20-M20)*24,(N20-M20)*24+24)</f>
        <v>0</v>
      </c>
      <c r="N21" s="1362"/>
      <c r="O21" s="1361">
        <f t="shared" ref="O21" si="70">IF(P20-O20&gt;=0,(P20-O20)*24,(P20-O20)*24+24)</f>
        <v>0</v>
      </c>
      <c r="P21" s="1362"/>
      <c r="Q21" s="1361">
        <f t="shared" ref="Q21" si="71">IF(R20-Q20&gt;=0,(R20-Q20)*24,(R20-Q20)*24+24)</f>
        <v>0</v>
      </c>
      <c r="R21" s="1362"/>
      <c r="S21" s="713"/>
      <c r="T21" s="715">
        <f t="shared" ref="T21" si="72">SUM(E21:S21)</f>
        <v>0</v>
      </c>
      <c r="U21" s="1350"/>
      <c r="V21" s="1356"/>
      <c r="W21" s="1352"/>
      <c r="X21" s="1343"/>
      <c r="Y21" s="1343"/>
      <c r="Z21" s="1343"/>
      <c r="AA21" s="1343"/>
      <c r="AB21" s="1352"/>
      <c r="AC21" s="1341"/>
      <c r="AD21" s="1341"/>
      <c r="AE21" s="1366"/>
      <c r="AF21" s="1370"/>
      <c r="AG21" s="1371"/>
      <c r="AH21" s="1371"/>
      <c r="AI21" s="1371"/>
      <c r="AJ21" s="1371"/>
      <c r="AK21" s="1371"/>
      <c r="AL21" s="1372"/>
      <c r="AM21" s="212"/>
    </row>
    <row r="22" spans="1:39" ht="14.25" customHeight="1" x14ac:dyDescent="0.2">
      <c r="A22" s="1373">
        <f t="shared" ref="A22" si="73">A20+1</f>
        <v>7</v>
      </c>
      <c r="B22" s="1353"/>
      <c r="C22" s="1381" t="str">
        <f>IF($B22&gt;0,(VLOOKUP($B22,'LOCK_ME - Page10 - Lookups'!$C$48:$N$81,12,FALSE)),"")</f>
        <v/>
      </c>
      <c r="D22" s="211" t="s">
        <v>125</v>
      </c>
      <c r="E22" s="251"/>
      <c r="F22" s="251"/>
      <c r="G22" s="251"/>
      <c r="H22" s="251"/>
      <c r="I22" s="251"/>
      <c r="J22" s="251"/>
      <c r="K22" s="251"/>
      <c r="L22" s="251"/>
      <c r="M22" s="251"/>
      <c r="N22" s="251"/>
      <c r="O22" s="251"/>
      <c r="P22" s="251"/>
      <c r="Q22" s="251"/>
      <c r="R22" s="251"/>
      <c r="S22" s="712"/>
      <c r="T22" s="715"/>
      <c r="U22" s="1349">
        <f t="shared" ref="U22" si="74">IF($AD$2&gt;0,T23/$AD$2,0)</f>
        <v>0</v>
      </c>
      <c r="V22" s="1355">
        <f>IF(NOT($U22=0),IF(NOT($AD22=1),IF($AD$3="Non-Residential",100%-Page1!$J$15*2.7678%,100%),0%),0%)</f>
        <v>0</v>
      </c>
      <c r="W22" s="1351">
        <f>IF(NOT(U22=0),VLOOKUP(B22,'LOCK_ME - Page10 - Lookups'!$B$10:$D$43,3,FALSE),0)</f>
        <v>0</v>
      </c>
      <c r="X22" s="1342">
        <f t="shared" ref="X22" si="75">IF(NOT($AD22=1),-T23*(100%-V22)*$AD$4,0)</f>
        <v>0</v>
      </c>
      <c r="Y22" s="1342">
        <f t="shared" ref="Y22" si="76">X22*52.25</f>
        <v>0</v>
      </c>
      <c r="Z22" s="1342">
        <f t="shared" ref="Z22" si="77">AA22/52.25</f>
        <v>0</v>
      </c>
      <c r="AA22" s="1342">
        <f>IF(NOT($AD22=1),IF($AD$3="Non-Residential",-Page1!$J$11/5*12*$U22,0),0)</f>
        <v>0</v>
      </c>
      <c r="AB22" s="1351"/>
      <c r="AC22" s="1340">
        <f>IF($W22&gt;0,VLOOKUP($B22,'LOCK_ME - Page10 - Lookups'!$B$10:$E$43,4,FALSE),0)</f>
        <v>0</v>
      </c>
      <c r="AD22" s="1340">
        <f>IF(NOT($U22=0),VLOOKUP($B22,'LOCK_ME - Page10 - Lookups'!$B$10:$F$43,5,FALSE),0)</f>
        <v>0</v>
      </c>
      <c r="AE22" s="1365">
        <f>A22</f>
        <v>7</v>
      </c>
      <c r="AF22" s="1367"/>
      <c r="AG22" s="1368"/>
      <c r="AH22" s="1368"/>
      <c r="AI22" s="1368"/>
      <c r="AJ22" s="1368"/>
      <c r="AK22" s="1368"/>
      <c r="AL22" s="1369"/>
      <c r="AM22" s="212"/>
    </row>
    <row r="23" spans="1:39" ht="14.25" customHeight="1" x14ac:dyDescent="0.2">
      <c r="A23" s="1374"/>
      <c r="B23" s="1354"/>
      <c r="C23" s="1382"/>
      <c r="D23" s="211" t="s">
        <v>5</v>
      </c>
      <c r="E23" s="1361">
        <f t="shared" ref="E23" si="78">IF(F22-E22&gt;=0,(F22-E22)*24,(F22-E22)*24+24)</f>
        <v>0</v>
      </c>
      <c r="F23" s="1362"/>
      <c r="G23" s="1361">
        <f t="shared" ref="G23" si="79">IF(H22-G22&gt;=0,(H22-G22)*24,(H22-G22)*24+24)</f>
        <v>0</v>
      </c>
      <c r="H23" s="1362"/>
      <c r="I23" s="1361">
        <f t="shared" ref="I23" si="80">IF(J22-I22&gt;=0,(J22-I22)*24,(J22-I22)*24+24)</f>
        <v>0</v>
      </c>
      <c r="J23" s="1362"/>
      <c r="K23" s="1361">
        <f t="shared" ref="K23" si="81">IF(L22-K22&gt;=0,(L22-K22)*24,(L22-K22)*24+24)</f>
        <v>0</v>
      </c>
      <c r="L23" s="1362"/>
      <c r="M23" s="1361">
        <f t="shared" ref="M23" si="82">IF(N22-M22&gt;=0,(N22-M22)*24,(N22-M22)*24+24)</f>
        <v>0</v>
      </c>
      <c r="N23" s="1362"/>
      <c r="O23" s="1361">
        <f t="shared" ref="O23" si="83">IF(P22-O22&gt;=0,(P22-O22)*24,(P22-O22)*24+24)</f>
        <v>0</v>
      </c>
      <c r="P23" s="1362"/>
      <c r="Q23" s="1361">
        <f t="shared" ref="Q23" si="84">IF(R22-Q22&gt;=0,(R22-Q22)*24,(R22-Q22)*24+24)</f>
        <v>0</v>
      </c>
      <c r="R23" s="1362"/>
      <c r="S23" s="713"/>
      <c r="T23" s="715">
        <f t="shared" ref="T23" si="85">SUM(E23:S23)</f>
        <v>0</v>
      </c>
      <c r="U23" s="1350"/>
      <c r="V23" s="1356"/>
      <c r="W23" s="1352"/>
      <c r="X23" s="1343"/>
      <c r="Y23" s="1343"/>
      <c r="Z23" s="1343"/>
      <c r="AA23" s="1343"/>
      <c r="AB23" s="1352"/>
      <c r="AC23" s="1341"/>
      <c r="AD23" s="1341"/>
      <c r="AE23" s="1366"/>
      <c r="AF23" s="1370"/>
      <c r="AG23" s="1371"/>
      <c r="AH23" s="1371"/>
      <c r="AI23" s="1371"/>
      <c r="AJ23" s="1371"/>
      <c r="AK23" s="1371"/>
      <c r="AL23" s="1372"/>
      <c r="AM23" s="212"/>
    </row>
    <row r="24" spans="1:39" ht="14.25" customHeight="1" x14ac:dyDescent="0.2">
      <c r="A24" s="1373">
        <f t="shared" ref="A24" si="86">A22+1</f>
        <v>8</v>
      </c>
      <c r="B24" s="1353"/>
      <c r="C24" s="1381" t="str">
        <f>IF($B24&gt;0,(VLOOKUP($B24,'LOCK_ME - Page10 - Lookups'!$C$48:$N$81,12,FALSE)),"")</f>
        <v/>
      </c>
      <c r="D24" s="211" t="s">
        <v>125</v>
      </c>
      <c r="E24" s="251"/>
      <c r="F24" s="251"/>
      <c r="G24" s="251"/>
      <c r="H24" s="251"/>
      <c r="I24" s="251"/>
      <c r="J24" s="251"/>
      <c r="K24" s="251"/>
      <c r="L24" s="251"/>
      <c r="M24" s="251"/>
      <c r="N24" s="251"/>
      <c r="O24" s="251"/>
      <c r="P24" s="251"/>
      <c r="Q24" s="251"/>
      <c r="R24" s="251"/>
      <c r="S24" s="712"/>
      <c r="T24" s="715"/>
      <c r="U24" s="1349">
        <f t="shared" ref="U24" si="87">IF($AD$2&gt;0,T25/$AD$2,0)</f>
        <v>0</v>
      </c>
      <c r="V24" s="1355">
        <f>IF(NOT($U24=0),IF(NOT($AD24=1),IF($AD$3="Non-Residential",100%-Page1!$J$15*2.7678%,100%),0%),0%)</f>
        <v>0</v>
      </c>
      <c r="W24" s="1351">
        <f>IF(NOT(U24=0),VLOOKUP(B24,'LOCK_ME - Page10 - Lookups'!$B$10:$D$43,3,FALSE),0)</f>
        <v>0</v>
      </c>
      <c r="X24" s="1342">
        <f t="shared" ref="X24" si="88">IF(NOT($AD24=1),-T25*(100%-V24)*$AD$4,0)</f>
        <v>0</v>
      </c>
      <c r="Y24" s="1342">
        <f t="shared" ref="Y24" si="89">X24*52.25</f>
        <v>0</v>
      </c>
      <c r="Z24" s="1342">
        <f t="shared" ref="Z24" si="90">AA24/52.25</f>
        <v>0</v>
      </c>
      <c r="AA24" s="1342">
        <f>IF(NOT($AD24=1),IF($AD$3="Non-Residential",-Page1!$J$11/5*12*$U24,0),0)</f>
        <v>0</v>
      </c>
      <c r="AB24" s="1351"/>
      <c r="AC24" s="1340">
        <f>IF($W24&gt;0,VLOOKUP($B24,'LOCK_ME - Page10 - Lookups'!$B$10:$E$43,4,FALSE),0)</f>
        <v>0</v>
      </c>
      <c r="AD24" s="1340">
        <f>IF(NOT($U24=0),VLOOKUP($B24,'LOCK_ME - Page10 - Lookups'!$B$10:$F$43,5,FALSE),0)</f>
        <v>0</v>
      </c>
      <c r="AE24" s="1365">
        <f>A24</f>
        <v>8</v>
      </c>
      <c r="AF24" s="1367"/>
      <c r="AG24" s="1368"/>
      <c r="AH24" s="1368"/>
      <c r="AI24" s="1368"/>
      <c r="AJ24" s="1368"/>
      <c r="AK24" s="1368"/>
      <c r="AL24" s="1369"/>
      <c r="AM24" s="212"/>
    </row>
    <row r="25" spans="1:39" ht="14.25" customHeight="1" x14ac:dyDescent="0.2">
      <c r="A25" s="1374"/>
      <c r="B25" s="1354"/>
      <c r="C25" s="1382"/>
      <c r="D25" s="211" t="s">
        <v>5</v>
      </c>
      <c r="E25" s="1361">
        <f t="shared" ref="E25" si="91">IF(F24-E24&gt;=0,(F24-E24)*24,(F24-E24)*24+24)</f>
        <v>0</v>
      </c>
      <c r="F25" s="1362"/>
      <c r="G25" s="1361">
        <f t="shared" ref="G25" si="92">IF(H24-G24&gt;=0,(H24-G24)*24,(H24-G24)*24+24)</f>
        <v>0</v>
      </c>
      <c r="H25" s="1362"/>
      <c r="I25" s="1361">
        <f t="shared" ref="I25" si="93">IF(J24-I24&gt;=0,(J24-I24)*24,(J24-I24)*24+24)</f>
        <v>0</v>
      </c>
      <c r="J25" s="1362"/>
      <c r="K25" s="1361">
        <f t="shared" ref="K25" si="94">IF(L24-K24&gt;=0,(L24-K24)*24,(L24-K24)*24+24)</f>
        <v>0</v>
      </c>
      <c r="L25" s="1362"/>
      <c r="M25" s="1361">
        <f t="shared" ref="M25" si="95">IF(N24-M24&gt;=0,(N24-M24)*24,(N24-M24)*24+24)</f>
        <v>0</v>
      </c>
      <c r="N25" s="1362"/>
      <c r="O25" s="1361">
        <f t="shared" ref="O25" si="96">IF(P24-O24&gt;=0,(P24-O24)*24,(P24-O24)*24+24)</f>
        <v>0</v>
      </c>
      <c r="P25" s="1362"/>
      <c r="Q25" s="1361">
        <f t="shared" ref="Q25" si="97">IF(R24-Q24&gt;=0,(R24-Q24)*24,(R24-Q24)*24+24)</f>
        <v>0</v>
      </c>
      <c r="R25" s="1362"/>
      <c r="S25" s="713"/>
      <c r="T25" s="715">
        <f t="shared" ref="T25" si="98">SUM(E25:S25)</f>
        <v>0</v>
      </c>
      <c r="U25" s="1350"/>
      <c r="V25" s="1356"/>
      <c r="W25" s="1352"/>
      <c r="X25" s="1343"/>
      <c r="Y25" s="1343"/>
      <c r="Z25" s="1343"/>
      <c r="AA25" s="1343"/>
      <c r="AB25" s="1352"/>
      <c r="AC25" s="1341"/>
      <c r="AD25" s="1341"/>
      <c r="AE25" s="1366"/>
      <c r="AF25" s="1370"/>
      <c r="AG25" s="1371"/>
      <c r="AH25" s="1371"/>
      <c r="AI25" s="1371"/>
      <c r="AJ25" s="1371"/>
      <c r="AK25" s="1371"/>
      <c r="AL25" s="1372"/>
      <c r="AM25" s="212"/>
    </row>
    <row r="26" spans="1:39" ht="14.25" customHeight="1" x14ac:dyDescent="0.2">
      <c r="A26" s="1373">
        <f t="shared" ref="A26" si="99">A24+1</f>
        <v>9</v>
      </c>
      <c r="B26" s="1353"/>
      <c r="C26" s="1381" t="str">
        <f>IF($B26&gt;0,(VLOOKUP($B26,'LOCK_ME - Page10 - Lookups'!$C$48:$N$81,12,FALSE)),"")</f>
        <v/>
      </c>
      <c r="D26" s="211" t="s">
        <v>125</v>
      </c>
      <c r="E26" s="251"/>
      <c r="F26" s="251"/>
      <c r="G26" s="251"/>
      <c r="H26" s="251"/>
      <c r="I26" s="251"/>
      <c r="J26" s="251"/>
      <c r="K26" s="251"/>
      <c r="L26" s="251"/>
      <c r="M26" s="251"/>
      <c r="N26" s="251"/>
      <c r="O26" s="251"/>
      <c r="P26" s="251"/>
      <c r="Q26" s="251"/>
      <c r="R26" s="251"/>
      <c r="S26" s="712"/>
      <c r="T26" s="715"/>
      <c r="U26" s="1349">
        <f t="shared" ref="U26" si="100">IF($AD$2&gt;0,T27/$AD$2,0)</f>
        <v>0</v>
      </c>
      <c r="V26" s="1355">
        <f>IF(NOT($U26=0),IF(NOT($AD26=1),IF($AD$3="Non-Residential",100%-Page1!$J$15*2.7678%,100%),0%),0%)</f>
        <v>0</v>
      </c>
      <c r="W26" s="1351">
        <f>IF(NOT(U26=0),VLOOKUP(B26,'LOCK_ME - Page10 - Lookups'!$B$10:$D$43,3,FALSE),0)</f>
        <v>0</v>
      </c>
      <c r="X26" s="1342">
        <f t="shared" ref="X26" si="101">IF(NOT($AD26=1),-T27*(100%-V26)*$AD$4,0)</f>
        <v>0</v>
      </c>
      <c r="Y26" s="1342">
        <f t="shared" ref="Y26" si="102">X26*52.25</f>
        <v>0</v>
      </c>
      <c r="Z26" s="1342">
        <f t="shared" ref="Z26" si="103">AA26/52.25</f>
        <v>0</v>
      </c>
      <c r="AA26" s="1342">
        <f>IF(NOT($AD26=1),IF($AD$3="Non-Residential",-Page1!$J$11/5*12*$U26,0),0)</f>
        <v>0</v>
      </c>
      <c r="AB26" s="1351"/>
      <c r="AC26" s="1340">
        <f>IF($W26&gt;0,VLOOKUP($B26,'LOCK_ME - Page10 - Lookups'!$B$10:$E$43,4,FALSE),0)</f>
        <v>0</v>
      </c>
      <c r="AD26" s="1340">
        <f>IF(NOT($U26=0),VLOOKUP($B26,'LOCK_ME - Page10 - Lookups'!$B$10:$F$43,5,FALSE),0)</f>
        <v>0</v>
      </c>
      <c r="AE26" s="1365">
        <f t="shared" ref="AE26" si="104">A26</f>
        <v>9</v>
      </c>
      <c r="AF26" s="1367"/>
      <c r="AG26" s="1368"/>
      <c r="AH26" s="1368"/>
      <c r="AI26" s="1368"/>
      <c r="AJ26" s="1368"/>
      <c r="AK26" s="1368"/>
      <c r="AL26" s="1369"/>
      <c r="AM26" s="212"/>
    </row>
    <row r="27" spans="1:39" ht="14.25" customHeight="1" x14ac:dyDescent="0.2">
      <c r="A27" s="1374"/>
      <c r="B27" s="1354"/>
      <c r="C27" s="1382"/>
      <c r="D27" s="211" t="s">
        <v>5</v>
      </c>
      <c r="E27" s="1361">
        <f t="shared" ref="E27" si="105">IF(F26-E26&gt;=0,(F26-E26)*24,(F26-E26)*24+24)</f>
        <v>0</v>
      </c>
      <c r="F27" s="1362"/>
      <c r="G27" s="1361">
        <f t="shared" ref="G27" si="106">IF(H26-G26&gt;=0,(H26-G26)*24,(H26-G26)*24+24)</f>
        <v>0</v>
      </c>
      <c r="H27" s="1362"/>
      <c r="I27" s="1361">
        <f t="shared" ref="I27" si="107">IF(J26-I26&gt;=0,(J26-I26)*24,(J26-I26)*24+24)</f>
        <v>0</v>
      </c>
      <c r="J27" s="1362"/>
      <c r="K27" s="1361">
        <f t="shared" ref="K27" si="108">IF(L26-K26&gt;=0,(L26-K26)*24,(L26-K26)*24+24)</f>
        <v>0</v>
      </c>
      <c r="L27" s="1362"/>
      <c r="M27" s="1361">
        <f t="shared" ref="M27" si="109">IF(N26-M26&gt;=0,(N26-M26)*24,(N26-M26)*24+24)</f>
        <v>0</v>
      </c>
      <c r="N27" s="1362"/>
      <c r="O27" s="1361">
        <f t="shared" ref="O27" si="110">IF(P26-O26&gt;=0,(P26-O26)*24,(P26-O26)*24+24)</f>
        <v>0</v>
      </c>
      <c r="P27" s="1362"/>
      <c r="Q27" s="1361">
        <f t="shared" ref="Q27" si="111">IF(R26-Q26&gt;=0,(R26-Q26)*24,(R26-Q26)*24+24)</f>
        <v>0</v>
      </c>
      <c r="R27" s="1362"/>
      <c r="S27" s="713"/>
      <c r="T27" s="715">
        <f t="shared" ref="T27" si="112">SUM(E27:S27)</f>
        <v>0</v>
      </c>
      <c r="U27" s="1350"/>
      <c r="V27" s="1356"/>
      <c r="W27" s="1352"/>
      <c r="X27" s="1343"/>
      <c r="Y27" s="1343"/>
      <c r="Z27" s="1343"/>
      <c r="AA27" s="1343"/>
      <c r="AB27" s="1352"/>
      <c r="AC27" s="1341"/>
      <c r="AD27" s="1341"/>
      <c r="AE27" s="1366"/>
      <c r="AF27" s="1370"/>
      <c r="AG27" s="1371"/>
      <c r="AH27" s="1371"/>
      <c r="AI27" s="1371"/>
      <c r="AJ27" s="1371"/>
      <c r="AK27" s="1371"/>
      <c r="AL27" s="1372"/>
      <c r="AM27" s="212"/>
    </row>
    <row r="28" spans="1:39" ht="14.25" customHeight="1" x14ac:dyDescent="0.2">
      <c r="A28" s="1373">
        <f t="shared" ref="A28" si="113">A26+1</f>
        <v>10</v>
      </c>
      <c r="B28" s="1353"/>
      <c r="C28" s="1381" t="str">
        <f>IF($B28&gt;0,(VLOOKUP($B28,'LOCK_ME - Page10 - Lookups'!$C$48:$N$81,12,FALSE)),"")</f>
        <v/>
      </c>
      <c r="D28" s="211" t="s">
        <v>125</v>
      </c>
      <c r="E28" s="251"/>
      <c r="F28" s="251"/>
      <c r="G28" s="251"/>
      <c r="H28" s="251"/>
      <c r="I28" s="251"/>
      <c r="J28" s="251"/>
      <c r="K28" s="251"/>
      <c r="L28" s="251"/>
      <c r="M28" s="251"/>
      <c r="N28" s="251"/>
      <c r="O28" s="251"/>
      <c r="P28" s="251"/>
      <c r="Q28" s="251"/>
      <c r="R28" s="251"/>
      <c r="S28" s="712"/>
      <c r="T28" s="715"/>
      <c r="U28" s="1349">
        <f>IF($AD$2&gt;0,T29/$AD$2,0)</f>
        <v>0</v>
      </c>
      <c r="V28" s="1355">
        <f>IF(NOT($U28=0),IF(NOT($AD28=1),IF($AD$3="Non-Residential",100%-Page1!$J$15*2.7678%,100%),0%),0%)</f>
        <v>0</v>
      </c>
      <c r="W28" s="1351">
        <f>IF(NOT(U28=0),VLOOKUP(B28,'LOCK_ME - Page10 - Lookups'!$B$10:$D$43,3,FALSE),0)</f>
        <v>0</v>
      </c>
      <c r="X28" s="1342">
        <f t="shared" ref="X28" si="114">IF(NOT($AD28=1),-T29*(100%-V28)*$AD$4,0)</f>
        <v>0</v>
      </c>
      <c r="Y28" s="1342">
        <f t="shared" ref="Y28" si="115">X28*52.25</f>
        <v>0</v>
      </c>
      <c r="Z28" s="1342">
        <f t="shared" ref="Z28" si="116">AA28/52.25</f>
        <v>0</v>
      </c>
      <c r="AA28" s="1342">
        <f>IF(NOT($AD28=1),IF($AD$3="Non-Residential",-Page1!$J$11/5*12*$U28,0),0)</f>
        <v>0</v>
      </c>
      <c r="AB28" s="1351"/>
      <c r="AC28" s="1340">
        <f>IF($W28&gt;0,VLOOKUP($B28,'LOCK_ME - Page10 - Lookups'!$B$10:$E$43,4,FALSE),0)</f>
        <v>0</v>
      </c>
      <c r="AD28" s="1340">
        <f>IF(NOT($U28=0),VLOOKUP($B28,'LOCK_ME - Page10 - Lookups'!$B$10:$F$43,5,FALSE),0)</f>
        <v>0</v>
      </c>
      <c r="AE28" s="1365">
        <f t="shared" ref="AE28" si="117">A28</f>
        <v>10</v>
      </c>
      <c r="AF28" s="1367"/>
      <c r="AG28" s="1368"/>
      <c r="AH28" s="1368"/>
      <c r="AI28" s="1368"/>
      <c r="AJ28" s="1368"/>
      <c r="AK28" s="1368"/>
      <c r="AL28" s="1369"/>
      <c r="AM28" s="212"/>
    </row>
    <row r="29" spans="1:39" ht="14.25" customHeight="1" x14ac:dyDescent="0.2">
      <c r="A29" s="1374"/>
      <c r="B29" s="1354"/>
      <c r="C29" s="1382"/>
      <c r="D29" s="211" t="s">
        <v>5</v>
      </c>
      <c r="E29" s="1361">
        <f t="shared" ref="E29" si="118">IF(F28-E28&gt;=0,(F28-E28)*24,(F28-E28)*24+24)</f>
        <v>0</v>
      </c>
      <c r="F29" s="1362"/>
      <c r="G29" s="1361">
        <f t="shared" ref="G29" si="119">IF(H28-G28&gt;=0,(H28-G28)*24,(H28-G28)*24+24)</f>
        <v>0</v>
      </c>
      <c r="H29" s="1362"/>
      <c r="I29" s="1361">
        <f t="shared" ref="I29" si="120">IF(J28-I28&gt;=0,(J28-I28)*24,(J28-I28)*24+24)</f>
        <v>0</v>
      </c>
      <c r="J29" s="1362"/>
      <c r="K29" s="1361">
        <f t="shared" ref="K29" si="121">IF(L28-K28&gt;=0,(L28-K28)*24,(L28-K28)*24+24)</f>
        <v>0</v>
      </c>
      <c r="L29" s="1362"/>
      <c r="M29" s="1361">
        <f t="shared" ref="M29" si="122">IF(N28-M28&gt;=0,(N28-M28)*24,(N28-M28)*24+24)</f>
        <v>0</v>
      </c>
      <c r="N29" s="1362"/>
      <c r="O29" s="1361">
        <f t="shared" ref="O29" si="123">IF(P28-O28&gt;=0,(P28-O28)*24,(P28-O28)*24+24)</f>
        <v>0</v>
      </c>
      <c r="P29" s="1362"/>
      <c r="Q29" s="1361">
        <f t="shared" ref="Q29" si="124">IF(R28-Q28&gt;=0,(R28-Q28)*24,(R28-Q28)*24+24)</f>
        <v>0</v>
      </c>
      <c r="R29" s="1362"/>
      <c r="S29" s="713"/>
      <c r="T29" s="715">
        <f t="shared" ref="T29" si="125">SUM(E29:S29)</f>
        <v>0</v>
      </c>
      <c r="U29" s="1350"/>
      <c r="V29" s="1356"/>
      <c r="W29" s="1352"/>
      <c r="X29" s="1343"/>
      <c r="Y29" s="1343"/>
      <c r="Z29" s="1343"/>
      <c r="AA29" s="1343"/>
      <c r="AB29" s="1352"/>
      <c r="AC29" s="1341"/>
      <c r="AD29" s="1341"/>
      <c r="AE29" s="1366"/>
      <c r="AF29" s="1370"/>
      <c r="AG29" s="1371"/>
      <c r="AH29" s="1371"/>
      <c r="AI29" s="1371"/>
      <c r="AJ29" s="1371"/>
      <c r="AK29" s="1371"/>
      <c r="AL29" s="1372"/>
      <c r="AM29" s="212"/>
    </row>
    <row r="30" spans="1:39" ht="14.25" customHeight="1" x14ac:dyDescent="0.2">
      <c r="A30" s="1373">
        <f t="shared" ref="A30" si="126">A28+1</f>
        <v>11</v>
      </c>
      <c r="B30" s="1353"/>
      <c r="C30" s="1381" t="str">
        <f>IF($B30&gt;0,(VLOOKUP($B30,'LOCK_ME - Page10 - Lookups'!$C$48:$N$81,12,FALSE)),"")</f>
        <v/>
      </c>
      <c r="D30" s="211" t="s">
        <v>125</v>
      </c>
      <c r="E30" s="251"/>
      <c r="F30" s="251"/>
      <c r="G30" s="251"/>
      <c r="H30" s="251"/>
      <c r="I30" s="251"/>
      <c r="J30" s="251"/>
      <c r="K30" s="251"/>
      <c r="L30" s="251"/>
      <c r="M30" s="251"/>
      <c r="N30" s="251"/>
      <c r="O30" s="251"/>
      <c r="P30" s="251"/>
      <c r="Q30" s="251"/>
      <c r="R30" s="251"/>
      <c r="S30" s="712"/>
      <c r="T30" s="715"/>
      <c r="U30" s="1349">
        <f t="shared" ref="U30" si="127">IF($AD$2&gt;0,T31/$AD$2,0)</f>
        <v>0</v>
      </c>
      <c r="V30" s="1355">
        <f>IF(NOT($U30=0),IF(NOT($AD30=1),IF($AD$3="Non-Residential",100%-Page1!$J$15*2.7678%,100%),0%),0%)</f>
        <v>0</v>
      </c>
      <c r="W30" s="1351">
        <f>IF(NOT(U30=0),VLOOKUP(B30,'LOCK_ME - Page10 - Lookups'!$B$10:$D$43,3,FALSE),0)</f>
        <v>0</v>
      </c>
      <c r="X30" s="1342">
        <f t="shared" ref="X30" si="128">IF(NOT($AD30=1),-T31*(100%-V30)*$AD$4,0)</f>
        <v>0</v>
      </c>
      <c r="Y30" s="1342">
        <f t="shared" ref="Y30" si="129">X30*52.25</f>
        <v>0</v>
      </c>
      <c r="Z30" s="1342">
        <f t="shared" ref="Z30" si="130">AA30/52.25</f>
        <v>0</v>
      </c>
      <c r="AA30" s="1342">
        <f>IF(NOT($AD30=1),IF($AD$3="Non-Residential",-Page1!$J$11/5*12*$U30,0),0)</f>
        <v>0</v>
      </c>
      <c r="AB30" s="1351"/>
      <c r="AC30" s="1340">
        <f>IF($W30&gt;0,VLOOKUP($B30,'LOCK_ME - Page10 - Lookups'!$B$10:$E$43,4,FALSE),0)</f>
        <v>0</v>
      </c>
      <c r="AD30" s="1340">
        <f>IF(NOT($U30=0),VLOOKUP($B30,'LOCK_ME - Page10 - Lookups'!$B$10:$F$43,5,FALSE),0)</f>
        <v>0</v>
      </c>
      <c r="AE30" s="1365">
        <f t="shared" ref="AE30" si="131">A30</f>
        <v>11</v>
      </c>
      <c r="AF30" s="1367"/>
      <c r="AG30" s="1368"/>
      <c r="AH30" s="1368"/>
      <c r="AI30" s="1368"/>
      <c r="AJ30" s="1368"/>
      <c r="AK30" s="1368"/>
      <c r="AL30" s="1369"/>
      <c r="AM30" s="212"/>
    </row>
    <row r="31" spans="1:39" ht="14.25" customHeight="1" x14ac:dyDescent="0.2">
      <c r="A31" s="1374"/>
      <c r="B31" s="1354"/>
      <c r="C31" s="1382"/>
      <c r="D31" s="211" t="s">
        <v>5</v>
      </c>
      <c r="E31" s="1361">
        <f t="shared" ref="E31" si="132">IF(F30-E30&gt;=0,(F30-E30)*24,(F30-E30)*24+24)</f>
        <v>0</v>
      </c>
      <c r="F31" s="1362"/>
      <c r="G31" s="1361">
        <f t="shared" ref="G31" si="133">IF(H30-G30&gt;=0,(H30-G30)*24,(H30-G30)*24+24)</f>
        <v>0</v>
      </c>
      <c r="H31" s="1362"/>
      <c r="I31" s="1361">
        <f t="shared" ref="I31" si="134">IF(J30-I30&gt;=0,(J30-I30)*24,(J30-I30)*24+24)</f>
        <v>0</v>
      </c>
      <c r="J31" s="1362"/>
      <c r="K31" s="1361">
        <f t="shared" ref="K31" si="135">IF(L30-K30&gt;=0,(L30-K30)*24,(L30-K30)*24+24)</f>
        <v>0</v>
      </c>
      <c r="L31" s="1362"/>
      <c r="M31" s="1361">
        <f t="shared" ref="M31" si="136">IF(N30-M30&gt;=0,(N30-M30)*24,(N30-M30)*24+24)</f>
        <v>0</v>
      </c>
      <c r="N31" s="1362"/>
      <c r="O31" s="1361">
        <f t="shared" ref="O31" si="137">IF(P30-O30&gt;=0,(P30-O30)*24,(P30-O30)*24+24)</f>
        <v>0</v>
      </c>
      <c r="P31" s="1362"/>
      <c r="Q31" s="1361">
        <f t="shared" ref="Q31" si="138">IF(R30-Q30&gt;=0,(R30-Q30)*24,(R30-Q30)*24+24)</f>
        <v>0</v>
      </c>
      <c r="R31" s="1362"/>
      <c r="S31" s="713"/>
      <c r="T31" s="715">
        <f t="shared" ref="T31" si="139">SUM(E31:S31)</f>
        <v>0</v>
      </c>
      <c r="U31" s="1350"/>
      <c r="V31" s="1356"/>
      <c r="W31" s="1352"/>
      <c r="X31" s="1343"/>
      <c r="Y31" s="1343"/>
      <c r="Z31" s="1343"/>
      <c r="AA31" s="1343"/>
      <c r="AB31" s="1352"/>
      <c r="AC31" s="1341"/>
      <c r="AD31" s="1341"/>
      <c r="AE31" s="1366"/>
      <c r="AF31" s="1370"/>
      <c r="AG31" s="1371"/>
      <c r="AH31" s="1371"/>
      <c r="AI31" s="1371"/>
      <c r="AJ31" s="1371"/>
      <c r="AK31" s="1371"/>
      <c r="AL31" s="1372"/>
      <c r="AM31" s="212"/>
    </row>
    <row r="32" spans="1:39" ht="14.25" customHeight="1" x14ac:dyDescent="0.2">
      <c r="A32" s="1373">
        <f t="shared" ref="A32" si="140">A30+1</f>
        <v>12</v>
      </c>
      <c r="B32" s="1353"/>
      <c r="C32" s="1381" t="str">
        <f>IF($B32&gt;0,(VLOOKUP($B32,'LOCK_ME - Page10 - Lookups'!$C$48:$N$81,12,FALSE)),"")</f>
        <v/>
      </c>
      <c r="D32" s="211" t="s">
        <v>125</v>
      </c>
      <c r="E32" s="251"/>
      <c r="F32" s="251"/>
      <c r="G32" s="251"/>
      <c r="H32" s="251"/>
      <c r="I32" s="251"/>
      <c r="J32" s="251"/>
      <c r="K32" s="251"/>
      <c r="L32" s="251"/>
      <c r="M32" s="251"/>
      <c r="N32" s="251"/>
      <c r="O32" s="251"/>
      <c r="P32" s="251"/>
      <c r="Q32" s="251"/>
      <c r="R32" s="251"/>
      <c r="S32" s="712"/>
      <c r="T32" s="715"/>
      <c r="U32" s="1349">
        <f t="shared" ref="U32" si="141">IF($AD$2&gt;0,T33/$AD$2,0)</f>
        <v>0</v>
      </c>
      <c r="V32" s="1355">
        <f>IF(NOT($U32=0),IF(NOT($AD32=1),IF($AD$3="Non-Residential",100%-Page1!$J$15*2.7678%,100%),0%),0%)</f>
        <v>0</v>
      </c>
      <c r="W32" s="1351">
        <f>IF(NOT(U32=0),VLOOKUP(B32,'LOCK_ME - Page10 - Lookups'!$B$10:$D$43,3,FALSE),0)</f>
        <v>0</v>
      </c>
      <c r="X32" s="1342">
        <f t="shared" ref="X32" si="142">IF(NOT($AD32=1),-T33*(100%-V32)*$AD$4,0)</f>
        <v>0</v>
      </c>
      <c r="Y32" s="1342">
        <f t="shared" ref="Y32" si="143">X32*52.25</f>
        <v>0</v>
      </c>
      <c r="Z32" s="1342">
        <f t="shared" ref="Z32" si="144">AA32/52.25</f>
        <v>0</v>
      </c>
      <c r="AA32" s="1342">
        <f>IF(NOT($AD32=1),IF($AD$3="Non-Residential",-Page1!$J$11/5*12*$U32,0),0)</f>
        <v>0</v>
      </c>
      <c r="AB32" s="1351"/>
      <c r="AC32" s="1340">
        <f>IF($W32&gt;0,VLOOKUP($B32,'LOCK_ME - Page10 - Lookups'!$B$10:$E$43,4,FALSE),0)</f>
        <v>0</v>
      </c>
      <c r="AD32" s="1340">
        <f>IF(NOT($U32=0),VLOOKUP($B32,'LOCK_ME - Page10 - Lookups'!$B$10:$F$43,5,FALSE),0)</f>
        <v>0</v>
      </c>
      <c r="AE32" s="1365">
        <f t="shared" ref="AE32" si="145">A32</f>
        <v>12</v>
      </c>
      <c r="AF32" s="1367"/>
      <c r="AG32" s="1368"/>
      <c r="AH32" s="1368"/>
      <c r="AI32" s="1368"/>
      <c r="AJ32" s="1368"/>
      <c r="AK32" s="1368"/>
      <c r="AL32" s="1369"/>
      <c r="AM32" s="212"/>
    </row>
    <row r="33" spans="1:39" ht="14.25" customHeight="1" x14ac:dyDescent="0.2">
      <c r="A33" s="1374"/>
      <c r="B33" s="1354"/>
      <c r="C33" s="1382"/>
      <c r="D33" s="211" t="s">
        <v>5</v>
      </c>
      <c r="E33" s="1361">
        <f t="shared" ref="E33" si="146">IF(F32-E32&gt;=0,(F32-E32)*24,(F32-E32)*24+24)</f>
        <v>0</v>
      </c>
      <c r="F33" s="1362"/>
      <c r="G33" s="1361">
        <f t="shared" ref="G33" si="147">IF(H32-G32&gt;=0,(H32-G32)*24,(H32-G32)*24+24)</f>
        <v>0</v>
      </c>
      <c r="H33" s="1362"/>
      <c r="I33" s="1361">
        <f t="shared" ref="I33" si="148">IF(J32-I32&gt;=0,(J32-I32)*24,(J32-I32)*24+24)</f>
        <v>0</v>
      </c>
      <c r="J33" s="1362"/>
      <c r="K33" s="1361">
        <f t="shared" ref="K33" si="149">IF(L32-K32&gt;=0,(L32-K32)*24,(L32-K32)*24+24)</f>
        <v>0</v>
      </c>
      <c r="L33" s="1362"/>
      <c r="M33" s="1361">
        <f t="shared" ref="M33" si="150">IF(N32-M32&gt;=0,(N32-M32)*24,(N32-M32)*24+24)</f>
        <v>0</v>
      </c>
      <c r="N33" s="1362"/>
      <c r="O33" s="1361">
        <f t="shared" ref="O33" si="151">IF(P32-O32&gt;=0,(P32-O32)*24,(P32-O32)*24+24)</f>
        <v>0</v>
      </c>
      <c r="P33" s="1362"/>
      <c r="Q33" s="1361">
        <f t="shared" ref="Q33" si="152">IF(R32-Q32&gt;=0,(R32-Q32)*24,(R32-Q32)*24+24)</f>
        <v>0</v>
      </c>
      <c r="R33" s="1362"/>
      <c r="S33" s="713"/>
      <c r="T33" s="715">
        <f t="shared" ref="T33" si="153">SUM(E33:S33)</f>
        <v>0</v>
      </c>
      <c r="U33" s="1350"/>
      <c r="V33" s="1356"/>
      <c r="W33" s="1352"/>
      <c r="X33" s="1343"/>
      <c r="Y33" s="1343"/>
      <c r="Z33" s="1343"/>
      <c r="AA33" s="1343"/>
      <c r="AB33" s="1352"/>
      <c r="AC33" s="1341"/>
      <c r="AD33" s="1341"/>
      <c r="AE33" s="1366"/>
      <c r="AF33" s="1370"/>
      <c r="AG33" s="1371"/>
      <c r="AH33" s="1371"/>
      <c r="AI33" s="1371"/>
      <c r="AJ33" s="1371"/>
      <c r="AK33" s="1371"/>
      <c r="AL33" s="1372"/>
      <c r="AM33" s="212"/>
    </row>
    <row r="34" spans="1:39" ht="14.25" customHeight="1" x14ac:dyDescent="0.2">
      <c r="A34" s="1373">
        <f t="shared" ref="A34" si="154">A32+1</f>
        <v>13</v>
      </c>
      <c r="B34" s="1353"/>
      <c r="C34" s="1381" t="str">
        <f>IF($B34&gt;0,(VLOOKUP($B34,'LOCK_ME - Page10 - Lookups'!$C$48:$N$81,12,FALSE)),"")</f>
        <v/>
      </c>
      <c r="D34" s="211" t="s">
        <v>125</v>
      </c>
      <c r="E34" s="251"/>
      <c r="F34" s="251"/>
      <c r="G34" s="251"/>
      <c r="H34" s="251"/>
      <c r="I34" s="251"/>
      <c r="J34" s="251"/>
      <c r="K34" s="251"/>
      <c r="L34" s="251"/>
      <c r="M34" s="251"/>
      <c r="N34" s="251"/>
      <c r="O34" s="251"/>
      <c r="P34" s="251"/>
      <c r="Q34" s="251"/>
      <c r="R34" s="251"/>
      <c r="S34" s="712"/>
      <c r="T34" s="715"/>
      <c r="U34" s="1349">
        <f t="shared" ref="U34" si="155">IF($AD$2&gt;0,T35/$AD$2,0)</f>
        <v>0</v>
      </c>
      <c r="V34" s="1355">
        <f>IF(NOT($U34=0),IF(NOT($AD34=1),IF($AD$3="Non-Residential",100%-Page1!$J$15*2.7678%,100%),0%),0%)</f>
        <v>0</v>
      </c>
      <c r="W34" s="1351">
        <f>IF(NOT(U34=0),VLOOKUP(B34,'LOCK_ME - Page10 - Lookups'!$B$10:$D$43,3,FALSE),0)</f>
        <v>0</v>
      </c>
      <c r="X34" s="1342">
        <f t="shared" ref="X34" si="156">IF(NOT($AD34=1),-T35*(100%-V34)*$AD$4,0)</f>
        <v>0</v>
      </c>
      <c r="Y34" s="1342">
        <f t="shared" ref="Y34" si="157">X34*52.25</f>
        <v>0</v>
      </c>
      <c r="Z34" s="1342">
        <f t="shared" ref="Z34" si="158">AA34/52.25</f>
        <v>0</v>
      </c>
      <c r="AA34" s="1342">
        <f>IF(NOT($AD34=1),IF($AD$3="Non-Residential",-Page1!$J$11/5*12*$U34,0),0)</f>
        <v>0</v>
      </c>
      <c r="AB34" s="1351"/>
      <c r="AC34" s="1340">
        <f>IF($W34&gt;0,VLOOKUP($B34,'LOCK_ME - Page10 - Lookups'!$B$10:$E$43,4,FALSE),0)</f>
        <v>0</v>
      </c>
      <c r="AD34" s="1340">
        <f>IF(NOT($U34=0),VLOOKUP($B34,'LOCK_ME - Page10 - Lookups'!$B$10:$F$43,5,FALSE),0)</f>
        <v>0</v>
      </c>
      <c r="AE34" s="1365">
        <f t="shared" ref="AE34" si="159">A34</f>
        <v>13</v>
      </c>
      <c r="AF34" s="1367"/>
      <c r="AG34" s="1368"/>
      <c r="AH34" s="1368"/>
      <c r="AI34" s="1368"/>
      <c r="AJ34" s="1368"/>
      <c r="AK34" s="1368"/>
      <c r="AL34" s="1369"/>
      <c r="AM34" s="212"/>
    </row>
    <row r="35" spans="1:39" ht="14.25" customHeight="1" x14ac:dyDescent="0.2">
      <c r="A35" s="1374"/>
      <c r="B35" s="1354"/>
      <c r="C35" s="1382"/>
      <c r="D35" s="211" t="s">
        <v>5</v>
      </c>
      <c r="E35" s="1361">
        <f t="shared" ref="E35" si="160">IF(F34-E34&gt;=0,(F34-E34)*24,(F34-E34)*24+24)</f>
        <v>0</v>
      </c>
      <c r="F35" s="1362"/>
      <c r="G35" s="1361">
        <f t="shared" ref="G35" si="161">IF(H34-G34&gt;=0,(H34-G34)*24,(H34-G34)*24+24)</f>
        <v>0</v>
      </c>
      <c r="H35" s="1362"/>
      <c r="I35" s="1361">
        <f t="shared" ref="I35" si="162">IF(J34-I34&gt;=0,(J34-I34)*24,(J34-I34)*24+24)</f>
        <v>0</v>
      </c>
      <c r="J35" s="1362"/>
      <c r="K35" s="1361">
        <f t="shared" ref="K35" si="163">IF(L34-K34&gt;=0,(L34-K34)*24,(L34-K34)*24+24)</f>
        <v>0</v>
      </c>
      <c r="L35" s="1362"/>
      <c r="M35" s="1361">
        <f t="shared" ref="M35" si="164">IF(N34-M34&gt;=0,(N34-M34)*24,(N34-M34)*24+24)</f>
        <v>0</v>
      </c>
      <c r="N35" s="1362"/>
      <c r="O35" s="1361">
        <f t="shared" ref="O35" si="165">IF(P34-O34&gt;=0,(P34-O34)*24,(P34-O34)*24+24)</f>
        <v>0</v>
      </c>
      <c r="P35" s="1362"/>
      <c r="Q35" s="1361">
        <f t="shared" ref="Q35" si="166">IF(R34-Q34&gt;=0,(R34-Q34)*24,(R34-Q34)*24+24)</f>
        <v>0</v>
      </c>
      <c r="R35" s="1362"/>
      <c r="S35" s="713"/>
      <c r="T35" s="715">
        <f t="shared" ref="T35" si="167">SUM(E35:S35)</f>
        <v>0</v>
      </c>
      <c r="U35" s="1350"/>
      <c r="V35" s="1356"/>
      <c r="W35" s="1352"/>
      <c r="X35" s="1343"/>
      <c r="Y35" s="1343"/>
      <c r="Z35" s="1343"/>
      <c r="AA35" s="1343"/>
      <c r="AB35" s="1352"/>
      <c r="AC35" s="1341"/>
      <c r="AD35" s="1341"/>
      <c r="AE35" s="1366"/>
      <c r="AF35" s="1370"/>
      <c r="AG35" s="1371"/>
      <c r="AH35" s="1371"/>
      <c r="AI35" s="1371"/>
      <c r="AJ35" s="1371"/>
      <c r="AK35" s="1371"/>
      <c r="AL35" s="1372"/>
      <c r="AM35" s="212"/>
    </row>
    <row r="36" spans="1:39" ht="14.25" customHeight="1" x14ac:dyDescent="0.2">
      <c r="A36" s="1373">
        <f t="shared" ref="A36" si="168">A34+1</f>
        <v>14</v>
      </c>
      <c r="B36" s="1353"/>
      <c r="C36" s="1381" t="str">
        <f>IF($B36&gt;0,(VLOOKUP($B36,'LOCK_ME - Page10 - Lookups'!$C$48:$N$81,12,FALSE)),"")</f>
        <v/>
      </c>
      <c r="D36" s="211" t="s">
        <v>125</v>
      </c>
      <c r="E36" s="251"/>
      <c r="F36" s="251"/>
      <c r="G36" s="251"/>
      <c r="H36" s="251"/>
      <c r="I36" s="251"/>
      <c r="J36" s="251"/>
      <c r="K36" s="251"/>
      <c r="L36" s="251"/>
      <c r="M36" s="251"/>
      <c r="N36" s="251"/>
      <c r="O36" s="251"/>
      <c r="P36" s="251"/>
      <c r="Q36" s="251"/>
      <c r="R36" s="251"/>
      <c r="S36" s="712"/>
      <c r="T36" s="715"/>
      <c r="U36" s="1349">
        <f t="shared" ref="U36" si="169">IF($AD$2&gt;0,T37/$AD$2,0)</f>
        <v>0</v>
      </c>
      <c r="V36" s="1355">
        <f>IF(NOT($U36=0),IF(NOT($AD36=1),IF($AD$3="Non-Residential",100%-Page1!$J$15*2.7678%,100%),0%),0%)</f>
        <v>0</v>
      </c>
      <c r="W36" s="1351">
        <f>IF(NOT(U36=0),VLOOKUP(B36,'LOCK_ME - Page10 - Lookups'!$B$10:$D$43,3,FALSE),0)</f>
        <v>0</v>
      </c>
      <c r="X36" s="1342">
        <f t="shared" ref="X36" si="170">IF(NOT($AD36=1),-T37*(100%-V36)*$AD$4,0)</f>
        <v>0</v>
      </c>
      <c r="Y36" s="1342">
        <f t="shared" ref="Y36" si="171">X36*52.25</f>
        <v>0</v>
      </c>
      <c r="Z36" s="1342">
        <f t="shared" ref="Z36" si="172">AA36/52.25</f>
        <v>0</v>
      </c>
      <c r="AA36" s="1342">
        <f>IF(NOT($AD36=1),IF($AD$3="Non-Residential",-Page1!$J$11/5*12*$U36,0),0)</f>
        <v>0</v>
      </c>
      <c r="AB36" s="1351"/>
      <c r="AC36" s="1340">
        <f>IF($W36&gt;0,VLOOKUP($B36,'LOCK_ME - Page10 - Lookups'!$B$10:$E$43,4,FALSE),0)</f>
        <v>0</v>
      </c>
      <c r="AD36" s="1340">
        <f>IF(NOT($U36=0),VLOOKUP($B36,'LOCK_ME - Page10 - Lookups'!$B$10:$F$43,5,FALSE),0)</f>
        <v>0</v>
      </c>
      <c r="AE36" s="1365">
        <f t="shared" ref="AE36" si="173">A36</f>
        <v>14</v>
      </c>
      <c r="AF36" s="1367"/>
      <c r="AG36" s="1368"/>
      <c r="AH36" s="1368"/>
      <c r="AI36" s="1368"/>
      <c r="AJ36" s="1368"/>
      <c r="AK36" s="1368"/>
      <c r="AL36" s="1369"/>
      <c r="AM36" s="212"/>
    </row>
    <row r="37" spans="1:39" ht="14.25" customHeight="1" x14ac:dyDescent="0.2">
      <c r="A37" s="1374"/>
      <c r="B37" s="1354"/>
      <c r="C37" s="1382"/>
      <c r="D37" s="211" t="s">
        <v>5</v>
      </c>
      <c r="E37" s="1361">
        <f t="shared" ref="E37" si="174">IF(F36-E36&gt;=0,(F36-E36)*24,(F36-E36)*24+24)</f>
        <v>0</v>
      </c>
      <c r="F37" s="1362"/>
      <c r="G37" s="1361">
        <f t="shared" ref="G37" si="175">IF(H36-G36&gt;=0,(H36-G36)*24,(H36-G36)*24+24)</f>
        <v>0</v>
      </c>
      <c r="H37" s="1362"/>
      <c r="I37" s="1361">
        <f t="shared" ref="I37" si="176">IF(J36-I36&gt;=0,(J36-I36)*24,(J36-I36)*24+24)</f>
        <v>0</v>
      </c>
      <c r="J37" s="1362"/>
      <c r="K37" s="1361">
        <f t="shared" ref="K37" si="177">IF(L36-K36&gt;=0,(L36-K36)*24,(L36-K36)*24+24)</f>
        <v>0</v>
      </c>
      <c r="L37" s="1362"/>
      <c r="M37" s="1361">
        <f t="shared" ref="M37" si="178">IF(N36-M36&gt;=0,(N36-M36)*24,(N36-M36)*24+24)</f>
        <v>0</v>
      </c>
      <c r="N37" s="1362"/>
      <c r="O37" s="1361">
        <f t="shared" ref="O37" si="179">IF(P36-O36&gt;=0,(P36-O36)*24,(P36-O36)*24+24)</f>
        <v>0</v>
      </c>
      <c r="P37" s="1362"/>
      <c r="Q37" s="1361">
        <f t="shared" ref="Q37" si="180">IF(R36-Q36&gt;=0,(R36-Q36)*24,(R36-Q36)*24+24)</f>
        <v>0</v>
      </c>
      <c r="R37" s="1362"/>
      <c r="S37" s="713"/>
      <c r="T37" s="715">
        <f t="shared" ref="T37" si="181">SUM(E37:S37)</f>
        <v>0</v>
      </c>
      <c r="U37" s="1350"/>
      <c r="V37" s="1356"/>
      <c r="W37" s="1352"/>
      <c r="X37" s="1343"/>
      <c r="Y37" s="1343"/>
      <c r="Z37" s="1343"/>
      <c r="AA37" s="1343"/>
      <c r="AB37" s="1352"/>
      <c r="AC37" s="1341"/>
      <c r="AD37" s="1341"/>
      <c r="AE37" s="1366"/>
      <c r="AF37" s="1370"/>
      <c r="AG37" s="1371"/>
      <c r="AH37" s="1371"/>
      <c r="AI37" s="1371"/>
      <c r="AJ37" s="1371"/>
      <c r="AK37" s="1371"/>
      <c r="AL37" s="1372"/>
      <c r="AM37" s="212"/>
    </row>
    <row r="38" spans="1:39" ht="14.25" customHeight="1" x14ac:dyDescent="0.2">
      <c r="A38" s="1373">
        <f t="shared" ref="A38" si="182">A36+1</f>
        <v>15</v>
      </c>
      <c r="B38" s="1353"/>
      <c r="C38" s="1381" t="str">
        <f>IF($B38&gt;0,(VLOOKUP($B38,'LOCK_ME - Page10 - Lookups'!$C$48:$N$81,12,FALSE)),"")</f>
        <v/>
      </c>
      <c r="D38" s="211" t="s">
        <v>125</v>
      </c>
      <c r="E38" s="251"/>
      <c r="F38" s="251"/>
      <c r="G38" s="251"/>
      <c r="H38" s="251"/>
      <c r="I38" s="251"/>
      <c r="J38" s="251"/>
      <c r="K38" s="251"/>
      <c r="L38" s="251"/>
      <c r="M38" s="251"/>
      <c r="N38" s="251"/>
      <c r="O38" s="251"/>
      <c r="P38" s="251"/>
      <c r="Q38" s="251"/>
      <c r="R38" s="251"/>
      <c r="S38" s="712"/>
      <c r="T38" s="715"/>
      <c r="U38" s="1349">
        <f t="shared" ref="U38" si="183">IF($AD$2&gt;0,T39/$AD$2,0)</f>
        <v>0</v>
      </c>
      <c r="V38" s="1355">
        <f>IF(NOT($U38=0),IF(NOT($AD38=1),IF($AD$3="Non-Residential",100%-Page1!$J$15*2.7678%,100%),0%),0%)</f>
        <v>0</v>
      </c>
      <c r="W38" s="1351">
        <f>IF(NOT(U38=0),VLOOKUP(B38,'LOCK_ME - Page10 - Lookups'!$B$10:$D$43,3,FALSE),0)</f>
        <v>0</v>
      </c>
      <c r="X38" s="1342">
        <f t="shared" ref="X38" si="184">IF(NOT($AD38=1),-T39*(100%-V38)*$AD$4,0)</f>
        <v>0</v>
      </c>
      <c r="Y38" s="1342">
        <f t="shared" ref="Y38" si="185">X38*52.25</f>
        <v>0</v>
      </c>
      <c r="Z38" s="1342">
        <f t="shared" ref="Z38" si="186">AA38/52.25</f>
        <v>0</v>
      </c>
      <c r="AA38" s="1342">
        <f>IF(NOT($AD38=1),IF($AD$3="Non-Residential",-Page1!$J$11/5*12*$U38,0),0)</f>
        <v>0</v>
      </c>
      <c r="AB38" s="1351"/>
      <c r="AC38" s="1340">
        <f>IF($W38&gt;0,VLOOKUP($B38,'LOCK_ME - Page10 - Lookups'!$B$10:$E$43,4,FALSE),0)</f>
        <v>0</v>
      </c>
      <c r="AD38" s="1340">
        <f>IF(NOT($U38=0),VLOOKUP($B38,'LOCK_ME - Page10 - Lookups'!$B$10:$F$43,5,FALSE),0)</f>
        <v>0</v>
      </c>
      <c r="AE38" s="1365">
        <f t="shared" ref="AE38" si="187">A38</f>
        <v>15</v>
      </c>
      <c r="AF38" s="1367"/>
      <c r="AG38" s="1368"/>
      <c r="AH38" s="1368"/>
      <c r="AI38" s="1368"/>
      <c r="AJ38" s="1368"/>
      <c r="AK38" s="1368"/>
      <c r="AL38" s="1369"/>
      <c r="AM38" s="212"/>
    </row>
    <row r="39" spans="1:39" ht="14.25" customHeight="1" x14ac:dyDescent="0.2">
      <c r="A39" s="1374"/>
      <c r="B39" s="1354"/>
      <c r="C39" s="1382"/>
      <c r="D39" s="211" t="s">
        <v>5</v>
      </c>
      <c r="E39" s="1361">
        <f t="shared" ref="E39" si="188">IF(F38-E38&gt;=0,(F38-E38)*24,(F38-E38)*24+24)</f>
        <v>0</v>
      </c>
      <c r="F39" s="1362"/>
      <c r="G39" s="1361">
        <f t="shared" ref="G39" si="189">IF(H38-G38&gt;=0,(H38-G38)*24,(H38-G38)*24+24)</f>
        <v>0</v>
      </c>
      <c r="H39" s="1362"/>
      <c r="I39" s="1361">
        <f t="shared" ref="I39" si="190">IF(J38-I38&gt;=0,(J38-I38)*24,(J38-I38)*24+24)</f>
        <v>0</v>
      </c>
      <c r="J39" s="1362"/>
      <c r="K39" s="1361">
        <f t="shared" ref="K39" si="191">IF(L38-K38&gt;=0,(L38-K38)*24,(L38-K38)*24+24)</f>
        <v>0</v>
      </c>
      <c r="L39" s="1362"/>
      <c r="M39" s="1361">
        <f t="shared" ref="M39" si="192">IF(N38-M38&gt;=0,(N38-M38)*24,(N38-M38)*24+24)</f>
        <v>0</v>
      </c>
      <c r="N39" s="1362"/>
      <c r="O39" s="1361">
        <f t="shared" ref="O39" si="193">IF(P38-O38&gt;=0,(P38-O38)*24,(P38-O38)*24+24)</f>
        <v>0</v>
      </c>
      <c r="P39" s="1362"/>
      <c r="Q39" s="1361">
        <f t="shared" ref="Q39" si="194">IF(R38-Q38&gt;=0,(R38-Q38)*24,(R38-Q38)*24+24)</f>
        <v>0</v>
      </c>
      <c r="R39" s="1362"/>
      <c r="S39" s="713"/>
      <c r="T39" s="715">
        <f t="shared" ref="T39" si="195">SUM(E39:S39)</f>
        <v>0</v>
      </c>
      <c r="U39" s="1350"/>
      <c r="V39" s="1356"/>
      <c r="W39" s="1352"/>
      <c r="X39" s="1343"/>
      <c r="Y39" s="1343"/>
      <c r="Z39" s="1343"/>
      <c r="AA39" s="1343"/>
      <c r="AB39" s="1352"/>
      <c r="AC39" s="1341"/>
      <c r="AD39" s="1341"/>
      <c r="AE39" s="1366"/>
      <c r="AF39" s="1370"/>
      <c r="AG39" s="1371"/>
      <c r="AH39" s="1371"/>
      <c r="AI39" s="1371"/>
      <c r="AJ39" s="1371"/>
      <c r="AK39" s="1371"/>
      <c r="AL39" s="1372"/>
      <c r="AM39" s="212"/>
    </row>
    <row r="40" spans="1:39" ht="14.25" customHeight="1" x14ac:dyDescent="0.2">
      <c r="A40" s="1373">
        <f t="shared" ref="A40" si="196">A38+1</f>
        <v>16</v>
      </c>
      <c r="B40" s="1353"/>
      <c r="C40" s="1381" t="str">
        <f>IF($B40&gt;0,(VLOOKUP($B40,'LOCK_ME - Page10 - Lookups'!$C$48:$N$81,12,FALSE)),"")</f>
        <v/>
      </c>
      <c r="D40" s="211" t="s">
        <v>125</v>
      </c>
      <c r="E40" s="251"/>
      <c r="F40" s="251"/>
      <c r="G40" s="251"/>
      <c r="H40" s="251"/>
      <c r="I40" s="251"/>
      <c r="J40" s="251"/>
      <c r="K40" s="251"/>
      <c r="L40" s="251"/>
      <c r="M40" s="251"/>
      <c r="N40" s="251"/>
      <c r="O40" s="251"/>
      <c r="P40" s="251"/>
      <c r="Q40" s="251"/>
      <c r="R40" s="251"/>
      <c r="S40" s="712"/>
      <c r="T40" s="715"/>
      <c r="U40" s="1349">
        <f t="shared" ref="U40" si="197">IF($AD$2&gt;0,T41/$AD$2,0)</f>
        <v>0</v>
      </c>
      <c r="V40" s="1355">
        <f>IF(NOT($U40=0),IF(NOT($AD40=1),IF($AD$3="Non-Residential",100%-Page1!$J$15*2.7678%,100%),0%),0%)</f>
        <v>0</v>
      </c>
      <c r="W40" s="1351">
        <f>IF(NOT(U40=0),VLOOKUP(B40,'LOCK_ME - Page10 - Lookups'!$B$10:$D$43,3,FALSE),0)</f>
        <v>0</v>
      </c>
      <c r="X40" s="1342">
        <f t="shared" ref="X40" si="198">IF(NOT($AD40=1),-T41*(100%-V40)*$AD$4,0)</f>
        <v>0</v>
      </c>
      <c r="Y40" s="1342">
        <f t="shared" ref="Y40" si="199">X40*52.25</f>
        <v>0</v>
      </c>
      <c r="Z40" s="1342">
        <f t="shared" ref="Z40" si="200">AA40/52.25</f>
        <v>0</v>
      </c>
      <c r="AA40" s="1342">
        <f>IF(NOT($AD40=1),IF($AD$3="Non-Residential",-Page1!$J$11/5*12*$U40,0),0)</f>
        <v>0</v>
      </c>
      <c r="AB40" s="1351"/>
      <c r="AC40" s="1340">
        <f>IF($W40&gt;0,VLOOKUP($B40,'LOCK_ME - Page10 - Lookups'!$B$10:$E$43,4,FALSE),0)</f>
        <v>0</v>
      </c>
      <c r="AD40" s="1340">
        <f>IF(NOT($U40=0),VLOOKUP($B40,'LOCK_ME - Page10 - Lookups'!$B$10:$F$43,5,FALSE),0)</f>
        <v>0</v>
      </c>
      <c r="AE40" s="1365">
        <f t="shared" ref="AE40" si="201">A40</f>
        <v>16</v>
      </c>
      <c r="AF40" s="1367"/>
      <c r="AG40" s="1368"/>
      <c r="AH40" s="1368"/>
      <c r="AI40" s="1368"/>
      <c r="AJ40" s="1368"/>
      <c r="AK40" s="1368"/>
      <c r="AL40" s="1369"/>
      <c r="AM40" s="212"/>
    </row>
    <row r="41" spans="1:39" ht="14.25" customHeight="1" x14ac:dyDescent="0.2">
      <c r="A41" s="1374"/>
      <c r="B41" s="1354"/>
      <c r="C41" s="1382"/>
      <c r="D41" s="211" t="s">
        <v>5</v>
      </c>
      <c r="E41" s="1361">
        <f t="shared" ref="E41" si="202">IF(F40-E40&gt;=0,(F40-E40)*24,(F40-E40)*24+24)</f>
        <v>0</v>
      </c>
      <c r="F41" s="1362"/>
      <c r="G41" s="1361">
        <f t="shared" ref="G41" si="203">IF(H40-G40&gt;=0,(H40-G40)*24,(H40-G40)*24+24)</f>
        <v>0</v>
      </c>
      <c r="H41" s="1362"/>
      <c r="I41" s="1361">
        <f t="shared" ref="I41" si="204">IF(J40-I40&gt;=0,(J40-I40)*24,(J40-I40)*24+24)</f>
        <v>0</v>
      </c>
      <c r="J41" s="1362"/>
      <c r="K41" s="1361">
        <f t="shared" ref="K41" si="205">IF(L40-K40&gt;=0,(L40-K40)*24,(L40-K40)*24+24)</f>
        <v>0</v>
      </c>
      <c r="L41" s="1362"/>
      <c r="M41" s="1361">
        <f t="shared" ref="M41" si="206">IF(N40-M40&gt;=0,(N40-M40)*24,(N40-M40)*24+24)</f>
        <v>0</v>
      </c>
      <c r="N41" s="1362"/>
      <c r="O41" s="1361">
        <f t="shared" ref="O41" si="207">IF(P40-O40&gt;=0,(P40-O40)*24,(P40-O40)*24+24)</f>
        <v>0</v>
      </c>
      <c r="P41" s="1362"/>
      <c r="Q41" s="1361">
        <f t="shared" ref="Q41" si="208">IF(R40-Q40&gt;=0,(R40-Q40)*24,(R40-Q40)*24+24)</f>
        <v>0</v>
      </c>
      <c r="R41" s="1362"/>
      <c r="S41" s="713"/>
      <c r="T41" s="715">
        <f t="shared" ref="T41" si="209">SUM(E41:S41)</f>
        <v>0</v>
      </c>
      <c r="U41" s="1350"/>
      <c r="V41" s="1356"/>
      <c r="W41" s="1352"/>
      <c r="X41" s="1343"/>
      <c r="Y41" s="1343"/>
      <c r="Z41" s="1343"/>
      <c r="AA41" s="1343"/>
      <c r="AB41" s="1352"/>
      <c r="AC41" s="1341"/>
      <c r="AD41" s="1341"/>
      <c r="AE41" s="1366"/>
      <c r="AF41" s="1370"/>
      <c r="AG41" s="1371"/>
      <c r="AH41" s="1371"/>
      <c r="AI41" s="1371"/>
      <c r="AJ41" s="1371"/>
      <c r="AK41" s="1371"/>
      <c r="AL41" s="1372"/>
      <c r="AM41" s="212"/>
    </row>
    <row r="42" spans="1:39" ht="14.25" customHeight="1" x14ac:dyDescent="0.2">
      <c r="A42" s="1373">
        <f t="shared" ref="A42" si="210">A40+1</f>
        <v>17</v>
      </c>
      <c r="B42" s="1353"/>
      <c r="C42" s="1381" t="str">
        <f>IF($B42&gt;0,(VLOOKUP($B42,'LOCK_ME - Page10 - Lookups'!$C$48:$N$81,12,FALSE)),"")</f>
        <v/>
      </c>
      <c r="D42" s="211" t="s">
        <v>125</v>
      </c>
      <c r="E42" s="251"/>
      <c r="F42" s="251"/>
      <c r="G42" s="251"/>
      <c r="H42" s="251"/>
      <c r="I42" s="251"/>
      <c r="J42" s="251"/>
      <c r="K42" s="251"/>
      <c r="L42" s="251"/>
      <c r="M42" s="251"/>
      <c r="N42" s="251"/>
      <c r="O42" s="251"/>
      <c r="P42" s="251"/>
      <c r="Q42" s="251"/>
      <c r="R42" s="251"/>
      <c r="S42" s="712"/>
      <c r="T42" s="715"/>
      <c r="U42" s="1349">
        <f t="shared" ref="U42" si="211">IF($AD$2&gt;0,T43/$AD$2,0)</f>
        <v>0</v>
      </c>
      <c r="V42" s="1355">
        <f>IF(NOT($U42=0),IF(NOT($AD42=1),IF($AD$3="Non-Residential",100%-Page1!$J$15*2.7678%,100%),0%),0%)</f>
        <v>0</v>
      </c>
      <c r="W42" s="1351">
        <f>IF(NOT(U42=0),VLOOKUP(B42,'LOCK_ME - Page10 - Lookups'!$B$10:$D$43,3,FALSE),0)</f>
        <v>0</v>
      </c>
      <c r="X42" s="1342">
        <f t="shared" ref="X42" si="212">IF(NOT($AD42=1),-T43*(100%-V42)*$AD$4,0)</f>
        <v>0</v>
      </c>
      <c r="Y42" s="1342">
        <f t="shared" ref="Y42" si="213">X42*52.25</f>
        <v>0</v>
      </c>
      <c r="Z42" s="1342">
        <f t="shared" ref="Z42" si="214">AA42/52.25</f>
        <v>0</v>
      </c>
      <c r="AA42" s="1342">
        <f>IF(NOT($AD42=1),IF($AD$3="Non-Residential",-Page1!$J$11/5*12*$U42,0),0)</f>
        <v>0</v>
      </c>
      <c r="AB42" s="1351"/>
      <c r="AC42" s="1340">
        <f>IF($W42&gt;0,VLOOKUP($B42,'LOCK_ME - Page10 - Lookups'!$B$10:$E$43,4,FALSE),0)</f>
        <v>0</v>
      </c>
      <c r="AD42" s="1340">
        <f>IF(NOT($U42=0),VLOOKUP($B42,'LOCK_ME - Page10 - Lookups'!$B$10:$F$43,5,FALSE),0)</f>
        <v>0</v>
      </c>
      <c r="AE42" s="1365">
        <f t="shared" ref="AE42" si="215">A42</f>
        <v>17</v>
      </c>
      <c r="AF42" s="1367"/>
      <c r="AG42" s="1368"/>
      <c r="AH42" s="1368"/>
      <c r="AI42" s="1368"/>
      <c r="AJ42" s="1368"/>
      <c r="AK42" s="1368"/>
      <c r="AL42" s="1369"/>
      <c r="AM42" s="212"/>
    </row>
    <row r="43" spans="1:39" ht="14.25" customHeight="1" x14ac:dyDescent="0.2">
      <c r="A43" s="1374"/>
      <c r="B43" s="1354"/>
      <c r="C43" s="1382"/>
      <c r="D43" s="211" t="s">
        <v>5</v>
      </c>
      <c r="E43" s="1361">
        <f t="shared" ref="E43" si="216">IF(F42-E42&gt;=0,(F42-E42)*24,(F42-E42)*24+24)</f>
        <v>0</v>
      </c>
      <c r="F43" s="1362"/>
      <c r="G43" s="1361">
        <f t="shared" ref="G43" si="217">IF(H42-G42&gt;=0,(H42-G42)*24,(H42-G42)*24+24)</f>
        <v>0</v>
      </c>
      <c r="H43" s="1362"/>
      <c r="I43" s="1361">
        <f t="shared" ref="I43" si="218">IF(J42-I42&gt;=0,(J42-I42)*24,(J42-I42)*24+24)</f>
        <v>0</v>
      </c>
      <c r="J43" s="1362"/>
      <c r="K43" s="1361">
        <f t="shared" ref="K43" si="219">IF(L42-K42&gt;=0,(L42-K42)*24,(L42-K42)*24+24)</f>
        <v>0</v>
      </c>
      <c r="L43" s="1362"/>
      <c r="M43" s="1361">
        <f t="shared" ref="M43" si="220">IF(N42-M42&gt;=0,(N42-M42)*24,(N42-M42)*24+24)</f>
        <v>0</v>
      </c>
      <c r="N43" s="1362"/>
      <c r="O43" s="1361">
        <f t="shared" ref="O43" si="221">IF(P42-O42&gt;=0,(P42-O42)*24,(P42-O42)*24+24)</f>
        <v>0</v>
      </c>
      <c r="P43" s="1362"/>
      <c r="Q43" s="1361">
        <f t="shared" ref="Q43" si="222">IF(R42-Q42&gt;=0,(R42-Q42)*24,(R42-Q42)*24+24)</f>
        <v>0</v>
      </c>
      <c r="R43" s="1362"/>
      <c r="S43" s="713"/>
      <c r="T43" s="715">
        <f t="shared" ref="T43" si="223">SUM(E43:S43)</f>
        <v>0</v>
      </c>
      <c r="U43" s="1350"/>
      <c r="V43" s="1356"/>
      <c r="W43" s="1352"/>
      <c r="X43" s="1343"/>
      <c r="Y43" s="1343"/>
      <c r="Z43" s="1343"/>
      <c r="AA43" s="1343"/>
      <c r="AB43" s="1352"/>
      <c r="AC43" s="1341"/>
      <c r="AD43" s="1341"/>
      <c r="AE43" s="1366"/>
      <c r="AF43" s="1370"/>
      <c r="AG43" s="1371"/>
      <c r="AH43" s="1371"/>
      <c r="AI43" s="1371"/>
      <c r="AJ43" s="1371"/>
      <c r="AK43" s="1371"/>
      <c r="AL43" s="1372"/>
      <c r="AM43" s="212"/>
    </row>
    <row r="44" spans="1:39" ht="14.25" customHeight="1" x14ac:dyDescent="0.2">
      <c r="A44" s="1373">
        <f t="shared" ref="A44" si="224">A42+1</f>
        <v>18</v>
      </c>
      <c r="B44" s="1353"/>
      <c r="C44" s="1381" t="str">
        <f>IF($B44&gt;0,(VLOOKUP($B44,'LOCK_ME - Page10 - Lookups'!$C$48:$N$81,12,FALSE)),"")</f>
        <v/>
      </c>
      <c r="D44" s="211" t="s">
        <v>125</v>
      </c>
      <c r="E44" s="251"/>
      <c r="F44" s="251"/>
      <c r="G44" s="251"/>
      <c r="H44" s="251"/>
      <c r="I44" s="251"/>
      <c r="J44" s="251"/>
      <c r="K44" s="251"/>
      <c r="L44" s="251"/>
      <c r="M44" s="251"/>
      <c r="N44" s="251"/>
      <c r="O44" s="251"/>
      <c r="P44" s="251"/>
      <c r="Q44" s="251"/>
      <c r="R44" s="251"/>
      <c r="S44" s="712"/>
      <c r="T44" s="715"/>
      <c r="U44" s="1349">
        <f t="shared" ref="U44" si="225">IF($AD$2&gt;0,T45/$AD$2,0)</f>
        <v>0</v>
      </c>
      <c r="V44" s="1355">
        <f>IF(NOT($U44=0),IF(NOT($AD44=1),IF($AD$3="Non-Residential",100%-Page1!$J$15*2.7678%,100%),0%),0%)</f>
        <v>0</v>
      </c>
      <c r="W44" s="1351">
        <f>IF(NOT(U44=0),VLOOKUP(B44,'LOCK_ME - Page10 - Lookups'!$B$10:$D$43,3,FALSE),0)</f>
        <v>0</v>
      </c>
      <c r="X44" s="1342">
        <f t="shared" ref="X44" si="226">IF(NOT($AD44=1),-T45*(100%-V44)*$AD$4,0)</f>
        <v>0</v>
      </c>
      <c r="Y44" s="1342">
        <f t="shared" ref="Y44" si="227">X44*52.25</f>
        <v>0</v>
      </c>
      <c r="Z44" s="1342">
        <f t="shared" ref="Z44" si="228">AA44/52.25</f>
        <v>0</v>
      </c>
      <c r="AA44" s="1342">
        <f>IF(NOT($AD44=1),IF($AD$3="Non-Residential",-Page1!$J$11/5*12*$U44,0),0)</f>
        <v>0</v>
      </c>
      <c r="AB44" s="1351"/>
      <c r="AC44" s="1340">
        <f>IF($W44&gt;0,VLOOKUP($B44,'LOCK_ME - Page10 - Lookups'!$B$10:$E$43,4,FALSE),0)</f>
        <v>0</v>
      </c>
      <c r="AD44" s="1340">
        <f>IF(NOT($U44=0),VLOOKUP($B44,'LOCK_ME - Page10 - Lookups'!$B$10:$F$43,5,FALSE),0)</f>
        <v>0</v>
      </c>
      <c r="AE44" s="1365">
        <f t="shared" ref="AE44" si="229">A44</f>
        <v>18</v>
      </c>
      <c r="AF44" s="1367"/>
      <c r="AG44" s="1368"/>
      <c r="AH44" s="1368"/>
      <c r="AI44" s="1368"/>
      <c r="AJ44" s="1368"/>
      <c r="AK44" s="1368"/>
      <c r="AL44" s="1369"/>
      <c r="AM44" s="212"/>
    </row>
    <row r="45" spans="1:39" ht="14.25" customHeight="1" x14ac:dyDescent="0.2">
      <c r="A45" s="1374"/>
      <c r="B45" s="1354"/>
      <c r="C45" s="1382"/>
      <c r="D45" s="211" t="s">
        <v>5</v>
      </c>
      <c r="E45" s="1361">
        <f t="shared" ref="E45" si="230">IF(F44-E44&gt;=0,(F44-E44)*24,(F44-E44)*24+24)</f>
        <v>0</v>
      </c>
      <c r="F45" s="1362"/>
      <c r="G45" s="1361">
        <f t="shared" ref="G45" si="231">IF(H44-G44&gt;=0,(H44-G44)*24,(H44-G44)*24+24)</f>
        <v>0</v>
      </c>
      <c r="H45" s="1362"/>
      <c r="I45" s="1361">
        <f t="shared" ref="I45" si="232">IF(J44-I44&gt;=0,(J44-I44)*24,(J44-I44)*24+24)</f>
        <v>0</v>
      </c>
      <c r="J45" s="1362"/>
      <c r="K45" s="1361">
        <f t="shared" ref="K45" si="233">IF(L44-K44&gt;=0,(L44-K44)*24,(L44-K44)*24+24)</f>
        <v>0</v>
      </c>
      <c r="L45" s="1362"/>
      <c r="M45" s="1361">
        <f t="shared" ref="M45" si="234">IF(N44-M44&gt;=0,(N44-M44)*24,(N44-M44)*24+24)</f>
        <v>0</v>
      </c>
      <c r="N45" s="1362"/>
      <c r="O45" s="1361">
        <f t="shared" ref="O45" si="235">IF(P44-O44&gt;=0,(P44-O44)*24,(P44-O44)*24+24)</f>
        <v>0</v>
      </c>
      <c r="P45" s="1362"/>
      <c r="Q45" s="1361">
        <f t="shared" ref="Q45" si="236">IF(R44-Q44&gt;=0,(R44-Q44)*24,(R44-Q44)*24+24)</f>
        <v>0</v>
      </c>
      <c r="R45" s="1362"/>
      <c r="S45" s="713"/>
      <c r="T45" s="715">
        <f t="shared" ref="T45" si="237">SUM(E45:S45)</f>
        <v>0</v>
      </c>
      <c r="U45" s="1350"/>
      <c r="V45" s="1356"/>
      <c r="W45" s="1352"/>
      <c r="X45" s="1343"/>
      <c r="Y45" s="1343"/>
      <c r="Z45" s="1343"/>
      <c r="AA45" s="1343"/>
      <c r="AB45" s="1352"/>
      <c r="AC45" s="1341"/>
      <c r="AD45" s="1341"/>
      <c r="AE45" s="1366"/>
      <c r="AF45" s="1370"/>
      <c r="AG45" s="1371"/>
      <c r="AH45" s="1371"/>
      <c r="AI45" s="1371"/>
      <c r="AJ45" s="1371"/>
      <c r="AK45" s="1371"/>
      <c r="AL45" s="1372"/>
      <c r="AM45" s="212"/>
    </row>
    <row r="46" spans="1:39" ht="14.25" customHeight="1" x14ac:dyDescent="0.2">
      <c r="A46" s="1373">
        <f t="shared" ref="A46" si="238">A44+1</f>
        <v>19</v>
      </c>
      <c r="B46" s="1353"/>
      <c r="C46" s="1381" t="str">
        <f>IF($B46&gt;0,(VLOOKUP($B46,'LOCK_ME - Page10 - Lookups'!$C$48:$N$81,12,FALSE)),"")</f>
        <v/>
      </c>
      <c r="D46" s="211" t="s">
        <v>125</v>
      </c>
      <c r="E46" s="251"/>
      <c r="F46" s="251"/>
      <c r="G46" s="251"/>
      <c r="H46" s="251"/>
      <c r="I46" s="251"/>
      <c r="J46" s="251"/>
      <c r="K46" s="251"/>
      <c r="L46" s="251"/>
      <c r="M46" s="251"/>
      <c r="N46" s="251"/>
      <c r="O46" s="251"/>
      <c r="P46" s="251"/>
      <c r="Q46" s="251"/>
      <c r="R46" s="251"/>
      <c r="S46" s="712"/>
      <c r="T46" s="715"/>
      <c r="U46" s="1349">
        <f t="shared" ref="U46" si="239">IF($AD$2&gt;0,T47/$AD$2,0)</f>
        <v>0</v>
      </c>
      <c r="V46" s="1355">
        <f>IF(NOT($U46=0),IF(NOT($AD46=1),IF($AD$3="Non-Residential",100%-Page1!$J$15*2.7678%,100%),0%),0%)</f>
        <v>0</v>
      </c>
      <c r="W46" s="1351">
        <f>IF(NOT(U46=0),VLOOKUP(B46,'LOCK_ME - Page10 - Lookups'!$B$10:$D$43,3,FALSE),0)</f>
        <v>0</v>
      </c>
      <c r="X46" s="1342">
        <f t="shared" ref="X46" si="240">IF(NOT($AD46=1),-T47*(100%-V46)*$AD$4,0)</f>
        <v>0</v>
      </c>
      <c r="Y46" s="1342">
        <f t="shared" ref="Y46" si="241">X46*52.25</f>
        <v>0</v>
      </c>
      <c r="Z46" s="1342">
        <f t="shared" ref="Z46" si="242">AA46/52.25</f>
        <v>0</v>
      </c>
      <c r="AA46" s="1342">
        <f>IF(NOT($AD46=1),IF($AD$3="Non-Residential",-Page1!$J$11/5*12*$U46,0),0)</f>
        <v>0</v>
      </c>
      <c r="AB46" s="1351"/>
      <c r="AC46" s="1340">
        <f>IF($W46&gt;0,VLOOKUP($B46,'LOCK_ME - Page10 - Lookups'!$B$10:$E$43,4,FALSE),0)</f>
        <v>0</v>
      </c>
      <c r="AD46" s="1340">
        <f>IF(NOT($U46=0),VLOOKUP($B46,'LOCK_ME - Page10 - Lookups'!$B$10:$F$43,5,FALSE),0)</f>
        <v>0</v>
      </c>
      <c r="AE46" s="1365">
        <f t="shared" ref="AE46" si="243">A46</f>
        <v>19</v>
      </c>
      <c r="AF46" s="1367"/>
      <c r="AG46" s="1368"/>
      <c r="AH46" s="1368"/>
      <c r="AI46" s="1368"/>
      <c r="AJ46" s="1368"/>
      <c r="AK46" s="1368"/>
      <c r="AL46" s="1369"/>
      <c r="AM46" s="212"/>
    </row>
    <row r="47" spans="1:39" ht="14.25" customHeight="1" x14ac:dyDescent="0.2">
      <c r="A47" s="1374"/>
      <c r="B47" s="1354"/>
      <c r="C47" s="1382"/>
      <c r="D47" s="211" t="s">
        <v>5</v>
      </c>
      <c r="E47" s="1361">
        <f t="shared" ref="E47" si="244">IF(F46-E46&gt;=0,(F46-E46)*24,(F46-E46)*24+24)</f>
        <v>0</v>
      </c>
      <c r="F47" s="1362"/>
      <c r="G47" s="1361">
        <f t="shared" ref="G47" si="245">IF(H46-G46&gt;=0,(H46-G46)*24,(H46-G46)*24+24)</f>
        <v>0</v>
      </c>
      <c r="H47" s="1362"/>
      <c r="I47" s="1361">
        <f t="shared" ref="I47" si="246">IF(J46-I46&gt;=0,(J46-I46)*24,(J46-I46)*24+24)</f>
        <v>0</v>
      </c>
      <c r="J47" s="1362"/>
      <c r="K47" s="1361">
        <f t="shared" ref="K47" si="247">IF(L46-K46&gt;=0,(L46-K46)*24,(L46-K46)*24+24)</f>
        <v>0</v>
      </c>
      <c r="L47" s="1362"/>
      <c r="M47" s="1361">
        <f t="shared" ref="M47" si="248">IF(N46-M46&gt;=0,(N46-M46)*24,(N46-M46)*24+24)</f>
        <v>0</v>
      </c>
      <c r="N47" s="1362"/>
      <c r="O47" s="1361">
        <f t="shared" ref="O47" si="249">IF(P46-O46&gt;=0,(P46-O46)*24,(P46-O46)*24+24)</f>
        <v>0</v>
      </c>
      <c r="P47" s="1362"/>
      <c r="Q47" s="1361">
        <f t="shared" ref="Q47" si="250">IF(R46-Q46&gt;=0,(R46-Q46)*24,(R46-Q46)*24+24)</f>
        <v>0</v>
      </c>
      <c r="R47" s="1362"/>
      <c r="S47" s="713"/>
      <c r="T47" s="715">
        <f t="shared" ref="T47" si="251">SUM(E47:S47)</f>
        <v>0</v>
      </c>
      <c r="U47" s="1350"/>
      <c r="V47" s="1356"/>
      <c r="W47" s="1352"/>
      <c r="X47" s="1343"/>
      <c r="Y47" s="1343"/>
      <c r="Z47" s="1343"/>
      <c r="AA47" s="1343"/>
      <c r="AB47" s="1352"/>
      <c r="AC47" s="1341"/>
      <c r="AD47" s="1341"/>
      <c r="AE47" s="1366"/>
      <c r="AF47" s="1370"/>
      <c r="AG47" s="1371"/>
      <c r="AH47" s="1371"/>
      <c r="AI47" s="1371"/>
      <c r="AJ47" s="1371"/>
      <c r="AK47" s="1371"/>
      <c r="AL47" s="1372"/>
      <c r="AM47" s="212"/>
    </row>
    <row r="48" spans="1:39" ht="14.25" customHeight="1" x14ac:dyDescent="0.2">
      <c r="A48" s="1373">
        <f t="shared" ref="A48" si="252">A46+1</f>
        <v>20</v>
      </c>
      <c r="B48" s="1353"/>
      <c r="C48" s="1381" t="str">
        <f>IF($B48&gt;0,(VLOOKUP($B48,'LOCK_ME - Page10 - Lookups'!$C$48:$N$81,12,FALSE)),"")</f>
        <v/>
      </c>
      <c r="D48" s="211" t="s">
        <v>125</v>
      </c>
      <c r="E48" s="251"/>
      <c r="F48" s="251"/>
      <c r="G48" s="251"/>
      <c r="H48" s="251"/>
      <c r="I48" s="251"/>
      <c r="J48" s="251"/>
      <c r="K48" s="251"/>
      <c r="L48" s="251"/>
      <c r="M48" s="251"/>
      <c r="N48" s="251"/>
      <c r="O48" s="251"/>
      <c r="P48" s="251"/>
      <c r="Q48" s="251"/>
      <c r="R48" s="251"/>
      <c r="S48" s="712"/>
      <c r="T48" s="715"/>
      <c r="U48" s="1349">
        <f t="shared" ref="U48" si="253">IF($AD$2&gt;0,T49/$AD$2,0)</f>
        <v>0</v>
      </c>
      <c r="V48" s="1355">
        <f>IF(NOT($U48=0),IF(NOT($AD48=1),IF($AD$3="Non-Residential",100%-Page1!$J$15*2.7678%,100%),0%),0%)</f>
        <v>0</v>
      </c>
      <c r="W48" s="1351">
        <f>IF(NOT(U48=0),VLOOKUP(B48,'LOCK_ME - Page10 - Lookups'!$B$10:$D$43,3,FALSE),0)</f>
        <v>0</v>
      </c>
      <c r="X48" s="1342">
        <f t="shared" ref="X48" si="254">IF(NOT($AD48=1),-T49*(100%-V48)*$AD$4,0)</f>
        <v>0</v>
      </c>
      <c r="Y48" s="1342">
        <f t="shared" ref="Y48" si="255">X48*52.25</f>
        <v>0</v>
      </c>
      <c r="Z48" s="1342">
        <f t="shared" ref="Z48" si="256">AA48/52.25</f>
        <v>0</v>
      </c>
      <c r="AA48" s="1342">
        <f>IF(NOT($AD48=1),IF($AD$3="Non-Residential",-Page1!$J$11/5*12*$U48,0),0)</f>
        <v>0</v>
      </c>
      <c r="AB48" s="1351"/>
      <c r="AC48" s="1340">
        <f>IF($W48&gt;0,VLOOKUP($B48,'LOCK_ME - Page10 - Lookups'!$B$10:$E$43,4,FALSE),0)</f>
        <v>0</v>
      </c>
      <c r="AD48" s="1340">
        <f>IF(NOT($U48=0),VLOOKUP($B48,'LOCK_ME - Page10 - Lookups'!$B$10:$F$43,5,FALSE),0)</f>
        <v>0</v>
      </c>
      <c r="AE48" s="1365">
        <f t="shared" ref="AE48" si="257">A48</f>
        <v>20</v>
      </c>
      <c r="AF48" s="1367"/>
      <c r="AG48" s="1368"/>
      <c r="AH48" s="1368"/>
      <c r="AI48" s="1368"/>
      <c r="AJ48" s="1368"/>
      <c r="AK48" s="1368"/>
      <c r="AL48" s="1369"/>
      <c r="AM48" s="212"/>
    </row>
    <row r="49" spans="1:39" ht="14.25" customHeight="1" x14ac:dyDescent="0.2">
      <c r="A49" s="1374"/>
      <c r="B49" s="1354"/>
      <c r="C49" s="1382"/>
      <c r="D49" s="211" t="s">
        <v>5</v>
      </c>
      <c r="E49" s="1361">
        <f t="shared" ref="E49" si="258">IF(F48-E48&gt;=0,(F48-E48)*24,(F48-E48)*24+24)</f>
        <v>0</v>
      </c>
      <c r="F49" s="1362"/>
      <c r="G49" s="1361">
        <f t="shared" ref="G49" si="259">IF(H48-G48&gt;=0,(H48-G48)*24,(H48-G48)*24+24)</f>
        <v>0</v>
      </c>
      <c r="H49" s="1362"/>
      <c r="I49" s="1361">
        <f t="shared" ref="I49" si="260">IF(J48-I48&gt;=0,(J48-I48)*24,(J48-I48)*24+24)</f>
        <v>0</v>
      </c>
      <c r="J49" s="1362"/>
      <c r="K49" s="1361">
        <f t="shared" ref="K49" si="261">IF(L48-K48&gt;=0,(L48-K48)*24,(L48-K48)*24+24)</f>
        <v>0</v>
      </c>
      <c r="L49" s="1362"/>
      <c r="M49" s="1361">
        <f t="shared" ref="M49" si="262">IF(N48-M48&gt;=0,(N48-M48)*24,(N48-M48)*24+24)</f>
        <v>0</v>
      </c>
      <c r="N49" s="1362"/>
      <c r="O49" s="1361">
        <f t="shared" ref="O49" si="263">IF(P48-O48&gt;=0,(P48-O48)*24,(P48-O48)*24+24)</f>
        <v>0</v>
      </c>
      <c r="P49" s="1362"/>
      <c r="Q49" s="1361">
        <f t="shared" ref="Q49" si="264">IF(R48-Q48&gt;=0,(R48-Q48)*24,(R48-Q48)*24+24)</f>
        <v>0</v>
      </c>
      <c r="R49" s="1362"/>
      <c r="S49" s="713"/>
      <c r="T49" s="715">
        <f t="shared" ref="T49" si="265">SUM(E49:S49)</f>
        <v>0</v>
      </c>
      <c r="U49" s="1350"/>
      <c r="V49" s="1356"/>
      <c r="W49" s="1352"/>
      <c r="X49" s="1343"/>
      <c r="Y49" s="1343"/>
      <c r="Z49" s="1343"/>
      <c r="AA49" s="1343"/>
      <c r="AB49" s="1352"/>
      <c r="AC49" s="1341"/>
      <c r="AD49" s="1341"/>
      <c r="AE49" s="1366"/>
      <c r="AF49" s="1370"/>
      <c r="AG49" s="1371"/>
      <c r="AH49" s="1371"/>
      <c r="AI49" s="1371"/>
      <c r="AJ49" s="1371"/>
      <c r="AK49" s="1371"/>
      <c r="AL49" s="1372"/>
      <c r="AM49" s="212"/>
    </row>
    <row r="50" spans="1:39" ht="14.25" customHeight="1" x14ac:dyDescent="0.2">
      <c r="A50" s="1373">
        <f t="shared" ref="A50" si="266">A48+1</f>
        <v>21</v>
      </c>
      <c r="B50" s="1353"/>
      <c r="C50" s="1381" t="str">
        <f>IF($B50&gt;0,(VLOOKUP($B50,'LOCK_ME - Page10 - Lookups'!$C$48:$N$81,12,FALSE)),"")</f>
        <v/>
      </c>
      <c r="D50" s="211" t="s">
        <v>125</v>
      </c>
      <c r="E50" s="251"/>
      <c r="F50" s="251"/>
      <c r="G50" s="251"/>
      <c r="H50" s="251"/>
      <c r="I50" s="251"/>
      <c r="J50" s="251"/>
      <c r="K50" s="251"/>
      <c r="L50" s="251"/>
      <c r="M50" s="251"/>
      <c r="N50" s="251"/>
      <c r="O50" s="251"/>
      <c r="P50" s="251"/>
      <c r="Q50" s="251"/>
      <c r="R50" s="251"/>
      <c r="S50" s="712"/>
      <c r="T50" s="715"/>
      <c r="U50" s="1349">
        <f t="shared" ref="U50" si="267">IF($AD$2&gt;0,T51/$AD$2,0)</f>
        <v>0</v>
      </c>
      <c r="V50" s="1355">
        <f>IF(NOT($U50=0),IF(NOT($AD50=1),IF($AD$3="Non-Residential",100%-Page1!$J$15*2.7678%,100%),0%),0%)</f>
        <v>0</v>
      </c>
      <c r="W50" s="1351">
        <f>IF(NOT(U50=0),VLOOKUP(B50,'LOCK_ME - Page10 - Lookups'!$B$10:$D$43,3,FALSE),0)</f>
        <v>0</v>
      </c>
      <c r="X50" s="1342">
        <f t="shared" ref="X50" si="268">IF(NOT($AD50=1),-T51*(100%-V50)*$AD$4,0)</f>
        <v>0</v>
      </c>
      <c r="Y50" s="1342">
        <f t="shared" ref="Y50" si="269">X50*52.25</f>
        <v>0</v>
      </c>
      <c r="Z50" s="1342">
        <f t="shared" ref="Z50" si="270">AA50/52.25</f>
        <v>0</v>
      </c>
      <c r="AA50" s="1342">
        <f>IF(NOT($AD50=1),IF($AD$3="Non-Residential",-Page1!$J$11/5*12*$U50,0),0)</f>
        <v>0</v>
      </c>
      <c r="AB50" s="1351"/>
      <c r="AC50" s="1340">
        <f>IF($W50&gt;0,VLOOKUP($B50,'LOCK_ME - Page10 - Lookups'!$B$10:$E$43,4,FALSE),0)</f>
        <v>0</v>
      </c>
      <c r="AD50" s="1340">
        <f>IF(NOT($U50=0),VLOOKUP($B50,'LOCK_ME - Page10 - Lookups'!$B$10:$F$43,5,FALSE),0)</f>
        <v>0</v>
      </c>
      <c r="AE50" s="1365">
        <f t="shared" ref="AE50" si="271">A50</f>
        <v>21</v>
      </c>
      <c r="AF50" s="1367"/>
      <c r="AG50" s="1368"/>
      <c r="AH50" s="1368"/>
      <c r="AI50" s="1368"/>
      <c r="AJ50" s="1368"/>
      <c r="AK50" s="1368"/>
      <c r="AL50" s="1369"/>
      <c r="AM50" s="212"/>
    </row>
    <row r="51" spans="1:39" ht="14.25" customHeight="1" x14ac:dyDescent="0.2">
      <c r="A51" s="1374"/>
      <c r="B51" s="1354"/>
      <c r="C51" s="1382"/>
      <c r="D51" s="211" t="s">
        <v>5</v>
      </c>
      <c r="E51" s="1361">
        <f t="shared" ref="E51" si="272">IF(F50-E50&gt;=0,(F50-E50)*24,(F50-E50)*24+24)</f>
        <v>0</v>
      </c>
      <c r="F51" s="1362"/>
      <c r="G51" s="1361">
        <f t="shared" ref="G51" si="273">IF(H50-G50&gt;=0,(H50-G50)*24,(H50-G50)*24+24)</f>
        <v>0</v>
      </c>
      <c r="H51" s="1362"/>
      <c r="I51" s="1361">
        <f t="shared" ref="I51" si="274">IF(J50-I50&gt;=0,(J50-I50)*24,(J50-I50)*24+24)</f>
        <v>0</v>
      </c>
      <c r="J51" s="1362"/>
      <c r="K51" s="1361">
        <f t="shared" ref="K51" si="275">IF(L50-K50&gt;=0,(L50-K50)*24,(L50-K50)*24+24)</f>
        <v>0</v>
      </c>
      <c r="L51" s="1362"/>
      <c r="M51" s="1361">
        <f t="shared" ref="M51" si="276">IF(N50-M50&gt;=0,(N50-M50)*24,(N50-M50)*24+24)</f>
        <v>0</v>
      </c>
      <c r="N51" s="1362"/>
      <c r="O51" s="1361">
        <f t="shared" ref="O51" si="277">IF(P50-O50&gt;=0,(P50-O50)*24,(P50-O50)*24+24)</f>
        <v>0</v>
      </c>
      <c r="P51" s="1362"/>
      <c r="Q51" s="1361">
        <f t="shared" ref="Q51" si="278">IF(R50-Q50&gt;=0,(R50-Q50)*24,(R50-Q50)*24+24)</f>
        <v>0</v>
      </c>
      <c r="R51" s="1362"/>
      <c r="S51" s="713"/>
      <c r="T51" s="715">
        <f t="shared" ref="T51" si="279">SUM(E51:S51)</f>
        <v>0</v>
      </c>
      <c r="U51" s="1350"/>
      <c r="V51" s="1356"/>
      <c r="W51" s="1352"/>
      <c r="X51" s="1343"/>
      <c r="Y51" s="1343"/>
      <c r="Z51" s="1343"/>
      <c r="AA51" s="1343"/>
      <c r="AB51" s="1352"/>
      <c r="AC51" s="1341"/>
      <c r="AD51" s="1341"/>
      <c r="AE51" s="1366"/>
      <c r="AF51" s="1370"/>
      <c r="AG51" s="1371"/>
      <c r="AH51" s="1371"/>
      <c r="AI51" s="1371"/>
      <c r="AJ51" s="1371"/>
      <c r="AK51" s="1371"/>
      <c r="AL51" s="1372"/>
      <c r="AM51" s="212"/>
    </row>
    <row r="52" spans="1:39" ht="14.25" customHeight="1" x14ac:dyDescent="0.2">
      <c r="A52" s="1373">
        <f t="shared" ref="A52" si="280">A50+1</f>
        <v>22</v>
      </c>
      <c r="B52" s="1353"/>
      <c r="C52" s="1381" t="str">
        <f>IF($B52&gt;0,(VLOOKUP($B52,'LOCK_ME - Page10 - Lookups'!$C$48:$N$81,12,FALSE)),"")</f>
        <v/>
      </c>
      <c r="D52" s="211" t="s">
        <v>125</v>
      </c>
      <c r="E52" s="251"/>
      <c r="F52" s="251"/>
      <c r="G52" s="251"/>
      <c r="H52" s="251"/>
      <c r="I52" s="251"/>
      <c r="J52" s="251"/>
      <c r="K52" s="251"/>
      <c r="L52" s="251"/>
      <c r="M52" s="251"/>
      <c r="N52" s="251"/>
      <c r="O52" s="251"/>
      <c r="P52" s="251"/>
      <c r="Q52" s="251"/>
      <c r="R52" s="251"/>
      <c r="S52" s="712"/>
      <c r="T52" s="715"/>
      <c r="U52" s="1349">
        <f t="shared" ref="U52" si="281">IF($AD$2&gt;0,T53/$AD$2,0)</f>
        <v>0</v>
      </c>
      <c r="V52" s="1355">
        <f>IF(NOT($U52=0),IF(NOT($AD52=1),IF($AD$3="Non-Residential",100%-Page1!$J$15*2.7678%,100%),0%),0%)</f>
        <v>0</v>
      </c>
      <c r="W52" s="1351">
        <f>IF(NOT(U52=0),VLOOKUP(B52,'LOCK_ME - Page10 - Lookups'!$B$10:$D$43,3,FALSE),0)</f>
        <v>0</v>
      </c>
      <c r="X52" s="1342">
        <f t="shared" ref="X52" si="282">IF(NOT($AD52=1),-T53*(100%-V52)*$AD$4,0)</f>
        <v>0</v>
      </c>
      <c r="Y52" s="1342">
        <f t="shared" ref="Y52" si="283">X52*52.25</f>
        <v>0</v>
      </c>
      <c r="Z52" s="1342">
        <f t="shared" ref="Z52" si="284">AA52/52.25</f>
        <v>0</v>
      </c>
      <c r="AA52" s="1342">
        <f>IF(NOT($AD52=1),IF($AD$3="Non-Residential",-Page1!$J$11/5*12*$U52,0),0)</f>
        <v>0</v>
      </c>
      <c r="AB52" s="1351"/>
      <c r="AC52" s="1340">
        <f>IF($W52&gt;0,VLOOKUP($B52,'LOCK_ME - Page10 - Lookups'!$B$10:$E$43,4,FALSE),0)</f>
        <v>0</v>
      </c>
      <c r="AD52" s="1340">
        <f>IF(NOT($U52=0),VLOOKUP($B52,'LOCK_ME - Page10 - Lookups'!$B$10:$F$43,5,FALSE),0)</f>
        <v>0</v>
      </c>
      <c r="AE52" s="1365">
        <f t="shared" ref="AE52" si="285">A52</f>
        <v>22</v>
      </c>
      <c r="AF52" s="1367"/>
      <c r="AG52" s="1368"/>
      <c r="AH52" s="1368"/>
      <c r="AI52" s="1368"/>
      <c r="AJ52" s="1368"/>
      <c r="AK52" s="1368"/>
      <c r="AL52" s="1369"/>
      <c r="AM52" s="212"/>
    </row>
    <row r="53" spans="1:39" ht="14.25" customHeight="1" x14ac:dyDescent="0.2">
      <c r="A53" s="1374"/>
      <c r="B53" s="1354"/>
      <c r="C53" s="1382"/>
      <c r="D53" s="211" t="s">
        <v>5</v>
      </c>
      <c r="E53" s="1361">
        <f t="shared" ref="E53" si="286">IF(F52-E52&gt;=0,(F52-E52)*24,(F52-E52)*24+24)</f>
        <v>0</v>
      </c>
      <c r="F53" s="1362"/>
      <c r="G53" s="1361">
        <f t="shared" ref="G53" si="287">IF(H52-G52&gt;=0,(H52-G52)*24,(H52-G52)*24+24)</f>
        <v>0</v>
      </c>
      <c r="H53" s="1362"/>
      <c r="I53" s="1361">
        <f t="shared" ref="I53" si="288">IF(J52-I52&gt;=0,(J52-I52)*24,(J52-I52)*24+24)</f>
        <v>0</v>
      </c>
      <c r="J53" s="1362"/>
      <c r="K53" s="1361">
        <f t="shared" ref="K53" si="289">IF(L52-K52&gt;=0,(L52-K52)*24,(L52-K52)*24+24)</f>
        <v>0</v>
      </c>
      <c r="L53" s="1362"/>
      <c r="M53" s="1361">
        <f t="shared" ref="M53" si="290">IF(N52-M52&gt;=0,(N52-M52)*24,(N52-M52)*24+24)</f>
        <v>0</v>
      </c>
      <c r="N53" s="1362"/>
      <c r="O53" s="1361">
        <f t="shared" ref="O53" si="291">IF(P52-O52&gt;=0,(P52-O52)*24,(P52-O52)*24+24)</f>
        <v>0</v>
      </c>
      <c r="P53" s="1362"/>
      <c r="Q53" s="1361">
        <f t="shared" ref="Q53" si="292">IF(R52-Q52&gt;=0,(R52-Q52)*24,(R52-Q52)*24+24)</f>
        <v>0</v>
      </c>
      <c r="R53" s="1362"/>
      <c r="S53" s="713"/>
      <c r="T53" s="715">
        <f t="shared" ref="T53" si="293">SUM(E53:S53)</f>
        <v>0</v>
      </c>
      <c r="U53" s="1350"/>
      <c r="V53" s="1356"/>
      <c r="W53" s="1352"/>
      <c r="X53" s="1343"/>
      <c r="Y53" s="1343"/>
      <c r="Z53" s="1343"/>
      <c r="AA53" s="1343"/>
      <c r="AB53" s="1352"/>
      <c r="AC53" s="1341"/>
      <c r="AD53" s="1341"/>
      <c r="AE53" s="1366"/>
      <c r="AF53" s="1370"/>
      <c r="AG53" s="1371"/>
      <c r="AH53" s="1371"/>
      <c r="AI53" s="1371"/>
      <c r="AJ53" s="1371"/>
      <c r="AK53" s="1371"/>
      <c r="AL53" s="1372"/>
      <c r="AM53" s="212"/>
    </row>
    <row r="54" spans="1:39" s="210" customFormat="1" ht="15" x14ac:dyDescent="0.25">
      <c r="A54" s="1346" t="s">
        <v>285</v>
      </c>
      <c r="B54" s="1347"/>
      <c r="C54" s="1347"/>
      <c r="D54" s="1348"/>
      <c r="E54" s="1363">
        <f>SUMIF($D$10:$D$53,"Hours",E$10:F$53)</f>
        <v>0</v>
      </c>
      <c r="F54" s="1364"/>
      <c r="G54" s="1363">
        <f>SUMIF($D$10:$D$53,"Hours",G$10:H$53)</f>
        <v>0</v>
      </c>
      <c r="H54" s="1364"/>
      <c r="I54" s="1363">
        <f t="shared" ref="I54" si="294">SUMIF($D$10:$D$53,"Hours",I$10:J$53)</f>
        <v>0</v>
      </c>
      <c r="J54" s="1364"/>
      <c r="K54" s="1363">
        <f t="shared" ref="K54" si="295">SUMIF($D$10:$D$53,"Hours",K$10:L$53)</f>
        <v>0</v>
      </c>
      <c r="L54" s="1364"/>
      <c r="M54" s="1363">
        <f t="shared" ref="M54" si="296">SUMIF($D$10:$D$53,"Hours",M$10:N$53)</f>
        <v>0</v>
      </c>
      <c r="N54" s="1364"/>
      <c r="O54" s="1363">
        <f t="shared" ref="O54" si="297">SUMIF($D$10:$D$53,"Hours",O$10:P$53)</f>
        <v>0</v>
      </c>
      <c r="P54" s="1364"/>
      <c r="Q54" s="1363">
        <f>SUMIF($D$10:$D$53,"Hours",Q$10:R$53)</f>
        <v>0</v>
      </c>
      <c r="R54" s="1364"/>
      <c r="S54" s="710">
        <f>SUMIF($D$10:$D$53,"Hours",S$10:S$53)</f>
        <v>0</v>
      </c>
      <c r="T54" s="207">
        <f t="shared" ref="T54" si="298">SUMIF($D$10:$D$53,"Hours",T$10:T$53)</f>
        <v>0</v>
      </c>
      <c r="U54" s="207">
        <f>SUM(U10:U53)</f>
        <v>0</v>
      </c>
      <c r="V54" s="206"/>
      <c r="W54" s="207"/>
      <c r="X54" s="264">
        <f>X8</f>
        <v>0</v>
      </c>
      <c r="Y54" s="264"/>
      <c r="Z54" s="264">
        <f>Z8</f>
        <v>0</v>
      </c>
      <c r="AA54" s="264"/>
      <c r="AB54" s="383">
        <f>AB8</f>
        <v>0</v>
      </c>
      <c r="AC54" s="1013"/>
      <c r="AD54" s="1013"/>
      <c r="AE54" s="208"/>
      <c r="AF54" s="1375"/>
      <c r="AG54" s="1376"/>
      <c r="AH54" s="1376"/>
      <c r="AI54" s="1376"/>
      <c r="AJ54" s="1376"/>
      <c r="AK54" s="1376"/>
      <c r="AL54" s="1377"/>
      <c r="AM54" s="209"/>
    </row>
    <row r="55" spans="1:39" s="210" customFormat="1" ht="15" x14ac:dyDescent="0.25">
      <c r="A55" s="533" t="s">
        <v>284</v>
      </c>
      <c r="B55" s="204"/>
      <c r="C55" s="558"/>
      <c r="D55" s="255"/>
      <c r="E55" s="256"/>
      <c r="F55" s="257"/>
      <c r="G55" s="256"/>
      <c r="H55" s="257"/>
      <c r="I55" s="256"/>
      <c r="J55" s="257"/>
      <c r="K55" s="256"/>
      <c r="L55" s="257"/>
      <c r="M55" s="256"/>
      <c r="N55" s="257"/>
      <c r="O55" s="256"/>
      <c r="P55" s="257"/>
      <c r="Q55" s="256"/>
      <c r="R55" s="257"/>
      <c r="S55" s="711"/>
      <c r="T55" s="207">
        <f>T9</f>
        <v>0</v>
      </c>
      <c r="U55" s="205"/>
      <c r="V55" s="206"/>
      <c r="W55" s="207"/>
      <c r="X55" s="264"/>
      <c r="Y55" s="264">
        <f>Y9</f>
        <v>0</v>
      </c>
      <c r="Z55" s="264"/>
      <c r="AA55" s="264">
        <f>AA9</f>
        <v>0</v>
      </c>
      <c r="AB55" s="383">
        <f>AB9</f>
        <v>0</v>
      </c>
      <c r="AC55" s="1013"/>
      <c r="AD55" s="1016"/>
      <c r="AE55" s="208"/>
      <c r="AF55" s="530"/>
      <c r="AG55" s="531"/>
      <c r="AH55" s="531"/>
      <c r="AI55" s="531"/>
      <c r="AJ55" s="531"/>
      <c r="AK55" s="531"/>
      <c r="AL55" s="532"/>
      <c r="AM55" s="209"/>
    </row>
    <row r="56" spans="1:39" ht="6.75" customHeight="1" x14ac:dyDescent="0.2"/>
    <row r="57" spans="1:39" ht="18.75" x14ac:dyDescent="0.3">
      <c r="A57" s="213"/>
    </row>
    <row r="58" spans="1:39" ht="6.75" customHeight="1" x14ac:dyDescent="0.2"/>
    <row r="59" spans="1:39" ht="29.25" customHeight="1" x14ac:dyDescent="0.2"/>
    <row r="60" spans="1:39" ht="6.75" customHeight="1" x14ac:dyDescent="0.2"/>
    <row r="61" spans="1:39" ht="13.5" customHeight="1" x14ac:dyDescent="0.2"/>
    <row r="62" spans="1:39" ht="6.75" customHeight="1" x14ac:dyDescent="0.2"/>
    <row r="64" spans="1:39" x14ac:dyDescent="0.2">
      <c r="D64" s="214"/>
      <c r="E64" s="214"/>
    </row>
    <row r="65" spans="4:5" x14ac:dyDescent="0.2">
      <c r="D65" s="214"/>
      <c r="E65" s="214"/>
    </row>
  </sheetData>
  <sheetProtection password="DCF0" sheet="1" objects="1" scenarios="1"/>
  <mergeCells count="519">
    <mergeCell ref="C42:C43"/>
    <mergeCell ref="C44:C45"/>
    <mergeCell ref="C46:C47"/>
    <mergeCell ref="C48:C49"/>
    <mergeCell ref="C50:C51"/>
    <mergeCell ref="C52:C53"/>
    <mergeCell ref="C24:C25"/>
    <mergeCell ref="C26:C27"/>
    <mergeCell ref="C28:C29"/>
    <mergeCell ref="C30:C31"/>
    <mergeCell ref="C32:C33"/>
    <mergeCell ref="C34:C35"/>
    <mergeCell ref="C36:C37"/>
    <mergeCell ref="C38:C39"/>
    <mergeCell ref="C40:C41"/>
    <mergeCell ref="C10:C11"/>
    <mergeCell ref="C12:C13"/>
    <mergeCell ref="C14:C15"/>
    <mergeCell ref="C16:C17"/>
    <mergeCell ref="C18:C19"/>
    <mergeCell ref="C20:C21"/>
    <mergeCell ref="C22:C23"/>
    <mergeCell ref="Y50:Y51"/>
    <mergeCell ref="AB50:AB51"/>
    <mergeCell ref="AB28:AB29"/>
    <mergeCell ref="Y30:Y31"/>
    <mergeCell ref="AB30:AB31"/>
    <mergeCell ref="Y32:Y33"/>
    <mergeCell ref="AB32:AB33"/>
    <mergeCell ref="Y34:Y35"/>
    <mergeCell ref="AB34:AB35"/>
    <mergeCell ref="Y36:Y37"/>
    <mergeCell ref="AB36:AB37"/>
    <mergeCell ref="Y14:Y15"/>
    <mergeCell ref="AB14:AB15"/>
    <mergeCell ref="Y16:Y17"/>
    <mergeCell ref="AB16:AB17"/>
    <mergeCell ref="Y18:Y19"/>
    <mergeCell ref="AB18:AB19"/>
    <mergeCell ref="Y52:Y53"/>
    <mergeCell ref="AB52:AB53"/>
    <mergeCell ref="Y38:Y39"/>
    <mergeCell ref="AB38:AB39"/>
    <mergeCell ref="Y40:Y41"/>
    <mergeCell ref="AB40:AB41"/>
    <mergeCell ref="Y42:Y43"/>
    <mergeCell ref="AB42:AB43"/>
    <mergeCell ref="Y44:Y45"/>
    <mergeCell ref="AB44:AB45"/>
    <mergeCell ref="Y46:Y47"/>
    <mergeCell ref="AB46:AB47"/>
    <mergeCell ref="AB48:AB49"/>
    <mergeCell ref="AA46:AA47"/>
    <mergeCell ref="AA48:AA49"/>
    <mergeCell ref="AA50:AA51"/>
    <mergeCell ref="AA52:AA53"/>
    <mergeCell ref="Z44:Z45"/>
    <mergeCell ref="Z46:Z47"/>
    <mergeCell ref="Z48:Z49"/>
    <mergeCell ref="Z50:Z51"/>
    <mergeCell ref="Z52:Z53"/>
    <mergeCell ref="Y20:Y21"/>
    <mergeCell ref="AB20:AB21"/>
    <mergeCell ref="Y22:Y23"/>
    <mergeCell ref="AB22:AB23"/>
    <mergeCell ref="AA14:AA15"/>
    <mergeCell ref="AA16:AA17"/>
    <mergeCell ref="AA20:AA21"/>
    <mergeCell ref="AA22:AA23"/>
    <mergeCell ref="Z14:Z15"/>
    <mergeCell ref="Z16:Z17"/>
    <mergeCell ref="Z18:Z19"/>
    <mergeCell ref="Z20:Z21"/>
    <mergeCell ref="Z22:Z23"/>
    <mergeCell ref="X32:X33"/>
    <mergeCell ref="X34:X35"/>
    <mergeCell ref="X36:X37"/>
    <mergeCell ref="X38:X39"/>
    <mergeCell ref="X40:X41"/>
    <mergeCell ref="X42:X43"/>
    <mergeCell ref="X44:X45"/>
    <mergeCell ref="X46:X47"/>
    <mergeCell ref="X48:X49"/>
    <mergeCell ref="X14:X15"/>
    <mergeCell ref="X16:X17"/>
    <mergeCell ref="X18:X19"/>
    <mergeCell ref="X20:X21"/>
    <mergeCell ref="X22:X23"/>
    <mergeCell ref="X24:X25"/>
    <mergeCell ref="X26:X27"/>
    <mergeCell ref="X28:X29"/>
    <mergeCell ref="X30:X31"/>
    <mergeCell ref="E54:F54"/>
    <mergeCell ref="G54:H54"/>
    <mergeCell ref="I54:J54"/>
    <mergeCell ref="K54:L54"/>
    <mergeCell ref="M54:N54"/>
    <mergeCell ref="O54:P54"/>
    <mergeCell ref="Q54:R54"/>
    <mergeCell ref="G49:H49"/>
    <mergeCell ref="I49:J49"/>
    <mergeCell ref="K49:L49"/>
    <mergeCell ref="M49:N49"/>
    <mergeCell ref="O49:P49"/>
    <mergeCell ref="Q49:R49"/>
    <mergeCell ref="E51:F51"/>
    <mergeCell ref="G51:H51"/>
    <mergeCell ref="I51:J51"/>
    <mergeCell ref="K51:L51"/>
    <mergeCell ref="M51:N51"/>
    <mergeCell ref="O51:P51"/>
    <mergeCell ref="Q51:R51"/>
    <mergeCell ref="E49:F49"/>
    <mergeCell ref="Q53:R53"/>
    <mergeCell ref="K41:L41"/>
    <mergeCell ref="M41:N41"/>
    <mergeCell ref="O41:P41"/>
    <mergeCell ref="Q41:R41"/>
    <mergeCell ref="E43:F43"/>
    <mergeCell ref="G43:H43"/>
    <mergeCell ref="I43:J43"/>
    <mergeCell ref="K43:L43"/>
    <mergeCell ref="M43:N43"/>
    <mergeCell ref="O43:P43"/>
    <mergeCell ref="Q43:R43"/>
    <mergeCell ref="O33:P33"/>
    <mergeCell ref="Q33:R33"/>
    <mergeCell ref="E35:F35"/>
    <mergeCell ref="G35:H35"/>
    <mergeCell ref="I35:J35"/>
    <mergeCell ref="K35:L35"/>
    <mergeCell ref="M35:N35"/>
    <mergeCell ref="O35:P35"/>
    <mergeCell ref="Q35:R35"/>
    <mergeCell ref="E25:F25"/>
    <mergeCell ref="G25:H25"/>
    <mergeCell ref="I25:J25"/>
    <mergeCell ref="K25:L25"/>
    <mergeCell ref="M25:N25"/>
    <mergeCell ref="O25:P25"/>
    <mergeCell ref="Q25:R25"/>
    <mergeCell ref="E27:F27"/>
    <mergeCell ref="G27:H27"/>
    <mergeCell ref="I27:J27"/>
    <mergeCell ref="K27:L27"/>
    <mergeCell ref="M27:N27"/>
    <mergeCell ref="O27:P27"/>
    <mergeCell ref="Q27:R27"/>
    <mergeCell ref="Q21:R21"/>
    <mergeCell ref="E23:F23"/>
    <mergeCell ref="G23:H23"/>
    <mergeCell ref="I23:J23"/>
    <mergeCell ref="K23:L23"/>
    <mergeCell ref="M23:N23"/>
    <mergeCell ref="O23:P23"/>
    <mergeCell ref="Q23:R23"/>
    <mergeCell ref="M21:N21"/>
    <mergeCell ref="O15:P15"/>
    <mergeCell ref="Q15:R15"/>
    <mergeCell ref="E17:F17"/>
    <mergeCell ref="G17:H17"/>
    <mergeCell ref="I17:J17"/>
    <mergeCell ref="K17:L17"/>
    <mergeCell ref="M17:N17"/>
    <mergeCell ref="O17:P17"/>
    <mergeCell ref="Q17:R17"/>
    <mergeCell ref="I15:J15"/>
    <mergeCell ref="K15:L15"/>
    <mergeCell ref="AF54:AL54"/>
    <mergeCell ref="A6:W6"/>
    <mergeCell ref="B10:B11"/>
    <mergeCell ref="AF8:AL8"/>
    <mergeCell ref="AF7:AL7"/>
    <mergeCell ref="U10:U11"/>
    <mergeCell ref="A10:A11"/>
    <mergeCell ref="A12:A13"/>
    <mergeCell ref="A14:A15"/>
    <mergeCell ref="A16:A17"/>
    <mergeCell ref="A18:A19"/>
    <mergeCell ref="A20:A21"/>
    <mergeCell ref="A22:A23"/>
    <mergeCell ref="A24:A25"/>
    <mergeCell ref="B14:B15"/>
    <mergeCell ref="B16:B17"/>
    <mergeCell ref="B18:B19"/>
    <mergeCell ref="AE16:AE17"/>
    <mergeCell ref="AF16:AL17"/>
    <mergeCell ref="U14:U15"/>
    <mergeCell ref="W14:W15"/>
    <mergeCell ref="AE14:AE15"/>
    <mergeCell ref="AF14:AL15"/>
    <mergeCell ref="V14:V15"/>
    <mergeCell ref="AF10:AL11"/>
    <mergeCell ref="U12:U13"/>
    <mergeCell ref="W12:W13"/>
    <mergeCell ref="AE12:AE13"/>
    <mergeCell ref="AF12:AL13"/>
    <mergeCell ref="V10:V11"/>
    <mergeCell ref="V12:V13"/>
    <mergeCell ref="W10:W11"/>
    <mergeCell ref="AE10:AE11"/>
    <mergeCell ref="AC10:AC11"/>
    <mergeCell ref="AC12:AC13"/>
    <mergeCell ref="X10:X11"/>
    <mergeCell ref="X12:X13"/>
    <mergeCell ref="Y10:Y11"/>
    <mergeCell ref="AB10:AB11"/>
    <mergeCell ref="Y12:Y13"/>
    <mergeCell ref="AB12:AB13"/>
    <mergeCell ref="AA10:AA11"/>
    <mergeCell ref="AA12:AA13"/>
    <mergeCell ref="Z10:Z11"/>
    <mergeCell ref="Z12:Z13"/>
    <mergeCell ref="AD10:AD11"/>
    <mergeCell ref="AD12:AD13"/>
    <mergeCell ref="AF20:AL21"/>
    <mergeCell ref="U18:U19"/>
    <mergeCell ref="W18:W19"/>
    <mergeCell ref="AE18:AE19"/>
    <mergeCell ref="AF18:AL19"/>
    <mergeCell ref="U24:U25"/>
    <mergeCell ref="W24:W25"/>
    <mergeCell ref="AE24:AE25"/>
    <mergeCell ref="AF24:AL25"/>
    <mergeCell ref="U22:U23"/>
    <mergeCell ref="W22:W23"/>
    <mergeCell ref="AE22:AE23"/>
    <mergeCell ref="AF22:AL23"/>
    <mergeCell ref="U20:U21"/>
    <mergeCell ref="V18:V19"/>
    <mergeCell ref="W20:W21"/>
    <mergeCell ref="AE20:AE21"/>
    <mergeCell ref="AC20:AC21"/>
    <mergeCell ref="AC22:AC23"/>
    <mergeCell ref="AC24:AC25"/>
    <mergeCell ref="Y24:Y25"/>
    <mergeCell ref="AB24:AB25"/>
    <mergeCell ref="AC18:AC19"/>
    <mergeCell ref="AA18:AA19"/>
    <mergeCell ref="AF26:AL27"/>
    <mergeCell ref="A28:A29"/>
    <mergeCell ref="B28:B29"/>
    <mergeCell ref="U28:U29"/>
    <mergeCell ref="W28:W29"/>
    <mergeCell ref="AE28:AE29"/>
    <mergeCell ref="AF28:AL29"/>
    <mergeCell ref="A26:A27"/>
    <mergeCell ref="B26:B27"/>
    <mergeCell ref="U26:U27"/>
    <mergeCell ref="W26:W27"/>
    <mergeCell ref="AE26:AE27"/>
    <mergeCell ref="E29:F29"/>
    <mergeCell ref="G29:H29"/>
    <mergeCell ref="I29:J29"/>
    <mergeCell ref="K29:L29"/>
    <mergeCell ref="M29:N29"/>
    <mergeCell ref="O29:P29"/>
    <mergeCell ref="Q29:R29"/>
    <mergeCell ref="AC26:AC27"/>
    <mergeCell ref="AC28:AC29"/>
    <mergeCell ref="Y26:Y27"/>
    <mergeCell ref="AB26:AB27"/>
    <mergeCell ref="Y28:Y29"/>
    <mergeCell ref="AF30:AL31"/>
    <mergeCell ref="A32:A33"/>
    <mergeCell ref="B32:B33"/>
    <mergeCell ref="U32:U33"/>
    <mergeCell ref="W32:W33"/>
    <mergeCell ref="AE32:AE33"/>
    <mergeCell ref="AF32:AL33"/>
    <mergeCell ref="A30:A31"/>
    <mergeCell ref="B30:B31"/>
    <mergeCell ref="U30:U31"/>
    <mergeCell ref="W30:W31"/>
    <mergeCell ref="AE30:AE31"/>
    <mergeCell ref="E31:F31"/>
    <mergeCell ref="G31:H31"/>
    <mergeCell ref="I31:J31"/>
    <mergeCell ref="K31:L31"/>
    <mergeCell ref="M31:N31"/>
    <mergeCell ref="O31:P31"/>
    <mergeCell ref="Q31:R31"/>
    <mergeCell ref="E33:F33"/>
    <mergeCell ref="G33:H33"/>
    <mergeCell ref="I33:J33"/>
    <mergeCell ref="K33:L33"/>
    <mergeCell ref="M33:N33"/>
    <mergeCell ref="AF34:AL35"/>
    <mergeCell ref="A36:A37"/>
    <mergeCell ref="B36:B37"/>
    <mergeCell ref="U36:U37"/>
    <mergeCell ref="W36:W37"/>
    <mergeCell ref="AE36:AE37"/>
    <mergeCell ref="AF36:AL37"/>
    <mergeCell ref="A34:A35"/>
    <mergeCell ref="B34:B35"/>
    <mergeCell ref="U34:U35"/>
    <mergeCell ref="W34:W35"/>
    <mergeCell ref="V34:V35"/>
    <mergeCell ref="V36:V37"/>
    <mergeCell ref="AE34:AE35"/>
    <mergeCell ref="E37:F37"/>
    <mergeCell ref="G37:H37"/>
    <mergeCell ref="I37:J37"/>
    <mergeCell ref="K37:L37"/>
    <mergeCell ref="M37:N37"/>
    <mergeCell ref="O37:P37"/>
    <mergeCell ref="Q37:R37"/>
    <mergeCell ref="AC36:AC37"/>
    <mergeCell ref="AE38:AE39"/>
    <mergeCell ref="AF38:AL39"/>
    <mergeCell ref="A40:A41"/>
    <mergeCell ref="B40:B41"/>
    <mergeCell ref="U40:U41"/>
    <mergeCell ref="W40:W41"/>
    <mergeCell ref="AE40:AE41"/>
    <mergeCell ref="AF40:AL41"/>
    <mergeCell ref="A38:A39"/>
    <mergeCell ref="B38:B39"/>
    <mergeCell ref="U38:U39"/>
    <mergeCell ref="W38:W39"/>
    <mergeCell ref="V38:V39"/>
    <mergeCell ref="V40:V41"/>
    <mergeCell ref="E39:F39"/>
    <mergeCell ref="G39:H39"/>
    <mergeCell ref="I39:J39"/>
    <mergeCell ref="K39:L39"/>
    <mergeCell ref="M39:N39"/>
    <mergeCell ref="O39:P39"/>
    <mergeCell ref="Q39:R39"/>
    <mergeCell ref="E41:F41"/>
    <mergeCell ref="G41:H41"/>
    <mergeCell ref="AC38:AC39"/>
    <mergeCell ref="AE42:AE43"/>
    <mergeCell ref="AF42:AL43"/>
    <mergeCell ref="A44:A45"/>
    <mergeCell ref="B44:B45"/>
    <mergeCell ref="U44:U45"/>
    <mergeCell ref="W44:W45"/>
    <mergeCell ref="AE44:AE45"/>
    <mergeCell ref="AF44:AL45"/>
    <mergeCell ref="A42:A43"/>
    <mergeCell ref="B42:B43"/>
    <mergeCell ref="U42:U43"/>
    <mergeCell ref="W42:W43"/>
    <mergeCell ref="V42:V43"/>
    <mergeCell ref="V44:V45"/>
    <mergeCell ref="E45:F45"/>
    <mergeCell ref="G45:H45"/>
    <mergeCell ref="I45:J45"/>
    <mergeCell ref="K45:L45"/>
    <mergeCell ref="M45:N45"/>
    <mergeCell ref="O45:P45"/>
    <mergeCell ref="Q45:R45"/>
    <mergeCell ref="AA42:AA43"/>
    <mergeCell ref="AA44:AA45"/>
    <mergeCell ref="Z42:Z43"/>
    <mergeCell ref="AE48:AE49"/>
    <mergeCell ref="AF48:AL49"/>
    <mergeCell ref="A46:A47"/>
    <mergeCell ref="B46:B47"/>
    <mergeCell ref="U46:U47"/>
    <mergeCell ref="W46:W47"/>
    <mergeCell ref="V46:V47"/>
    <mergeCell ref="V48:V49"/>
    <mergeCell ref="AC46:AC47"/>
    <mergeCell ref="AC48:AC49"/>
    <mergeCell ref="AE46:AE47"/>
    <mergeCell ref="AF46:AL47"/>
    <mergeCell ref="A48:A49"/>
    <mergeCell ref="B48:B49"/>
    <mergeCell ref="U48:U49"/>
    <mergeCell ref="W48:W49"/>
    <mergeCell ref="E47:F47"/>
    <mergeCell ref="G47:H47"/>
    <mergeCell ref="I47:J47"/>
    <mergeCell ref="K47:L47"/>
    <mergeCell ref="M47:N47"/>
    <mergeCell ref="O47:P47"/>
    <mergeCell ref="Q47:R47"/>
    <mergeCell ref="Y48:Y49"/>
    <mergeCell ref="AE50:AE51"/>
    <mergeCell ref="AF50:AL51"/>
    <mergeCell ref="A52:A53"/>
    <mergeCell ref="B52:B53"/>
    <mergeCell ref="U52:U53"/>
    <mergeCell ref="W52:W53"/>
    <mergeCell ref="AE52:AE53"/>
    <mergeCell ref="AF52:AL53"/>
    <mergeCell ref="A50:A51"/>
    <mergeCell ref="B50:B51"/>
    <mergeCell ref="U50:U51"/>
    <mergeCell ref="W50:W51"/>
    <mergeCell ref="V50:V51"/>
    <mergeCell ref="V52:V53"/>
    <mergeCell ref="AC50:AC51"/>
    <mergeCell ref="AC52:AC53"/>
    <mergeCell ref="E53:F53"/>
    <mergeCell ref="G53:H53"/>
    <mergeCell ref="I53:J53"/>
    <mergeCell ref="K53:L53"/>
    <mergeCell ref="M53:N53"/>
    <mergeCell ref="O53:P53"/>
    <mergeCell ref="X50:X51"/>
    <mergeCell ref="X52:X53"/>
    <mergeCell ref="AC40:AC41"/>
    <mergeCell ref="AC42:AC43"/>
    <mergeCell ref="AC44:AC45"/>
    <mergeCell ref="E19:F19"/>
    <mergeCell ref="G19:H19"/>
    <mergeCell ref="I19:J19"/>
    <mergeCell ref="K19:L19"/>
    <mergeCell ref="M19:N19"/>
    <mergeCell ref="O19:P19"/>
    <mergeCell ref="Q19:R19"/>
    <mergeCell ref="E21:F21"/>
    <mergeCell ref="G21:H21"/>
    <mergeCell ref="V20:V21"/>
    <mergeCell ref="V22:V23"/>
    <mergeCell ref="V24:V25"/>
    <mergeCell ref="V26:V27"/>
    <mergeCell ref="V28:V29"/>
    <mergeCell ref="V30:V31"/>
    <mergeCell ref="V32:V33"/>
    <mergeCell ref="I21:J21"/>
    <mergeCell ref="K21:L21"/>
    <mergeCell ref="I41:J41"/>
    <mergeCell ref="O21:P21"/>
    <mergeCell ref="AC30:AC31"/>
    <mergeCell ref="AC32:AC33"/>
    <mergeCell ref="AC34:AC35"/>
    <mergeCell ref="E8:F8"/>
    <mergeCell ref="G8:H8"/>
    <mergeCell ref="I8:J8"/>
    <mergeCell ref="K8:L8"/>
    <mergeCell ref="M8:N8"/>
    <mergeCell ref="O8:P8"/>
    <mergeCell ref="Q8:R8"/>
    <mergeCell ref="E11:F11"/>
    <mergeCell ref="AC14:AC15"/>
    <mergeCell ref="AC16:AC17"/>
    <mergeCell ref="G11:H11"/>
    <mergeCell ref="I11:J11"/>
    <mergeCell ref="K11:L11"/>
    <mergeCell ref="M11:N11"/>
    <mergeCell ref="O11:P11"/>
    <mergeCell ref="Q11:R11"/>
    <mergeCell ref="E13:F13"/>
    <mergeCell ref="G13:H13"/>
    <mergeCell ref="I13:J13"/>
    <mergeCell ref="K13:L13"/>
    <mergeCell ref="M13:N13"/>
    <mergeCell ref="M15:N15"/>
    <mergeCell ref="I4:O4"/>
    <mergeCell ref="I5:O5"/>
    <mergeCell ref="A1:W1"/>
    <mergeCell ref="A54:D54"/>
    <mergeCell ref="A2:W2"/>
    <mergeCell ref="A3:W3"/>
    <mergeCell ref="U16:U17"/>
    <mergeCell ref="W16:W17"/>
    <mergeCell ref="B12:B13"/>
    <mergeCell ref="B20:B21"/>
    <mergeCell ref="B22:B23"/>
    <mergeCell ref="B24:B25"/>
    <mergeCell ref="V16:V17"/>
    <mergeCell ref="E7:F7"/>
    <mergeCell ref="G7:H7"/>
    <mergeCell ref="I7:J7"/>
    <mergeCell ref="K7:L7"/>
    <mergeCell ref="M7:N7"/>
    <mergeCell ref="O7:P7"/>
    <mergeCell ref="Q7:R7"/>
    <mergeCell ref="O13:P13"/>
    <mergeCell ref="Q13:R13"/>
    <mergeCell ref="E15:F15"/>
    <mergeCell ref="G15:H15"/>
    <mergeCell ref="AA24:AA25"/>
    <mergeCell ref="AA26:AA27"/>
    <mergeCell ref="AA28:AA29"/>
    <mergeCell ref="AA30:AA31"/>
    <mergeCell ref="AA32:AA33"/>
    <mergeCell ref="AA34:AA35"/>
    <mergeCell ref="AA36:AA37"/>
    <mergeCell ref="AA38:AA39"/>
    <mergeCell ref="AA40:AA41"/>
    <mergeCell ref="Z24:Z25"/>
    <mergeCell ref="Z26:Z27"/>
    <mergeCell ref="Z28:Z29"/>
    <mergeCell ref="Z30:Z31"/>
    <mergeCell ref="Z32:Z33"/>
    <mergeCell ref="Z34:Z35"/>
    <mergeCell ref="Z36:Z37"/>
    <mergeCell ref="Z38:Z39"/>
    <mergeCell ref="Z40:Z41"/>
    <mergeCell ref="D8:D9"/>
    <mergeCell ref="A8:B8"/>
    <mergeCell ref="A9:B9"/>
    <mergeCell ref="C8:C9"/>
    <mergeCell ref="AD50:AD51"/>
    <mergeCell ref="AD52:AD53"/>
    <mergeCell ref="AD32:AD33"/>
    <mergeCell ref="AD34:AD35"/>
    <mergeCell ref="AD36:AD37"/>
    <mergeCell ref="AD38:AD39"/>
    <mergeCell ref="AD40:AD41"/>
    <mergeCell ref="AD42:AD43"/>
    <mergeCell ref="AD44:AD45"/>
    <mergeCell ref="AD46:AD47"/>
    <mergeCell ref="AD48:AD49"/>
    <mergeCell ref="AD14:AD15"/>
    <mergeCell ref="AD16:AD17"/>
    <mergeCell ref="AD18:AD19"/>
    <mergeCell ref="AD20:AD21"/>
    <mergeCell ref="AD22:AD23"/>
    <mergeCell ref="AD24:AD25"/>
    <mergeCell ref="AD26:AD27"/>
    <mergeCell ref="AD28:AD29"/>
    <mergeCell ref="AD30:AD31"/>
  </mergeCells>
  <phoneticPr fontId="0" type="noConversion"/>
  <conditionalFormatting sqref="U10:U53">
    <cfRule type="cellIs" dxfId="78" priority="5" operator="lessThan">
      <formula>0</formula>
    </cfRule>
    <cfRule type="cellIs" dxfId="77" priority="26" operator="greaterThan">
      <formula>1</formula>
    </cfRule>
  </conditionalFormatting>
  <conditionalFormatting sqref="E11:S11 E13:S13 E19:S19 E21:S21 E23:S23 E25:S25 E27:S27 E29:S29 E31:S31 E33:S33 E35:S35 E37:S37 E39:S39 E41:S41 E43:S43 E45:S45 E47:S47 E49:S49 E51:S51 E53:S53 E15:S15 E17:S17">
    <cfRule type="cellIs" dxfId="76" priority="19" operator="lessThan">
      <formula>0</formula>
    </cfRule>
  </conditionalFormatting>
  <conditionalFormatting sqref="S11 S13 S19 S21 S23 S25 S27 S29 S31 S33 S35 S37 S39 S41 S43 S45 S47 S49 S51 S53 S15 S17">
    <cfRule type="cellIs" dxfId="75" priority="12" operator="greaterThan">
      <formula>0</formula>
    </cfRule>
  </conditionalFormatting>
  <conditionalFormatting sqref="B10:B53">
    <cfRule type="containsText" dxfId="74" priority="2" operator="containsText" text="CSSEA - Other">
      <formula>NOT(ISERROR(SEARCH("CSSEA - Other",B10)))</formula>
    </cfRule>
    <cfRule type="containsText" dxfId="73" priority="4" operator="containsText" text="Special Stat Day Worker">
      <formula>NOT(ISERROR(SEARCH("Special Stat Day Worker",B10)))</formula>
    </cfRule>
    <cfRule type="expression" dxfId="72" priority="28">
      <formula>$AC10=1</formula>
    </cfRule>
    <cfRule type="cellIs" dxfId="71" priority="1" operator="equal">
      <formula>"HEABC - Other"</formula>
    </cfRule>
  </conditionalFormatting>
  <dataValidations count="2">
    <dataValidation type="list" allowBlank="1" showInputMessage="1" showErrorMessage="1" sqref="B10:B53">
      <formula1>JobList</formula1>
    </dataValidation>
    <dataValidation type="decimal" allowBlank="1" showInputMessage="1" showErrorMessage="1" error="Backfill % MUST be between 0 - 100%." sqref="V52 V10 V50 V16 V18 V20 V22 V24 V26 V28 V30 V32 V34 V36 V38 V40 V42 V44 V46 V48 V12 V14">
      <formula1>0</formula1>
      <formula2>1</formula2>
    </dataValidation>
  </dataValidations>
  <pageMargins left="0" right="0" top="0" bottom="0" header="0.3" footer="0.3"/>
  <pageSetup scale="71" orientation="landscape" r:id="rId1"/>
  <headerFooter alignWithMargins="0">
    <oddFooter>&amp;L&amp;F  
Tab: FGT&amp;A&amp;CPrinted: &amp;D &amp;T&amp;RPage &amp;P of &amp;N</oddFooter>
  </headerFooter>
  <colBreaks count="1" manualBreakCount="1">
    <brk id="28" max="54" man="1"/>
  </colBreaks>
  <ignoredErrors>
    <ignoredError sqref="V17 V19 V21 V23 V25 V27 V29 V31 V33 V35 V37 V39 V41 V43 V45 V47 V49 V51 V53" unlockedFormula="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99"/>
  <sheetViews>
    <sheetView showGridLines="0" zoomScaleNormal="100" workbookViewId="0">
      <pane ySplit="5" topLeftCell="A6" activePane="bottomLeft" state="frozen"/>
      <selection activeCell="B4" sqref="B4"/>
      <selection pane="bottomLeft" activeCell="A4" sqref="A4:O4"/>
    </sheetView>
  </sheetViews>
  <sheetFormatPr defaultColWidth="9.140625" defaultRowHeight="12.75" x14ac:dyDescent="0.2"/>
  <cols>
    <col min="1" max="1" width="9.140625" style="34" customWidth="1"/>
    <col min="2" max="3" width="10.140625" style="34" bestFit="1" customWidth="1"/>
    <col min="4" max="4" width="9.28515625" style="34" bestFit="1" customWidth="1"/>
    <col min="5" max="6" width="10.140625" style="34" bestFit="1" customWidth="1"/>
    <col min="7" max="7" width="9.28515625" style="34" bestFit="1" customWidth="1"/>
    <col min="8" max="9" width="10.140625" style="34" bestFit="1" customWidth="1"/>
    <col min="10" max="10" width="9.28515625" style="34" bestFit="1" customWidth="1"/>
    <col min="11" max="12" width="10.140625" style="34" bestFit="1" customWidth="1"/>
    <col min="13" max="13" width="10" style="34" customWidth="1"/>
    <col min="14" max="14" width="8" style="34" customWidth="1"/>
    <col min="15" max="15" width="11.42578125" style="34" customWidth="1"/>
    <col min="16" max="16" width="9.28515625" style="34" bestFit="1" customWidth="1"/>
    <col min="17" max="19" width="9.28515625" style="34" customWidth="1"/>
    <col min="20" max="21" width="10.140625" style="34" bestFit="1" customWidth="1"/>
    <col min="22" max="25" width="10" style="34" customWidth="1"/>
    <col min="26" max="26" width="8" style="34" customWidth="1"/>
    <col min="27" max="27" width="10.85546875" style="34" customWidth="1"/>
    <col min="28" max="28" width="9.28515625" style="34" bestFit="1" customWidth="1"/>
    <col min="29" max="31" width="9.28515625" style="34" customWidth="1"/>
    <col min="32" max="33" width="10.140625" style="34" bestFit="1" customWidth="1"/>
    <col min="34" max="34" width="9.28515625" style="34" bestFit="1" customWidth="1"/>
    <col min="35" max="37" width="9.28515625" style="34" customWidth="1"/>
    <col min="38" max="39" width="10.140625" style="34" bestFit="1" customWidth="1"/>
    <col min="40" max="40" width="9.28515625" style="34" bestFit="1" customWidth="1"/>
    <col min="41" max="42" width="9.140625" style="34"/>
    <col min="43" max="43" width="10.28515625" style="34" customWidth="1"/>
    <col min="44" max="16384" width="9.140625" style="34"/>
  </cols>
  <sheetData>
    <row r="1" spans="1:27" x14ac:dyDescent="0.2">
      <c r="A1" s="1274" t="str">
        <f>Instructions!C2</f>
        <v>Funding Template Version of 1Apr13</v>
      </c>
      <c r="B1" s="1274"/>
      <c r="C1" s="1274"/>
      <c r="D1" s="1274"/>
      <c r="E1" s="1274"/>
      <c r="F1" s="1274"/>
      <c r="G1" s="1274"/>
      <c r="H1" s="1274"/>
      <c r="I1" s="1274"/>
      <c r="J1" s="1274"/>
      <c r="K1" s="1274"/>
      <c r="L1" s="1274"/>
      <c r="M1" s="1274"/>
      <c r="N1" s="1274"/>
      <c r="O1" s="1274"/>
      <c r="P1" s="246"/>
      <c r="Q1" s="246"/>
      <c r="R1" s="246"/>
      <c r="S1" s="246"/>
      <c r="T1" s="246"/>
      <c r="U1" s="246"/>
      <c r="V1" s="246"/>
      <c r="W1" s="246"/>
      <c r="X1" s="246"/>
      <c r="Y1" s="246"/>
      <c r="Z1" s="246"/>
    </row>
    <row r="2" spans="1:27" ht="20.25" x14ac:dyDescent="0.3">
      <c r="A2" s="1275" t="str">
        <f>Instructions!C3</f>
        <v>Funding Template - Union</v>
      </c>
      <c r="B2" s="1275"/>
      <c r="C2" s="1275"/>
      <c r="D2" s="1275"/>
      <c r="E2" s="1275"/>
      <c r="F2" s="1275"/>
      <c r="G2" s="1275"/>
      <c r="H2" s="1275"/>
      <c r="I2" s="1275"/>
      <c r="J2" s="1275"/>
      <c r="K2" s="1275"/>
      <c r="L2" s="1275"/>
      <c r="M2" s="1275"/>
      <c r="N2" s="1275"/>
      <c r="O2" s="1275"/>
      <c r="P2" s="215"/>
      <c r="Q2" s="215"/>
      <c r="R2" s="215"/>
      <c r="S2" s="215"/>
      <c r="T2" s="215"/>
      <c r="U2" s="215"/>
      <c r="V2" s="215"/>
      <c r="W2" s="215"/>
      <c r="X2" s="215"/>
      <c r="Y2" s="215"/>
      <c r="Z2" s="215"/>
    </row>
    <row r="3" spans="1:27" ht="16.5" x14ac:dyDescent="0.25">
      <c r="A3" s="1276" t="s">
        <v>461</v>
      </c>
      <c r="B3" s="1276"/>
      <c r="C3" s="1276"/>
      <c r="D3" s="1276"/>
      <c r="E3" s="1276"/>
      <c r="F3" s="1276"/>
      <c r="G3" s="1276"/>
      <c r="H3" s="1276"/>
      <c r="I3" s="1276"/>
      <c r="J3" s="1276"/>
      <c r="K3" s="1276"/>
      <c r="L3" s="1276"/>
      <c r="M3" s="1276"/>
      <c r="N3" s="1276"/>
      <c r="O3" s="1276"/>
      <c r="P3" s="37"/>
      <c r="Q3" s="37"/>
      <c r="R3" s="37"/>
      <c r="S3" s="37"/>
      <c r="T3" s="37"/>
      <c r="U3" s="37"/>
      <c r="V3" s="37"/>
      <c r="W3" s="37"/>
      <c r="X3" s="37"/>
      <c r="Y3" s="37"/>
      <c r="Z3" s="37"/>
    </row>
    <row r="4" spans="1:27" x14ac:dyDescent="0.2">
      <c r="A4" s="1344">
        <f>Page1!A7</f>
        <v>0</v>
      </c>
      <c r="B4" s="1344"/>
      <c r="C4" s="1344"/>
      <c r="D4" s="1344"/>
      <c r="E4" s="1344"/>
      <c r="F4" s="1344"/>
      <c r="G4" s="1344"/>
      <c r="H4" s="1344"/>
      <c r="I4" s="1344"/>
      <c r="J4" s="1344"/>
      <c r="K4" s="1344"/>
      <c r="L4" s="1344"/>
      <c r="M4" s="1344"/>
      <c r="N4" s="1344"/>
      <c r="O4" s="1344"/>
      <c r="P4" s="604"/>
      <c r="Q4" s="604"/>
      <c r="R4" s="604"/>
      <c r="S4" s="604"/>
      <c r="T4" s="604"/>
      <c r="U4" s="604"/>
      <c r="V4" s="604"/>
      <c r="W4" s="604"/>
      <c r="X4" s="604"/>
      <c r="Y4" s="604"/>
      <c r="Z4" s="604"/>
    </row>
    <row r="5" spans="1:27" x14ac:dyDescent="0.2">
      <c r="A5" s="1345">
        <f>Page1!A9</f>
        <v>0</v>
      </c>
      <c r="B5" s="1345"/>
      <c r="C5" s="1345"/>
      <c r="D5" s="1345"/>
      <c r="E5" s="1345"/>
      <c r="F5" s="1345"/>
      <c r="G5" s="1345"/>
      <c r="H5" s="1345"/>
      <c r="I5" s="1345"/>
      <c r="J5" s="1345"/>
      <c r="K5" s="1345"/>
      <c r="L5" s="1345"/>
      <c r="M5" s="1345"/>
      <c r="N5" s="1345"/>
      <c r="O5" s="1345"/>
      <c r="P5" s="605"/>
      <c r="Q5" s="605"/>
      <c r="R5" s="605"/>
      <c r="S5" s="605"/>
      <c r="T5" s="605"/>
      <c r="U5" s="605"/>
      <c r="V5" s="605"/>
      <c r="W5" s="605"/>
      <c r="X5" s="605"/>
      <c r="Y5" s="605"/>
      <c r="Z5" s="605"/>
    </row>
    <row r="6" spans="1:27" ht="12.75" customHeight="1" x14ac:dyDescent="0.2">
      <c r="A6" s="1384" t="s">
        <v>708</v>
      </c>
      <c r="B6" s="1384"/>
      <c r="C6" s="1384"/>
      <c r="D6" s="1384"/>
      <c r="E6" s="1384"/>
      <c r="F6" s="1384"/>
      <c r="G6" s="1384"/>
      <c r="H6" s="1384"/>
      <c r="I6" s="1384"/>
      <c r="J6" s="1384"/>
      <c r="K6" s="1384"/>
      <c r="L6" s="1384"/>
      <c r="M6" s="1384"/>
      <c r="N6" s="1384"/>
      <c r="O6" s="1384"/>
      <c r="P6" s="657"/>
      <c r="Q6" s="657"/>
      <c r="R6" s="657"/>
      <c r="S6" s="657"/>
      <c r="T6" s="657"/>
      <c r="U6" s="657"/>
      <c r="V6" s="657"/>
      <c r="W6" s="657"/>
      <c r="X6" s="657"/>
      <c r="Y6" s="657"/>
    </row>
    <row r="7" spans="1:27" x14ac:dyDescent="0.2">
      <c r="A7" s="1384"/>
      <c r="B7" s="1384"/>
      <c r="C7" s="1384"/>
      <c r="D7" s="1384"/>
      <c r="E7" s="1384"/>
      <c r="F7" s="1384"/>
      <c r="G7" s="1384"/>
      <c r="H7" s="1384"/>
      <c r="I7" s="1384"/>
      <c r="J7" s="1384"/>
      <c r="K7" s="1384"/>
      <c r="L7" s="1384"/>
      <c r="M7" s="1384"/>
      <c r="N7" s="1384"/>
      <c r="O7" s="1384"/>
      <c r="P7" s="657"/>
      <c r="Q7" s="657"/>
      <c r="R7" s="657"/>
      <c r="S7" s="657"/>
      <c r="T7" s="657"/>
      <c r="U7" s="657"/>
      <c r="V7" s="657"/>
      <c r="W7" s="657"/>
      <c r="X7" s="657"/>
      <c r="Y7" s="657"/>
    </row>
    <row r="8" spans="1:27" ht="6.75" customHeight="1" x14ac:dyDescent="0.2">
      <c r="A8" s="657"/>
      <c r="B8" s="657"/>
      <c r="C8" s="657"/>
      <c r="D8" s="657"/>
      <c r="E8" s="657"/>
      <c r="F8" s="657"/>
      <c r="G8" s="657"/>
      <c r="H8" s="657"/>
      <c r="I8" s="657"/>
      <c r="J8" s="657"/>
      <c r="K8" s="657"/>
      <c r="L8" s="657"/>
      <c r="M8" s="657"/>
      <c r="N8" s="657"/>
      <c r="O8" s="657"/>
      <c r="P8" s="657"/>
      <c r="Q8" s="657"/>
      <c r="R8" s="657"/>
      <c r="S8" s="657"/>
      <c r="T8" s="657"/>
      <c r="U8" s="657"/>
      <c r="V8" s="657"/>
      <c r="W8" s="657"/>
      <c r="X8" s="657"/>
      <c r="Y8" s="657"/>
    </row>
    <row r="9" spans="1:27" ht="15.75" x14ac:dyDescent="0.25">
      <c r="A9" s="1383" t="s">
        <v>437</v>
      </c>
      <c r="B9" s="1383"/>
      <c r="C9" s="1383"/>
      <c r="D9" s="1383"/>
      <c r="E9" s="1383"/>
      <c r="F9" s="1383"/>
      <c r="G9" s="1383"/>
      <c r="H9" s="1383"/>
      <c r="I9" s="1383"/>
      <c r="J9" s="1383"/>
      <c r="K9" s="1383"/>
      <c r="L9" s="1383"/>
      <c r="M9" s="1383"/>
      <c r="N9" s="1383"/>
      <c r="O9" s="1383"/>
      <c r="P9" s="663"/>
      <c r="Q9" s="663"/>
      <c r="R9" s="663"/>
      <c r="S9" s="663"/>
      <c r="T9" s="663"/>
      <c r="U9" s="663"/>
      <c r="V9" s="663"/>
      <c r="W9" s="663"/>
      <c r="X9" s="663"/>
      <c r="Y9" s="663"/>
      <c r="Z9" s="663"/>
    </row>
    <row r="13" spans="1:27" ht="13.5" customHeight="1" x14ac:dyDescent="0.2">
      <c r="AA13" s="387"/>
    </row>
    <row r="14" spans="1:27" ht="13.5" customHeight="1" x14ac:dyDescent="0.2">
      <c r="AA14" s="387"/>
    </row>
    <row r="15" spans="1:27" ht="13.5" customHeight="1" x14ac:dyDescent="0.2">
      <c r="AA15" s="387"/>
    </row>
    <row r="16" spans="1:27" ht="13.5" customHeight="1" x14ac:dyDescent="0.2">
      <c r="AA16" s="387"/>
    </row>
    <row r="17" spans="27:27" ht="13.5" customHeight="1" x14ac:dyDescent="0.2">
      <c r="AA17" s="387"/>
    </row>
    <row r="18" spans="27:27" ht="13.5" customHeight="1" x14ac:dyDescent="0.2">
      <c r="AA18" s="387"/>
    </row>
    <row r="19" spans="27:27" ht="13.5" customHeight="1" x14ac:dyDescent="0.2">
      <c r="AA19" s="387"/>
    </row>
    <row r="20" spans="27:27" ht="13.5" customHeight="1" x14ac:dyDescent="0.2">
      <c r="AA20" s="387"/>
    </row>
    <row r="21" spans="27:27" ht="13.5" customHeight="1" x14ac:dyDescent="0.2">
      <c r="AA21" s="387"/>
    </row>
    <row r="22" spans="27:27" ht="13.5" customHeight="1" x14ac:dyDescent="0.2">
      <c r="AA22" s="387"/>
    </row>
    <row r="23" spans="27:27" ht="13.5" customHeight="1" x14ac:dyDescent="0.2">
      <c r="AA23" s="387"/>
    </row>
    <row r="24" spans="27:27" ht="13.5" customHeight="1" x14ac:dyDescent="0.2">
      <c r="AA24" s="387"/>
    </row>
    <row r="25" spans="27:27" ht="13.5" customHeight="1" x14ac:dyDescent="0.2">
      <c r="AA25" s="387"/>
    </row>
    <row r="26" spans="27:27" ht="13.5" customHeight="1" x14ac:dyDescent="0.2">
      <c r="AA26" s="387"/>
    </row>
    <row r="27" spans="27:27" ht="13.5" customHeight="1" x14ac:dyDescent="0.2">
      <c r="AA27" s="387"/>
    </row>
    <row r="28" spans="27:27" ht="13.5" customHeight="1" x14ac:dyDescent="0.2">
      <c r="AA28" s="387"/>
    </row>
    <row r="29" spans="27:27" ht="13.5" customHeight="1" x14ac:dyDescent="0.2">
      <c r="AA29" s="387"/>
    </row>
    <row r="30" spans="27:27" ht="13.5" customHeight="1" x14ac:dyDescent="0.2">
      <c r="AA30" s="387"/>
    </row>
    <row r="31" spans="27:27" ht="13.5" customHeight="1" x14ac:dyDescent="0.2">
      <c r="AA31" s="387"/>
    </row>
    <row r="32" spans="27:27" ht="13.5" customHeight="1" x14ac:dyDescent="0.2">
      <c r="AA32" s="387"/>
    </row>
    <row r="33" spans="1:27" ht="13.5" customHeight="1" x14ac:dyDescent="0.2">
      <c r="AA33" s="387"/>
    </row>
    <row r="34" spans="1:27" ht="13.5" customHeight="1" x14ac:dyDescent="0.2">
      <c r="AA34" s="387"/>
    </row>
    <row r="36" spans="1:27" ht="15.75" x14ac:dyDescent="0.25">
      <c r="A36" s="1383" t="s">
        <v>438</v>
      </c>
      <c r="B36" s="1383"/>
      <c r="C36" s="1383"/>
      <c r="D36" s="1383"/>
      <c r="E36" s="1383"/>
      <c r="F36" s="1383"/>
      <c r="G36" s="1383"/>
      <c r="H36" s="1383"/>
      <c r="I36" s="1383"/>
      <c r="J36" s="1383"/>
      <c r="K36" s="1383"/>
      <c r="L36" s="1383"/>
      <c r="M36" s="1383"/>
      <c r="N36" s="1383"/>
      <c r="O36" s="1383"/>
      <c r="P36" s="663"/>
      <c r="Q36" s="663"/>
      <c r="R36" s="663"/>
      <c r="S36" s="663"/>
      <c r="T36" s="663"/>
      <c r="U36" s="663"/>
      <c r="V36" s="663"/>
      <c r="W36" s="663"/>
      <c r="X36" s="663"/>
      <c r="Y36" s="663"/>
      <c r="Z36" s="663"/>
    </row>
    <row r="40" spans="1:27" ht="13.5" customHeight="1" x14ac:dyDescent="0.2">
      <c r="AA40" s="387"/>
    </row>
    <row r="41" spans="1:27" ht="13.5" customHeight="1" x14ac:dyDescent="0.2">
      <c r="AA41" s="387"/>
    </row>
    <row r="42" spans="1:27" ht="13.5" customHeight="1" x14ac:dyDescent="0.2">
      <c r="AA42" s="387"/>
    </row>
    <row r="43" spans="1:27" ht="13.5" customHeight="1" x14ac:dyDescent="0.2">
      <c r="AA43" s="387"/>
    </row>
    <row r="44" spans="1:27" ht="13.5" customHeight="1" x14ac:dyDescent="0.2">
      <c r="AA44" s="387"/>
    </row>
    <row r="45" spans="1:27" ht="13.5" customHeight="1" x14ac:dyDescent="0.2">
      <c r="AA45" s="387"/>
    </row>
    <row r="46" spans="1:27" ht="13.5" customHeight="1" x14ac:dyDescent="0.2">
      <c r="AA46" s="387"/>
    </row>
    <row r="47" spans="1:27" ht="13.5" customHeight="1" x14ac:dyDescent="0.2">
      <c r="AA47" s="387"/>
    </row>
    <row r="48" spans="1:27" ht="13.5" customHeight="1" x14ac:dyDescent="0.2">
      <c r="AA48" s="387"/>
    </row>
    <row r="49" spans="1:27" ht="13.5" customHeight="1" x14ac:dyDescent="0.2">
      <c r="AA49" s="387"/>
    </row>
    <row r="50" spans="1:27" ht="13.5" customHeight="1" x14ac:dyDescent="0.2">
      <c r="AA50" s="387"/>
    </row>
    <row r="51" spans="1:27" ht="13.5" customHeight="1" x14ac:dyDescent="0.2">
      <c r="AA51" s="387"/>
    </row>
    <row r="52" spans="1:27" ht="13.5" customHeight="1" x14ac:dyDescent="0.2">
      <c r="AA52" s="387"/>
    </row>
    <row r="53" spans="1:27" ht="13.5" customHeight="1" x14ac:dyDescent="0.2">
      <c r="AA53" s="387"/>
    </row>
    <row r="54" spans="1:27" ht="13.5" customHeight="1" x14ac:dyDescent="0.2">
      <c r="AA54" s="387"/>
    </row>
    <row r="55" spans="1:27" ht="13.5" customHeight="1" x14ac:dyDescent="0.2">
      <c r="AA55" s="387"/>
    </row>
    <row r="56" spans="1:27" ht="13.5" customHeight="1" x14ac:dyDescent="0.2">
      <c r="AA56" s="387"/>
    </row>
    <row r="57" spans="1:27" ht="13.5" customHeight="1" x14ac:dyDescent="0.2">
      <c r="AA57" s="387"/>
    </row>
    <row r="58" spans="1:27" ht="13.5" customHeight="1" x14ac:dyDescent="0.2">
      <c r="AA58" s="387"/>
    </row>
    <row r="59" spans="1:27" ht="13.5" customHeight="1" x14ac:dyDescent="0.2">
      <c r="AA59" s="387"/>
    </row>
    <row r="60" spans="1:27" ht="13.5" customHeight="1" x14ac:dyDescent="0.2">
      <c r="AA60" s="387"/>
    </row>
    <row r="61" spans="1:27" ht="13.5" customHeight="1" x14ac:dyDescent="0.2">
      <c r="AA61" s="387"/>
    </row>
    <row r="63" spans="1:27" ht="15.75" x14ac:dyDescent="0.25">
      <c r="A63" s="1383" t="s">
        <v>439</v>
      </c>
      <c r="B63" s="1383"/>
      <c r="C63" s="1383"/>
      <c r="D63" s="1383"/>
      <c r="E63" s="1383"/>
      <c r="F63" s="1383"/>
      <c r="G63" s="1383"/>
      <c r="H63" s="1383"/>
      <c r="I63" s="1383"/>
      <c r="J63" s="1383"/>
      <c r="K63" s="1383"/>
      <c r="L63" s="1383"/>
      <c r="M63" s="1383"/>
      <c r="N63" s="1383"/>
      <c r="O63" s="1383"/>
      <c r="P63" s="663"/>
      <c r="Q63" s="663"/>
      <c r="R63" s="663"/>
      <c r="S63" s="663"/>
      <c r="T63" s="663"/>
      <c r="U63" s="663"/>
      <c r="V63" s="663"/>
      <c r="W63" s="663"/>
      <c r="X63" s="663"/>
      <c r="Y63" s="663"/>
      <c r="Z63" s="663"/>
    </row>
    <row r="67" spans="27:27" ht="13.5" customHeight="1" x14ac:dyDescent="0.2">
      <c r="AA67" s="387"/>
    </row>
    <row r="68" spans="27:27" ht="13.5" customHeight="1" x14ac:dyDescent="0.2">
      <c r="AA68" s="387"/>
    </row>
    <row r="69" spans="27:27" ht="13.5" customHeight="1" x14ac:dyDescent="0.2">
      <c r="AA69" s="387"/>
    </row>
    <row r="70" spans="27:27" ht="13.5" customHeight="1" x14ac:dyDescent="0.2">
      <c r="AA70" s="387"/>
    </row>
    <row r="71" spans="27:27" ht="13.5" customHeight="1" x14ac:dyDescent="0.2">
      <c r="AA71" s="387"/>
    </row>
    <row r="72" spans="27:27" ht="13.5" customHeight="1" x14ac:dyDescent="0.2">
      <c r="AA72" s="387"/>
    </row>
    <row r="73" spans="27:27" ht="13.5" customHeight="1" x14ac:dyDescent="0.2">
      <c r="AA73" s="387"/>
    </row>
    <row r="74" spans="27:27" ht="13.5" customHeight="1" x14ac:dyDescent="0.2">
      <c r="AA74" s="387"/>
    </row>
    <row r="75" spans="27:27" ht="13.5" customHeight="1" x14ac:dyDescent="0.2">
      <c r="AA75" s="387"/>
    </row>
    <row r="76" spans="27:27" ht="13.5" customHeight="1" x14ac:dyDescent="0.2">
      <c r="AA76" s="387"/>
    </row>
    <row r="77" spans="27:27" ht="13.5" customHeight="1" x14ac:dyDescent="0.2">
      <c r="AA77" s="387"/>
    </row>
    <row r="78" spans="27:27" ht="13.5" customHeight="1" x14ac:dyDescent="0.2">
      <c r="AA78" s="387"/>
    </row>
    <row r="79" spans="27:27" ht="13.5" customHeight="1" x14ac:dyDescent="0.2">
      <c r="AA79" s="387"/>
    </row>
    <row r="80" spans="27:27" ht="13.5" customHeight="1" x14ac:dyDescent="0.2">
      <c r="AA80" s="387"/>
    </row>
    <row r="81" spans="1:27" ht="13.5" customHeight="1" x14ac:dyDescent="0.2">
      <c r="AA81" s="387"/>
    </row>
    <row r="82" spans="1:27" ht="13.5" customHeight="1" x14ac:dyDescent="0.2">
      <c r="AA82" s="387"/>
    </row>
    <row r="83" spans="1:27" ht="13.5" customHeight="1" x14ac:dyDescent="0.2">
      <c r="AA83" s="387"/>
    </row>
    <row r="84" spans="1:27" ht="13.5" customHeight="1" x14ac:dyDescent="0.2">
      <c r="AA84" s="387"/>
    </row>
    <row r="85" spans="1:27" ht="13.5" customHeight="1" x14ac:dyDescent="0.2">
      <c r="AA85" s="387"/>
    </row>
    <row r="86" spans="1:27" ht="13.5" customHeight="1" x14ac:dyDescent="0.2">
      <c r="AA86" s="387"/>
    </row>
    <row r="87" spans="1:27" ht="13.5" customHeight="1" x14ac:dyDescent="0.2">
      <c r="AA87" s="387"/>
    </row>
    <row r="88" spans="1:27" ht="13.5" customHeight="1" x14ac:dyDescent="0.2">
      <c r="AA88" s="387"/>
    </row>
    <row r="90" spans="1:27" ht="15.75" x14ac:dyDescent="0.25">
      <c r="A90" s="1383" t="s">
        <v>440</v>
      </c>
      <c r="B90" s="1383"/>
      <c r="C90" s="1383"/>
      <c r="D90" s="1383"/>
      <c r="E90" s="1383"/>
      <c r="F90" s="1383"/>
      <c r="G90" s="1383"/>
      <c r="H90" s="1383"/>
      <c r="I90" s="1383"/>
      <c r="J90" s="1383"/>
      <c r="K90" s="1383"/>
      <c r="L90" s="1383"/>
      <c r="M90" s="1383"/>
      <c r="N90" s="1383"/>
      <c r="O90" s="1383"/>
      <c r="P90" s="663"/>
      <c r="Q90" s="663"/>
      <c r="R90" s="663"/>
      <c r="S90" s="663"/>
      <c r="T90" s="663"/>
      <c r="U90" s="663"/>
      <c r="V90" s="663"/>
      <c r="W90" s="663"/>
      <c r="X90" s="663"/>
      <c r="Y90" s="663"/>
      <c r="Z90" s="663"/>
    </row>
    <row r="94" spans="1:27" ht="13.5" customHeight="1" x14ac:dyDescent="0.2">
      <c r="AA94" s="387"/>
    </row>
    <row r="95" spans="1:27" ht="13.5" customHeight="1" x14ac:dyDescent="0.2">
      <c r="AA95" s="387"/>
    </row>
    <row r="96" spans="1:27" ht="13.5" customHeight="1" x14ac:dyDescent="0.2">
      <c r="AA96" s="387"/>
    </row>
    <row r="97" spans="27:27" ht="13.5" customHeight="1" x14ac:dyDescent="0.2">
      <c r="AA97" s="387"/>
    </row>
    <row r="98" spans="27:27" ht="13.5" customHeight="1" x14ac:dyDescent="0.2">
      <c r="AA98" s="387"/>
    </row>
    <row r="99" spans="27:27" ht="13.5" customHeight="1" x14ac:dyDescent="0.2">
      <c r="AA99" s="387"/>
    </row>
    <row r="100" spans="27:27" ht="13.5" customHeight="1" x14ac:dyDescent="0.2">
      <c r="AA100" s="387"/>
    </row>
    <row r="101" spans="27:27" ht="13.5" customHeight="1" x14ac:dyDescent="0.2">
      <c r="AA101" s="387"/>
    </row>
    <row r="102" spans="27:27" ht="13.5" customHeight="1" x14ac:dyDescent="0.2">
      <c r="AA102" s="387"/>
    </row>
    <row r="103" spans="27:27" ht="13.5" customHeight="1" x14ac:dyDescent="0.2">
      <c r="AA103" s="387"/>
    </row>
    <row r="104" spans="27:27" ht="13.5" customHeight="1" x14ac:dyDescent="0.2">
      <c r="AA104" s="387"/>
    </row>
    <row r="105" spans="27:27" ht="13.5" customHeight="1" x14ac:dyDescent="0.2">
      <c r="AA105" s="387"/>
    </row>
    <row r="106" spans="27:27" ht="13.5" customHeight="1" x14ac:dyDescent="0.2">
      <c r="AA106" s="387"/>
    </row>
    <row r="107" spans="27:27" ht="13.5" customHeight="1" x14ac:dyDescent="0.2">
      <c r="AA107" s="387"/>
    </row>
    <row r="108" spans="27:27" ht="13.5" customHeight="1" x14ac:dyDescent="0.2">
      <c r="AA108" s="387"/>
    </row>
    <row r="109" spans="27:27" ht="13.5" customHeight="1" x14ac:dyDescent="0.2">
      <c r="AA109" s="387"/>
    </row>
    <row r="110" spans="27:27" ht="13.5" customHeight="1" x14ac:dyDescent="0.2">
      <c r="AA110" s="387"/>
    </row>
    <row r="111" spans="27:27" ht="13.5" customHeight="1" x14ac:dyDescent="0.2">
      <c r="AA111" s="387"/>
    </row>
    <row r="112" spans="27:27" ht="13.5" customHeight="1" x14ac:dyDescent="0.2">
      <c r="AA112" s="387"/>
    </row>
    <row r="113" spans="1:27" ht="13.5" customHeight="1" x14ac:dyDescent="0.2">
      <c r="AA113" s="387"/>
    </row>
    <row r="114" spans="1:27" ht="13.5" customHeight="1" x14ac:dyDescent="0.2">
      <c r="AA114" s="387"/>
    </row>
    <row r="115" spans="1:27" ht="13.5" customHeight="1" x14ac:dyDescent="0.2">
      <c r="AA115" s="387"/>
    </row>
    <row r="117" spans="1:27" ht="15.75" x14ac:dyDescent="0.25">
      <c r="A117" s="1383" t="s">
        <v>441</v>
      </c>
      <c r="B117" s="1383"/>
      <c r="C117" s="1383"/>
      <c r="D117" s="1383"/>
      <c r="E117" s="1383"/>
      <c r="F117" s="1383"/>
      <c r="G117" s="1383"/>
      <c r="H117" s="1383"/>
      <c r="I117" s="1383"/>
      <c r="J117" s="1383"/>
      <c r="K117" s="1383"/>
      <c r="L117" s="1383"/>
      <c r="M117" s="1383"/>
      <c r="N117" s="1383"/>
      <c r="O117" s="1383"/>
      <c r="P117" s="663"/>
      <c r="Q117" s="663"/>
      <c r="R117" s="663"/>
      <c r="S117" s="663"/>
      <c r="T117" s="663"/>
      <c r="U117" s="663"/>
      <c r="V117" s="663"/>
      <c r="W117" s="663"/>
      <c r="X117" s="663"/>
      <c r="Y117" s="663"/>
      <c r="Z117" s="663"/>
    </row>
    <row r="121" spans="1:27" ht="13.5" customHeight="1" x14ac:dyDescent="0.2">
      <c r="AA121" s="387"/>
    </row>
    <row r="122" spans="1:27" ht="13.5" customHeight="1" x14ac:dyDescent="0.2">
      <c r="AA122" s="387"/>
    </row>
    <row r="123" spans="1:27" ht="13.5" customHeight="1" x14ac:dyDescent="0.2">
      <c r="AA123" s="387"/>
    </row>
    <row r="124" spans="1:27" ht="13.5" customHeight="1" x14ac:dyDescent="0.2">
      <c r="AA124" s="387"/>
    </row>
    <row r="125" spans="1:27" ht="13.5" customHeight="1" x14ac:dyDescent="0.2">
      <c r="AA125" s="387"/>
    </row>
    <row r="126" spans="1:27" ht="13.5" customHeight="1" x14ac:dyDescent="0.2">
      <c r="AA126" s="387"/>
    </row>
    <row r="127" spans="1:27" ht="13.5" customHeight="1" x14ac:dyDescent="0.2">
      <c r="AA127" s="387"/>
    </row>
    <row r="128" spans="1:27" ht="13.5" customHeight="1" x14ac:dyDescent="0.2">
      <c r="AA128" s="387"/>
    </row>
    <row r="129" spans="1:27" ht="13.5" customHeight="1" x14ac:dyDescent="0.2">
      <c r="AA129" s="387"/>
    </row>
    <row r="130" spans="1:27" ht="13.5" customHeight="1" x14ac:dyDescent="0.2">
      <c r="AA130" s="387"/>
    </row>
    <row r="131" spans="1:27" ht="13.5" customHeight="1" x14ac:dyDescent="0.2">
      <c r="AA131" s="387"/>
    </row>
    <row r="132" spans="1:27" ht="13.5" customHeight="1" x14ac:dyDescent="0.2">
      <c r="AA132" s="387"/>
    </row>
    <row r="133" spans="1:27" ht="13.5" customHeight="1" x14ac:dyDescent="0.2">
      <c r="AA133" s="387"/>
    </row>
    <row r="134" spans="1:27" ht="13.5" customHeight="1" x14ac:dyDescent="0.2">
      <c r="AA134" s="387"/>
    </row>
    <row r="135" spans="1:27" ht="13.5" customHeight="1" x14ac:dyDescent="0.2">
      <c r="AA135" s="387"/>
    </row>
    <row r="136" spans="1:27" ht="13.5" customHeight="1" x14ac:dyDescent="0.2">
      <c r="AA136" s="387"/>
    </row>
    <row r="137" spans="1:27" ht="13.5" customHeight="1" x14ac:dyDescent="0.2">
      <c r="AA137" s="387"/>
    </row>
    <row r="138" spans="1:27" ht="13.5" customHeight="1" x14ac:dyDescent="0.2">
      <c r="AA138" s="387"/>
    </row>
    <row r="139" spans="1:27" ht="13.5" customHeight="1" x14ac:dyDescent="0.2">
      <c r="AA139" s="387"/>
    </row>
    <row r="140" spans="1:27" ht="13.5" customHeight="1" x14ac:dyDescent="0.2">
      <c r="AA140" s="387"/>
    </row>
    <row r="141" spans="1:27" ht="13.5" customHeight="1" x14ac:dyDescent="0.2">
      <c r="AA141" s="387"/>
    </row>
    <row r="142" spans="1:27" ht="13.5" customHeight="1" x14ac:dyDescent="0.2">
      <c r="AA142" s="387"/>
    </row>
    <row r="144" spans="1:27" ht="15.75" x14ac:dyDescent="0.25">
      <c r="A144" s="1383" t="s">
        <v>442</v>
      </c>
      <c r="B144" s="1383"/>
      <c r="C144" s="1383"/>
      <c r="D144" s="1383"/>
      <c r="E144" s="1383"/>
      <c r="F144" s="1383"/>
      <c r="G144" s="1383"/>
      <c r="H144" s="1383"/>
      <c r="I144" s="1383"/>
      <c r="J144" s="1383"/>
      <c r="K144" s="1383"/>
      <c r="L144" s="1383"/>
      <c r="M144" s="1383"/>
      <c r="N144" s="1383"/>
      <c r="O144" s="1383"/>
      <c r="P144" s="663"/>
      <c r="Q144" s="663"/>
      <c r="R144" s="663"/>
      <c r="S144" s="663"/>
      <c r="T144" s="663"/>
      <c r="U144" s="663"/>
      <c r="V144" s="663"/>
      <c r="W144" s="663"/>
      <c r="X144" s="663"/>
      <c r="Y144" s="663"/>
      <c r="Z144" s="663"/>
    </row>
    <row r="148" spans="27:27" ht="13.5" customHeight="1" x14ac:dyDescent="0.2">
      <c r="AA148" s="387"/>
    </row>
    <row r="149" spans="27:27" ht="13.5" customHeight="1" x14ac:dyDescent="0.2">
      <c r="AA149" s="387"/>
    </row>
    <row r="150" spans="27:27" ht="13.5" customHeight="1" x14ac:dyDescent="0.2">
      <c r="AA150" s="387"/>
    </row>
    <row r="151" spans="27:27" ht="13.5" customHeight="1" x14ac:dyDescent="0.2">
      <c r="AA151" s="387"/>
    </row>
    <row r="152" spans="27:27" ht="13.5" customHeight="1" x14ac:dyDescent="0.2">
      <c r="AA152" s="387"/>
    </row>
    <row r="153" spans="27:27" ht="13.5" customHeight="1" x14ac:dyDescent="0.2">
      <c r="AA153" s="387"/>
    </row>
    <row r="154" spans="27:27" ht="13.5" customHeight="1" x14ac:dyDescent="0.2">
      <c r="AA154" s="387"/>
    </row>
    <row r="155" spans="27:27" ht="13.5" customHeight="1" x14ac:dyDescent="0.2">
      <c r="AA155" s="387"/>
    </row>
    <row r="156" spans="27:27" ht="13.5" customHeight="1" x14ac:dyDescent="0.2">
      <c r="AA156" s="387"/>
    </row>
    <row r="157" spans="27:27" ht="13.5" customHeight="1" x14ac:dyDescent="0.2">
      <c r="AA157" s="387"/>
    </row>
    <row r="158" spans="27:27" ht="13.5" customHeight="1" x14ac:dyDescent="0.2">
      <c r="AA158" s="387"/>
    </row>
    <row r="159" spans="27:27" ht="13.5" customHeight="1" x14ac:dyDescent="0.2">
      <c r="AA159" s="387"/>
    </row>
    <row r="160" spans="27:27" ht="13.5" customHeight="1" x14ac:dyDescent="0.2">
      <c r="AA160" s="387"/>
    </row>
    <row r="161" spans="1:27" ht="13.5" customHeight="1" x14ac:dyDescent="0.2">
      <c r="AA161" s="387"/>
    </row>
    <row r="162" spans="1:27" ht="13.5" customHeight="1" x14ac:dyDescent="0.2">
      <c r="AA162" s="387"/>
    </row>
    <row r="163" spans="1:27" ht="13.5" customHeight="1" x14ac:dyDescent="0.2">
      <c r="AA163" s="387"/>
    </row>
    <row r="164" spans="1:27" ht="13.5" customHeight="1" x14ac:dyDescent="0.2">
      <c r="AA164" s="387"/>
    </row>
    <row r="165" spans="1:27" ht="13.5" customHeight="1" x14ac:dyDescent="0.2">
      <c r="AA165" s="387"/>
    </row>
    <row r="166" spans="1:27" ht="13.5" customHeight="1" x14ac:dyDescent="0.2">
      <c r="AA166" s="387"/>
    </row>
    <row r="167" spans="1:27" ht="13.5" customHeight="1" x14ac:dyDescent="0.2">
      <c r="AA167" s="387"/>
    </row>
    <row r="168" spans="1:27" ht="13.5" customHeight="1" x14ac:dyDescent="0.2">
      <c r="AA168" s="387"/>
    </row>
    <row r="169" spans="1:27" ht="13.5" customHeight="1" x14ac:dyDescent="0.2">
      <c r="AA169" s="387"/>
    </row>
    <row r="171" spans="1:27" ht="15.75" x14ac:dyDescent="0.25">
      <c r="A171" s="1383" t="s">
        <v>443</v>
      </c>
      <c r="B171" s="1383"/>
      <c r="C171" s="1383"/>
      <c r="D171" s="1383"/>
      <c r="E171" s="1383"/>
      <c r="F171" s="1383"/>
      <c r="G171" s="1383"/>
      <c r="H171" s="1383"/>
      <c r="I171" s="1383"/>
      <c r="J171" s="1383"/>
      <c r="K171" s="1383"/>
      <c r="L171" s="1383"/>
      <c r="M171" s="1383"/>
      <c r="N171" s="1383"/>
      <c r="O171" s="1383"/>
      <c r="P171" s="663"/>
      <c r="Q171" s="663"/>
      <c r="R171" s="663"/>
      <c r="S171" s="663"/>
      <c r="T171" s="663"/>
      <c r="U171" s="663"/>
      <c r="V171" s="663"/>
      <c r="W171" s="663"/>
      <c r="X171" s="663"/>
      <c r="Y171" s="663"/>
      <c r="Z171" s="663"/>
    </row>
    <row r="175" spans="1:27" ht="13.5" customHeight="1" x14ac:dyDescent="0.2">
      <c r="AA175" s="387"/>
    </row>
    <row r="176" spans="1:27" ht="13.5" customHeight="1" x14ac:dyDescent="0.2">
      <c r="AA176" s="387"/>
    </row>
    <row r="177" spans="27:27" ht="13.5" customHeight="1" x14ac:dyDescent="0.2">
      <c r="AA177" s="387"/>
    </row>
    <row r="178" spans="27:27" ht="13.5" customHeight="1" x14ac:dyDescent="0.2">
      <c r="AA178" s="387"/>
    </row>
    <row r="179" spans="27:27" ht="13.5" customHeight="1" x14ac:dyDescent="0.2">
      <c r="AA179" s="387"/>
    </row>
    <row r="180" spans="27:27" ht="13.5" customHeight="1" x14ac:dyDescent="0.2">
      <c r="AA180" s="387"/>
    </row>
    <row r="181" spans="27:27" ht="13.5" customHeight="1" x14ac:dyDescent="0.2">
      <c r="AA181" s="387"/>
    </row>
    <row r="182" spans="27:27" ht="13.5" customHeight="1" x14ac:dyDescent="0.2">
      <c r="AA182" s="387"/>
    </row>
    <row r="183" spans="27:27" ht="13.5" customHeight="1" x14ac:dyDescent="0.2">
      <c r="AA183" s="387"/>
    </row>
    <row r="184" spans="27:27" ht="13.5" customHeight="1" x14ac:dyDescent="0.2">
      <c r="AA184" s="387"/>
    </row>
    <row r="185" spans="27:27" ht="13.5" customHeight="1" x14ac:dyDescent="0.2">
      <c r="AA185" s="387"/>
    </row>
    <row r="186" spans="27:27" ht="13.5" customHeight="1" x14ac:dyDescent="0.2">
      <c r="AA186" s="387"/>
    </row>
    <row r="187" spans="27:27" ht="13.5" customHeight="1" x14ac:dyDescent="0.2">
      <c r="AA187" s="387"/>
    </row>
    <row r="188" spans="27:27" ht="13.5" customHeight="1" x14ac:dyDescent="0.2">
      <c r="AA188" s="387"/>
    </row>
    <row r="189" spans="27:27" ht="13.5" customHeight="1" x14ac:dyDescent="0.2">
      <c r="AA189" s="387"/>
    </row>
    <row r="190" spans="27:27" ht="13.5" customHeight="1" x14ac:dyDescent="0.2">
      <c r="AA190" s="387"/>
    </row>
    <row r="191" spans="27:27" ht="13.5" customHeight="1" x14ac:dyDescent="0.2">
      <c r="AA191" s="387"/>
    </row>
    <row r="192" spans="27:27" ht="13.5" customHeight="1" x14ac:dyDescent="0.2">
      <c r="AA192" s="387"/>
    </row>
    <row r="193" spans="1:27" ht="13.5" customHeight="1" x14ac:dyDescent="0.2">
      <c r="AA193" s="387"/>
    </row>
    <row r="194" spans="1:27" ht="13.5" customHeight="1" x14ac:dyDescent="0.2">
      <c r="AA194" s="387"/>
    </row>
    <row r="195" spans="1:27" ht="13.5" customHeight="1" x14ac:dyDescent="0.2">
      <c r="AA195" s="387"/>
    </row>
    <row r="196" spans="1:27" ht="13.5" customHeight="1" x14ac:dyDescent="0.2">
      <c r="AA196" s="387"/>
    </row>
    <row r="199" spans="1:27" s="141" customFormat="1" x14ac:dyDescent="0.2">
      <c r="A199" s="216"/>
      <c r="B199" s="216"/>
      <c r="C199" s="216"/>
      <c r="D199" s="216"/>
      <c r="E199" s="216"/>
      <c r="F199" s="216"/>
      <c r="G199" s="216"/>
      <c r="H199" s="216"/>
      <c r="I199" s="216"/>
      <c r="J199" s="216"/>
    </row>
  </sheetData>
  <sheetProtection password="DCF0" sheet="1" objects="1" scenarios="1"/>
  <mergeCells count="13">
    <mergeCell ref="A144:O144"/>
    <mergeCell ref="A171:O171"/>
    <mergeCell ref="A9:O9"/>
    <mergeCell ref="A1:O1"/>
    <mergeCell ref="A2:O2"/>
    <mergeCell ref="A3:O3"/>
    <mergeCell ref="A4:O4"/>
    <mergeCell ref="A5:O5"/>
    <mergeCell ref="A6:O7"/>
    <mergeCell ref="A36:O36"/>
    <mergeCell ref="A63:O63"/>
    <mergeCell ref="A90:O90"/>
    <mergeCell ref="A117:O117"/>
  </mergeCells>
  <pageMargins left="0.78740157480314998" right="0.74803149606299202" top="0.39370078740157499" bottom="0.47244094488189003" header="0.31496062992126" footer="0.196850393700787"/>
  <pageSetup paperSize="5" scale="70" fitToHeight="3" orientation="landscape" r:id="rId1"/>
  <headerFooter>
    <oddFooter>&amp;L&amp;F  
Tab: FGT&amp;A&amp;CPrinted: &amp;D &amp;T&amp;RPage &amp;P of &amp;N</oddFooter>
  </headerFooter>
  <rowBreaks count="3" manualBreakCount="3">
    <brk id="35" max="14" man="1"/>
    <brk id="89" max="14" man="1"/>
    <brk id="143" max="14"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AX30"/>
  <sheetViews>
    <sheetView zoomScaleNormal="100" workbookViewId="0">
      <pane xSplit="1" ySplit="5" topLeftCell="B6" activePane="bottomRight" state="frozen"/>
      <selection pane="topRight" activeCell="B1" sqref="B1"/>
      <selection pane="bottomLeft" activeCell="A6" sqref="A6"/>
      <selection pane="bottomRight" activeCell="E4" sqref="E4"/>
    </sheetView>
  </sheetViews>
  <sheetFormatPr defaultColWidth="9.140625" defaultRowHeight="12.75" x14ac:dyDescent="0.2"/>
  <cols>
    <col min="1" max="1" width="27.7109375" style="34" customWidth="1"/>
    <col min="2" max="3" width="9.140625" style="34"/>
    <col min="4" max="4" width="8.140625" style="34" customWidth="1"/>
    <col min="5" max="6" width="9.140625" style="34"/>
    <col min="7" max="7" width="9" style="34" customWidth="1"/>
    <col min="8" max="10" width="9.140625" style="34"/>
    <col min="11" max="11" width="8.28515625" style="34" customWidth="1"/>
    <col min="12" max="17" width="9.140625" style="34"/>
    <col min="18" max="18" width="13.42578125" style="34" customWidth="1"/>
    <col min="19" max="24" width="9.140625" style="34"/>
    <col min="25" max="25" width="15.7109375" style="34" customWidth="1"/>
    <col min="26" max="31" width="9.140625" style="34"/>
    <col min="32" max="32" width="14.28515625" style="34" customWidth="1"/>
    <col min="33" max="38" width="9.140625" style="34"/>
    <col min="39" max="39" width="15.7109375" style="34" customWidth="1"/>
    <col min="40" max="45" width="9.140625" style="34"/>
    <col min="46" max="46" width="15.28515625" style="34" customWidth="1"/>
    <col min="47" max="49" width="9.140625" style="34"/>
    <col min="50" max="50" width="9.85546875" style="34" customWidth="1"/>
    <col min="51" max="16384" width="9.140625" style="34"/>
  </cols>
  <sheetData>
    <row r="1" spans="1:50" x14ac:dyDescent="0.2">
      <c r="A1" s="1274" t="str">
        <f>Instructions!C2</f>
        <v>Funding Template Version of 1Apr13</v>
      </c>
      <c r="B1" s="1274"/>
      <c r="C1" s="1274"/>
      <c r="D1" s="1274"/>
      <c r="E1" s="1274"/>
      <c r="F1" s="1274"/>
      <c r="G1" s="1274"/>
      <c r="H1" s="1274"/>
      <c r="I1" s="1274"/>
      <c r="J1" s="1274"/>
      <c r="K1" s="1274"/>
      <c r="L1" s="1274"/>
      <c r="M1" s="1274"/>
      <c r="N1" s="1274"/>
      <c r="O1" s="1274"/>
      <c r="P1" s="1274"/>
      <c r="Q1" s="1274"/>
      <c r="R1" s="1274"/>
      <c r="S1" s="1274"/>
      <c r="T1" s="1274"/>
      <c r="U1" s="1274"/>
      <c r="V1" s="1274"/>
      <c r="W1" s="246"/>
      <c r="X1" s="246"/>
      <c r="Y1" s="246"/>
      <c r="Z1" s="246"/>
      <c r="AA1" s="246"/>
      <c r="AB1" s="246"/>
      <c r="AC1" s="246"/>
      <c r="AD1" s="246"/>
    </row>
    <row r="2" spans="1:50" ht="20.25" x14ac:dyDescent="0.3">
      <c r="A2" s="1275" t="str">
        <f>Instructions!C3</f>
        <v>Funding Template - Union</v>
      </c>
      <c r="B2" s="1275"/>
      <c r="C2" s="1275"/>
      <c r="D2" s="1275"/>
      <c r="E2" s="1275"/>
      <c r="F2" s="1275"/>
      <c r="G2" s="1275"/>
      <c r="H2" s="1275"/>
      <c r="I2" s="1275"/>
      <c r="J2" s="1275"/>
      <c r="K2" s="1275"/>
      <c r="L2" s="1275"/>
      <c r="M2" s="1275"/>
      <c r="N2" s="1275"/>
      <c r="O2" s="1275"/>
      <c r="P2" s="1275"/>
      <c r="Q2" s="1275"/>
      <c r="R2" s="1275"/>
      <c r="S2" s="1275"/>
      <c r="T2" s="1275"/>
      <c r="U2" s="1275"/>
      <c r="V2" s="1275"/>
      <c r="W2" s="215"/>
      <c r="X2" s="215"/>
      <c r="Y2" s="215"/>
      <c r="Z2" s="215"/>
      <c r="AA2" s="215"/>
      <c r="AB2" s="215"/>
      <c r="AC2" s="215"/>
      <c r="AD2" s="215"/>
    </row>
    <row r="3" spans="1:50" ht="16.5" x14ac:dyDescent="0.25">
      <c r="A3" s="1388" t="s">
        <v>504</v>
      </c>
      <c r="B3" s="1388"/>
      <c r="C3" s="1388"/>
      <c r="D3" s="1388"/>
      <c r="E3" s="1388"/>
      <c r="F3" s="1388"/>
      <c r="G3" s="1388"/>
      <c r="H3" s="1388"/>
      <c r="I3" s="1388"/>
      <c r="J3" s="1388"/>
      <c r="K3" s="1388"/>
      <c r="L3" s="1388"/>
      <c r="M3" s="1388"/>
      <c r="N3" s="1388"/>
      <c r="O3" s="1388"/>
      <c r="P3" s="1388"/>
      <c r="Q3" s="1388"/>
      <c r="R3" s="1388"/>
      <c r="S3" s="1388"/>
      <c r="T3" s="1388"/>
      <c r="U3" s="1388"/>
      <c r="V3" s="1388"/>
      <c r="W3" s="37"/>
      <c r="X3" s="37"/>
      <c r="Y3" s="37"/>
      <c r="Z3" s="37"/>
      <c r="AA3" s="37"/>
      <c r="AB3" s="37"/>
      <c r="AC3" s="37"/>
      <c r="AD3" s="37"/>
    </row>
    <row r="6" spans="1:50" s="674" customFormat="1" x14ac:dyDescent="0.2">
      <c r="A6" s="673"/>
      <c r="B6" s="1385" t="s">
        <v>437</v>
      </c>
      <c r="C6" s="1386"/>
      <c r="D6" s="1386"/>
      <c r="E6" s="1386"/>
      <c r="F6" s="1386"/>
      <c r="G6" s="1386"/>
      <c r="H6" s="1387"/>
      <c r="I6" s="1385" t="s">
        <v>438</v>
      </c>
      <c r="J6" s="1386"/>
      <c r="K6" s="1386"/>
      <c r="L6" s="1386"/>
      <c r="M6" s="1386"/>
      <c r="N6" s="1386"/>
      <c r="O6" s="1387"/>
      <c r="P6" s="1385" t="s">
        <v>439</v>
      </c>
      <c r="Q6" s="1386"/>
      <c r="R6" s="1386"/>
      <c r="S6" s="1386"/>
      <c r="T6" s="1386"/>
      <c r="U6" s="1386"/>
      <c r="V6" s="1387"/>
      <c r="W6" s="1385" t="s">
        <v>440</v>
      </c>
      <c r="X6" s="1386"/>
      <c r="Y6" s="1386"/>
      <c r="Z6" s="1386"/>
      <c r="AA6" s="1386"/>
      <c r="AB6" s="1386"/>
      <c r="AC6" s="1387"/>
      <c r="AD6" s="1385" t="s">
        <v>441</v>
      </c>
      <c r="AE6" s="1386"/>
      <c r="AF6" s="1386"/>
      <c r="AG6" s="1386"/>
      <c r="AH6" s="1386"/>
      <c r="AI6" s="1386"/>
      <c r="AJ6" s="1387"/>
      <c r="AK6" s="1385" t="s">
        <v>442</v>
      </c>
      <c r="AL6" s="1386"/>
      <c r="AM6" s="1386"/>
      <c r="AN6" s="1386"/>
      <c r="AO6" s="1386"/>
      <c r="AP6" s="1386"/>
      <c r="AQ6" s="1387"/>
      <c r="AR6" s="1385" t="s">
        <v>443</v>
      </c>
      <c r="AS6" s="1386"/>
      <c r="AT6" s="1386"/>
      <c r="AU6" s="1386"/>
      <c r="AV6" s="1386"/>
      <c r="AW6" s="1386"/>
      <c r="AX6" s="1387"/>
    </row>
    <row r="7" spans="1:50" s="674" customFormat="1" x14ac:dyDescent="0.2">
      <c r="A7" s="675"/>
      <c r="B7" s="676"/>
      <c r="C7" s="677"/>
      <c r="D7" s="677"/>
      <c r="E7" s="678">
        <v>1</v>
      </c>
      <c r="F7" s="678">
        <v>0</v>
      </c>
      <c r="G7" s="678"/>
      <c r="H7" s="677"/>
      <c r="I7" s="676"/>
      <c r="J7" s="677"/>
      <c r="K7" s="677"/>
      <c r="L7" s="678">
        <v>1</v>
      </c>
      <c r="M7" s="678">
        <v>0</v>
      </c>
      <c r="N7" s="678"/>
      <c r="O7" s="677"/>
      <c r="P7" s="676"/>
      <c r="Q7" s="677"/>
      <c r="R7" s="677"/>
      <c r="S7" s="678">
        <v>1</v>
      </c>
      <c r="T7" s="678">
        <v>0</v>
      </c>
      <c r="U7" s="678"/>
      <c r="V7" s="679"/>
      <c r="W7" s="676"/>
      <c r="X7" s="677"/>
      <c r="Y7" s="677"/>
      <c r="Z7" s="678">
        <v>1</v>
      </c>
      <c r="AA7" s="678">
        <v>0</v>
      </c>
      <c r="AB7" s="678"/>
      <c r="AC7" s="677"/>
      <c r="AD7" s="676"/>
      <c r="AE7" s="677"/>
      <c r="AF7" s="677"/>
      <c r="AG7" s="678">
        <v>1</v>
      </c>
      <c r="AH7" s="678">
        <v>0</v>
      </c>
      <c r="AI7" s="678"/>
      <c r="AJ7" s="679"/>
      <c r="AK7" s="676"/>
      <c r="AL7" s="677"/>
      <c r="AM7" s="677"/>
      <c r="AN7" s="678">
        <v>1</v>
      </c>
      <c r="AO7" s="678">
        <v>0</v>
      </c>
      <c r="AP7" s="678"/>
      <c r="AQ7" s="677"/>
      <c r="AR7" s="676"/>
      <c r="AS7" s="677"/>
      <c r="AT7" s="677"/>
      <c r="AU7" s="678">
        <v>1</v>
      </c>
      <c r="AV7" s="678">
        <v>0</v>
      </c>
      <c r="AW7" s="678"/>
      <c r="AX7" s="679"/>
    </row>
    <row r="8" spans="1:50" s="674" customFormat="1" ht="43.5" customHeight="1" x14ac:dyDescent="0.2">
      <c r="A8" s="680" t="s">
        <v>35</v>
      </c>
      <c r="B8" s="681" t="s">
        <v>506</v>
      </c>
      <c r="C8" s="682" t="s">
        <v>507</v>
      </c>
      <c r="D8" s="683" t="s">
        <v>505</v>
      </c>
      <c r="E8" s="684" t="s">
        <v>500</v>
      </c>
      <c r="F8" s="684" t="s">
        <v>501</v>
      </c>
      <c r="G8" s="684" t="s">
        <v>503</v>
      </c>
      <c r="H8" s="684" t="s">
        <v>502</v>
      </c>
      <c r="I8" s="681" t="s">
        <v>506</v>
      </c>
      <c r="J8" s="682" t="s">
        <v>507</v>
      </c>
      <c r="K8" s="683" t="s">
        <v>505</v>
      </c>
      <c r="L8" s="684" t="s">
        <v>500</v>
      </c>
      <c r="M8" s="684" t="s">
        <v>501</v>
      </c>
      <c r="N8" s="684" t="s">
        <v>503</v>
      </c>
      <c r="O8" s="684" t="s">
        <v>502</v>
      </c>
      <c r="P8" s="681" t="s">
        <v>506</v>
      </c>
      <c r="Q8" s="682" t="s">
        <v>507</v>
      </c>
      <c r="R8" s="683" t="s">
        <v>505</v>
      </c>
      <c r="S8" s="684" t="s">
        <v>500</v>
      </c>
      <c r="T8" s="684" t="s">
        <v>501</v>
      </c>
      <c r="U8" s="684" t="s">
        <v>503</v>
      </c>
      <c r="V8" s="685" t="s">
        <v>502</v>
      </c>
      <c r="W8" s="681" t="s">
        <v>435</v>
      </c>
      <c r="X8" s="682" t="s">
        <v>436</v>
      </c>
      <c r="Y8" s="683" t="s">
        <v>505</v>
      </c>
      <c r="Z8" s="684" t="s">
        <v>500</v>
      </c>
      <c r="AA8" s="684" t="s">
        <v>501</v>
      </c>
      <c r="AB8" s="684" t="s">
        <v>503</v>
      </c>
      <c r="AC8" s="684" t="s">
        <v>502</v>
      </c>
      <c r="AD8" s="681" t="s">
        <v>506</v>
      </c>
      <c r="AE8" s="682" t="s">
        <v>507</v>
      </c>
      <c r="AF8" s="683" t="s">
        <v>505</v>
      </c>
      <c r="AG8" s="684" t="s">
        <v>500</v>
      </c>
      <c r="AH8" s="684" t="s">
        <v>501</v>
      </c>
      <c r="AI8" s="684" t="s">
        <v>503</v>
      </c>
      <c r="AJ8" s="685" t="s">
        <v>502</v>
      </c>
      <c r="AK8" s="681" t="s">
        <v>506</v>
      </c>
      <c r="AL8" s="682" t="s">
        <v>507</v>
      </c>
      <c r="AM8" s="683" t="s">
        <v>505</v>
      </c>
      <c r="AN8" s="684" t="s">
        <v>500</v>
      </c>
      <c r="AO8" s="684" t="s">
        <v>501</v>
      </c>
      <c r="AP8" s="684" t="s">
        <v>503</v>
      </c>
      <c r="AQ8" s="684" t="s">
        <v>502</v>
      </c>
      <c r="AR8" s="681" t="s">
        <v>506</v>
      </c>
      <c r="AS8" s="682" t="s">
        <v>507</v>
      </c>
      <c r="AT8" s="683" t="s">
        <v>505</v>
      </c>
      <c r="AU8" s="684" t="s">
        <v>500</v>
      </c>
      <c r="AV8" s="684" t="s">
        <v>501</v>
      </c>
      <c r="AW8" s="684" t="s">
        <v>503</v>
      </c>
      <c r="AX8" s="685" t="s">
        <v>502</v>
      </c>
    </row>
    <row r="9" spans="1:50" s="692" customFormat="1" ht="12" x14ac:dyDescent="0.2">
      <c r="A9" s="686" t="str">
        <f>Page2A!A10&amp;". "&amp;Page2A!B10</f>
        <v xml:space="preserve">1. </v>
      </c>
      <c r="B9" s="687">
        <f>Page2A!E10</f>
        <v>0</v>
      </c>
      <c r="C9" s="688">
        <f>Page2A!F10</f>
        <v>0</v>
      </c>
      <c r="D9" s="689">
        <f>B9-H9</f>
        <v>0</v>
      </c>
      <c r="E9" s="689">
        <f t="shared" ref="E9:E30" si="0">IF(C9-B9&lt;0,E$7-B9,C9-B9)</f>
        <v>0</v>
      </c>
      <c r="F9" s="689">
        <f t="shared" ref="F9:F30" si="1">IF(C9-B9&lt;0,C9-F$7,0)</f>
        <v>0</v>
      </c>
      <c r="G9" s="690">
        <v>0</v>
      </c>
      <c r="H9" s="689">
        <f t="shared" ref="H9:H30" si="2">AV9</f>
        <v>0</v>
      </c>
      <c r="I9" s="687">
        <f>Page2A!G10</f>
        <v>0</v>
      </c>
      <c r="J9" s="688">
        <f>Page2A!H10</f>
        <v>0</v>
      </c>
      <c r="K9" s="689">
        <f>I9-O9</f>
        <v>0</v>
      </c>
      <c r="L9" s="689">
        <f t="shared" ref="L9:L30" si="3">IF(J9-I9&lt;0,L$7-I9,J9-I9)</f>
        <v>0</v>
      </c>
      <c r="M9" s="689">
        <f t="shared" ref="M9:M30" si="4">IF(J9-I9&lt;0,J9-M$7,0)</f>
        <v>0</v>
      </c>
      <c r="N9" s="690">
        <v>0</v>
      </c>
      <c r="O9" s="689">
        <f t="shared" ref="O9:O30" si="5">F9</f>
        <v>0</v>
      </c>
      <c r="P9" s="687">
        <f>Page2A!I10</f>
        <v>0</v>
      </c>
      <c r="Q9" s="688">
        <f>Page2A!J10</f>
        <v>0</v>
      </c>
      <c r="R9" s="689">
        <f>P9-V9</f>
        <v>0</v>
      </c>
      <c r="S9" s="689">
        <f t="shared" ref="S9:S30" si="6">IF(Q9-P9&lt;0,S$7-P9,Q9-P9)</f>
        <v>0</v>
      </c>
      <c r="T9" s="689">
        <f t="shared" ref="T9:T30" si="7">IF(Q9-P9&lt;0,Q9-T$7,0)</f>
        <v>0</v>
      </c>
      <c r="U9" s="690">
        <v>0</v>
      </c>
      <c r="V9" s="691">
        <f t="shared" ref="V9:V30" si="8">M9</f>
        <v>0</v>
      </c>
      <c r="W9" s="687">
        <f>Page2A!K10</f>
        <v>0</v>
      </c>
      <c r="X9" s="688">
        <f>Page2A!L10</f>
        <v>0</v>
      </c>
      <c r="Y9" s="689">
        <f>W9-AC9</f>
        <v>0</v>
      </c>
      <c r="Z9" s="689">
        <f t="shared" ref="Z9:Z30" si="9">IF(X9-W9&lt;0,Z$7-W9,X9-W9)</f>
        <v>0</v>
      </c>
      <c r="AA9" s="689">
        <f t="shared" ref="AA9:AA30" si="10">IF(X9-W9&lt;0,X9-AA$7,0)</f>
        <v>0</v>
      </c>
      <c r="AB9" s="690">
        <v>0</v>
      </c>
      <c r="AC9" s="689">
        <f t="shared" ref="AC9:AC30" si="11">T9</f>
        <v>0</v>
      </c>
      <c r="AD9" s="687">
        <f>Page2A!M10</f>
        <v>0</v>
      </c>
      <c r="AE9" s="688">
        <f>Page2A!N10</f>
        <v>0</v>
      </c>
      <c r="AF9" s="689">
        <f>AD9-AJ9</f>
        <v>0</v>
      </c>
      <c r="AG9" s="689">
        <f t="shared" ref="AG9:AG30" si="12">IF(AE9-AD9&lt;0,AG$7-AD9,AE9-AD9)</f>
        <v>0</v>
      </c>
      <c r="AH9" s="689">
        <f t="shared" ref="AH9:AH30" si="13">IF(AE9-AD9&lt;0,AE9-AH$7,0)</f>
        <v>0</v>
      </c>
      <c r="AI9" s="690">
        <v>0</v>
      </c>
      <c r="AJ9" s="691">
        <f t="shared" ref="AJ9:AJ30" si="14">AA9</f>
        <v>0</v>
      </c>
      <c r="AK9" s="687">
        <f>Page2A!O10</f>
        <v>0</v>
      </c>
      <c r="AL9" s="688">
        <f>Page2A!P10</f>
        <v>0</v>
      </c>
      <c r="AM9" s="689">
        <f>AK9-AQ9</f>
        <v>0</v>
      </c>
      <c r="AN9" s="689">
        <f t="shared" ref="AN9:AN30" si="15">IF(AL9-AK9&lt;0,AN$7-AK9,AL9-AK9)</f>
        <v>0</v>
      </c>
      <c r="AO9" s="689">
        <f t="shared" ref="AO9:AO30" si="16">IF(AL9-AK9&lt;0,AL9-AO$7,0)</f>
        <v>0</v>
      </c>
      <c r="AP9" s="690">
        <v>0</v>
      </c>
      <c r="AQ9" s="689">
        <f t="shared" ref="AQ9:AQ30" si="17">AH9</f>
        <v>0</v>
      </c>
      <c r="AR9" s="687">
        <f>Page2A!Q10</f>
        <v>0</v>
      </c>
      <c r="AS9" s="688">
        <f>Page2A!R10</f>
        <v>0</v>
      </c>
      <c r="AT9" s="689">
        <f>AR9-AX9</f>
        <v>0</v>
      </c>
      <c r="AU9" s="689">
        <f t="shared" ref="AU9:AU30" si="18">IF(AS9-AR9&lt;0,AU$7-AR9,AS9-AR9)</f>
        <v>0</v>
      </c>
      <c r="AV9" s="689">
        <f t="shared" ref="AV9:AV30" si="19">IF(AS9-AR9&lt;0,AS9-AV$7,0)</f>
        <v>0</v>
      </c>
      <c r="AW9" s="690">
        <v>0</v>
      </c>
      <c r="AX9" s="691">
        <f t="shared" ref="AX9:AX30" si="20">AO9</f>
        <v>0</v>
      </c>
    </row>
    <row r="10" spans="1:50" s="692" customFormat="1" ht="12" x14ac:dyDescent="0.2">
      <c r="A10" s="693" t="str">
        <f>Page2A!A12&amp;". "&amp;Page2A!B12</f>
        <v xml:space="preserve">2. </v>
      </c>
      <c r="B10" s="694">
        <f>Page2A!E12</f>
        <v>0</v>
      </c>
      <c r="C10" s="678">
        <f>Page2A!F12</f>
        <v>0</v>
      </c>
      <c r="D10" s="689">
        <f t="shared" ref="D10:D30" si="21">B10-H10</f>
        <v>0</v>
      </c>
      <c r="E10" s="689">
        <f t="shared" si="0"/>
        <v>0</v>
      </c>
      <c r="F10" s="689">
        <f t="shared" si="1"/>
        <v>0</v>
      </c>
      <c r="G10" s="690">
        <v>0</v>
      </c>
      <c r="H10" s="689">
        <f t="shared" si="2"/>
        <v>0</v>
      </c>
      <c r="I10" s="694">
        <f>Page2A!G12</f>
        <v>0</v>
      </c>
      <c r="J10" s="678">
        <f>Page2A!H12</f>
        <v>0</v>
      </c>
      <c r="K10" s="689">
        <f t="shared" ref="K10:K30" si="22">I10-O10</f>
        <v>0</v>
      </c>
      <c r="L10" s="689">
        <f t="shared" si="3"/>
        <v>0</v>
      </c>
      <c r="M10" s="689">
        <f t="shared" si="4"/>
        <v>0</v>
      </c>
      <c r="N10" s="690">
        <v>0</v>
      </c>
      <c r="O10" s="689">
        <f t="shared" si="5"/>
        <v>0</v>
      </c>
      <c r="P10" s="694">
        <f>Page2A!I12</f>
        <v>0</v>
      </c>
      <c r="Q10" s="678">
        <f>Page2A!J12</f>
        <v>0</v>
      </c>
      <c r="R10" s="689">
        <f t="shared" ref="R10:R30" si="23">P10-V10</f>
        <v>0</v>
      </c>
      <c r="S10" s="689">
        <f t="shared" si="6"/>
        <v>0</v>
      </c>
      <c r="T10" s="689">
        <f t="shared" si="7"/>
        <v>0</v>
      </c>
      <c r="U10" s="690">
        <v>0</v>
      </c>
      <c r="V10" s="691">
        <f t="shared" si="8"/>
        <v>0</v>
      </c>
      <c r="W10" s="694">
        <f>Page2A!K12</f>
        <v>0</v>
      </c>
      <c r="X10" s="678">
        <f>Page2A!L12</f>
        <v>0</v>
      </c>
      <c r="Y10" s="689">
        <f t="shared" ref="Y10:Y30" si="24">W10-AC10</f>
        <v>0</v>
      </c>
      <c r="Z10" s="689">
        <f t="shared" si="9"/>
        <v>0</v>
      </c>
      <c r="AA10" s="689">
        <f t="shared" si="10"/>
        <v>0</v>
      </c>
      <c r="AB10" s="690">
        <v>0</v>
      </c>
      <c r="AC10" s="689">
        <f t="shared" si="11"/>
        <v>0</v>
      </c>
      <c r="AD10" s="694">
        <f>Page2A!M12</f>
        <v>0</v>
      </c>
      <c r="AE10" s="678">
        <f>Page2A!N12</f>
        <v>0</v>
      </c>
      <c r="AF10" s="689">
        <f t="shared" ref="AF10:AF30" si="25">AD10-AJ10</f>
        <v>0</v>
      </c>
      <c r="AG10" s="689">
        <f t="shared" si="12"/>
        <v>0</v>
      </c>
      <c r="AH10" s="689">
        <f t="shared" si="13"/>
        <v>0</v>
      </c>
      <c r="AI10" s="690">
        <v>0</v>
      </c>
      <c r="AJ10" s="691">
        <f t="shared" si="14"/>
        <v>0</v>
      </c>
      <c r="AK10" s="694">
        <f>Page2A!O12</f>
        <v>0</v>
      </c>
      <c r="AL10" s="678">
        <f>Page2A!P12</f>
        <v>0</v>
      </c>
      <c r="AM10" s="689">
        <f t="shared" ref="AM10:AM30" si="26">AK10-AQ10</f>
        <v>0</v>
      </c>
      <c r="AN10" s="689">
        <f t="shared" si="15"/>
        <v>0</v>
      </c>
      <c r="AO10" s="689">
        <f t="shared" si="16"/>
        <v>0</v>
      </c>
      <c r="AP10" s="690">
        <v>0</v>
      </c>
      <c r="AQ10" s="689">
        <f t="shared" si="17"/>
        <v>0</v>
      </c>
      <c r="AR10" s="694">
        <f>Page2A!Q12</f>
        <v>0</v>
      </c>
      <c r="AS10" s="678">
        <f>Page2A!R12</f>
        <v>0</v>
      </c>
      <c r="AT10" s="689">
        <f t="shared" ref="AT10:AT30" si="27">AR10-AX10</f>
        <v>0</v>
      </c>
      <c r="AU10" s="689">
        <f t="shared" si="18"/>
        <v>0</v>
      </c>
      <c r="AV10" s="689">
        <f t="shared" si="19"/>
        <v>0</v>
      </c>
      <c r="AW10" s="690">
        <v>0</v>
      </c>
      <c r="AX10" s="691">
        <f t="shared" si="20"/>
        <v>0</v>
      </c>
    </row>
    <row r="11" spans="1:50" s="692" customFormat="1" ht="12" x14ac:dyDescent="0.2">
      <c r="A11" s="693" t="str">
        <f>Page2A!A14&amp;". "&amp;Page2A!B14</f>
        <v xml:space="preserve">3. </v>
      </c>
      <c r="B11" s="694">
        <f>Page2A!E14</f>
        <v>0</v>
      </c>
      <c r="C11" s="678">
        <f>Page2A!F14</f>
        <v>0</v>
      </c>
      <c r="D11" s="689">
        <f t="shared" si="21"/>
        <v>0</v>
      </c>
      <c r="E11" s="689">
        <f t="shared" si="0"/>
        <v>0</v>
      </c>
      <c r="F11" s="689">
        <f t="shared" si="1"/>
        <v>0</v>
      </c>
      <c r="G11" s="690">
        <v>0</v>
      </c>
      <c r="H11" s="689">
        <f t="shared" si="2"/>
        <v>0</v>
      </c>
      <c r="I11" s="694">
        <f>Page2A!G14</f>
        <v>0</v>
      </c>
      <c r="J11" s="678">
        <f>Page2A!H14</f>
        <v>0</v>
      </c>
      <c r="K11" s="689">
        <f t="shared" si="22"/>
        <v>0</v>
      </c>
      <c r="L11" s="689">
        <f t="shared" si="3"/>
        <v>0</v>
      </c>
      <c r="M11" s="689">
        <f t="shared" si="4"/>
        <v>0</v>
      </c>
      <c r="N11" s="690">
        <v>0</v>
      </c>
      <c r="O11" s="689">
        <f t="shared" si="5"/>
        <v>0</v>
      </c>
      <c r="P11" s="694">
        <f>Page2A!I14</f>
        <v>0</v>
      </c>
      <c r="Q11" s="678">
        <f>Page2A!J14</f>
        <v>0</v>
      </c>
      <c r="R11" s="689">
        <f t="shared" si="23"/>
        <v>0</v>
      </c>
      <c r="S11" s="689">
        <f t="shared" si="6"/>
        <v>0</v>
      </c>
      <c r="T11" s="689">
        <f t="shared" si="7"/>
        <v>0</v>
      </c>
      <c r="U11" s="690">
        <v>0</v>
      </c>
      <c r="V11" s="691">
        <f t="shared" si="8"/>
        <v>0</v>
      </c>
      <c r="W11" s="694">
        <f>Page2A!K14</f>
        <v>0</v>
      </c>
      <c r="X11" s="678">
        <f>Page2A!L14</f>
        <v>0</v>
      </c>
      <c r="Y11" s="689">
        <f t="shared" si="24"/>
        <v>0</v>
      </c>
      <c r="Z11" s="689">
        <f t="shared" si="9"/>
        <v>0</v>
      </c>
      <c r="AA11" s="689">
        <f t="shared" si="10"/>
        <v>0</v>
      </c>
      <c r="AB11" s="690">
        <v>0</v>
      </c>
      <c r="AC11" s="689">
        <f t="shared" si="11"/>
        <v>0</v>
      </c>
      <c r="AD11" s="694">
        <f>Page2A!M14</f>
        <v>0</v>
      </c>
      <c r="AE11" s="678">
        <f>Page2A!N14</f>
        <v>0</v>
      </c>
      <c r="AF11" s="689">
        <f t="shared" si="25"/>
        <v>0</v>
      </c>
      <c r="AG11" s="689">
        <f t="shared" si="12"/>
        <v>0</v>
      </c>
      <c r="AH11" s="689">
        <f t="shared" si="13"/>
        <v>0</v>
      </c>
      <c r="AI11" s="690">
        <v>0</v>
      </c>
      <c r="AJ11" s="691">
        <f t="shared" si="14"/>
        <v>0</v>
      </c>
      <c r="AK11" s="694">
        <f>Page2A!O14</f>
        <v>0</v>
      </c>
      <c r="AL11" s="678">
        <f>Page2A!P14</f>
        <v>0</v>
      </c>
      <c r="AM11" s="689">
        <f t="shared" si="26"/>
        <v>0</v>
      </c>
      <c r="AN11" s="689">
        <f t="shared" si="15"/>
        <v>0</v>
      </c>
      <c r="AO11" s="689">
        <f t="shared" si="16"/>
        <v>0</v>
      </c>
      <c r="AP11" s="690">
        <v>0</v>
      </c>
      <c r="AQ11" s="689">
        <f t="shared" si="17"/>
        <v>0</v>
      </c>
      <c r="AR11" s="694">
        <f>Page2A!Q14</f>
        <v>0</v>
      </c>
      <c r="AS11" s="678">
        <f>Page2A!R14</f>
        <v>0</v>
      </c>
      <c r="AT11" s="689">
        <f t="shared" si="27"/>
        <v>0</v>
      </c>
      <c r="AU11" s="689">
        <f t="shared" si="18"/>
        <v>0</v>
      </c>
      <c r="AV11" s="689">
        <f t="shared" si="19"/>
        <v>0</v>
      </c>
      <c r="AW11" s="690">
        <v>0</v>
      </c>
      <c r="AX11" s="691">
        <f t="shared" si="20"/>
        <v>0</v>
      </c>
    </row>
    <row r="12" spans="1:50" s="692" customFormat="1" ht="12" x14ac:dyDescent="0.2">
      <c r="A12" s="693" t="str">
        <f>Page2A!A16&amp;". "&amp;Page2A!B16</f>
        <v xml:space="preserve">4. </v>
      </c>
      <c r="B12" s="694">
        <f>Page2A!E16</f>
        <v>0</v>
      </c>
      <c r="C12" s="678">
        <f>Page2A!F16</f>
        <v>0</v>
      </c>
      <c r="D12" s="689">
        <f t="shared" si="21"/>
        <v>0</v>
      </c>
      <c r="E12" s="689">
        <f t="shared" si="0"/>
        <v>0</v>
      </c>
      <c r="F12" s="689">
        <f t="shared" si="1"/>
        <v>0</v>
      </c>
      <c r="G12" s="690">
        <v>0</v>
      </c>
      <c r="H12" s="689">
        <f t="shared" si="2"/>
        <v>0</v>
      </c>
      <c r="I12" s="694">
        <f>Page2A!G16</f>
        <v>0</v>
      </c>
      <c r="J12" s="678">
        <f>Page2A!H16</f>
        <v>0</v>
      </c>
      <c r="K12" s="689">
        <f t="shared" si="22"/>
        <v>0</v>
      </c>
      <c r="L12" s="689">
        <f t="shared" si="3"/>
        <v>0</v>
      </c>
      <c r="M12" s="689">
        <f t="shared" si="4"/>
        <v>0</v>
      </c>
      <c r="N12" s="690">
        <v>0</v>
      </c>
      <c r="O12" s="689">
        <f t="shared" si="5"/>
        <v>0</v>
      </c>
      <c r="P12" s="694">
        <f>Page2A!I16</f>
        <v>0</v>
      </c>
      <c r="Q12" s="678">
        <f>Page2A!J16</f>
        <v>0</v>
      </c>
      <c r="R12" s="689">
        <f t="shared" si="23"/>
        <v>0</v>
      </c>
      <c r="S12" s="689">
        <f t="shared" si="6"/>
        <v>0</v>
      </c>
      <c r="T12" s="689">
        <f t="shared" si="7"/>
        <v>0</v>
      </c>
      <c r="U12" s="690">
        <v>0</v>
      </c>
      <c r="V12" s="691">
        <f t="shared" si="8"/>
        <v>0</v>
      </c>
      <c r="W12" s="694">
        <f>Page2A!K16</f>
        <v>0</v>
      </c>
      <c r="X12" s="678">
        <f>Page2A!L16</f>
        <v>0</v>
      </c>
      <c r="Y12" s="689">
        <f t="shared" si="24"/>
        <v>0</v>
      </c>
      <c r="Z12" s="689">
        <f t="shared" si="9"/>
        <v>0</v>
      </c>
      <c r="AA12" s="689">
        <f t="shared" si="10"/>
        <v>0</v>
      </c>
      <c r="AB12" s="690">
        <v>0</v>
      </c>
      <c r="AC12" s="689">
        <f t="shared" si="11"/>
        <v>0</v>
      </c>
      <c r="AD12" s="694">
        <f>Page2A!M16</f>
        <v>0</v>
      </c>
      <c r="AE12" s="678">
        <f>Page2A!N16</f>
        <v>0</v>
      </c>
      <c r="AF12" s="689">
        <f t="shared" si="25"/>
        <v>0</v>
      </c>
      <c r="AG12" s="689">
        <f t="shared" si="12"/>
        <v>0</v>
      </c>
      <c r="AH12" s="689">
        <f t="shared" si="13"/>
        <v>0</v>
      </c>
      <c r="AI12" s="690">
        <v>0</v>
      </c>
      <c r="AJ12" s="691">
        <f t="shared" si="14"/>
        <v>0</v>
      </c>
      <c r="AK12" s="694">
        <f>Page2A!O16</f>
        <v>0</v>
      </c>
      <c r="AL12" s="678">
        <f>Page2A!P16</f>
        <v>0</v>
      </c>
      <c r="AM12" s="689">
        <f t="shared" si="26"/>
        <v>0</v>
      </c>
      <c r="AN12" s="689">
        <f t="shared" si="15"/>
        <v>0</v>
      </c>
      <c r="AO12" s="689">
        <f t="shared" si="16"/>
        <v>0</v>
      </c>
      <c r="AP12" s="690">
        <v>0</v>
      </c>
      <c r="AQ12" s="689">
        <f t="shared" si="17"/>
        <v>0</v>
      </c>
      <c r="AR12" s="694">
        <f>Page2A!Q16</f>
        <v>0</v>
      </c>
      <c r="AS12" s="678">
        <f>Page2A!R16</f>
        <v>0</v>
      </c>
      <c r="AT12" s="689">
        <f t="shared" si="27"/>
        <v>0</v>
      </c>
      <c r="AU12" s="689">
        <f t="shared" si="18"/>
        <v>0</v>
      </c>
      <c r="AV12" s="689">
        <f t="shared" si="19"/>
        <v>0</v>
      </c>
      <c r="AW12" s="690">
        <v>0</v>
      </c>
      <c r="AX12" s="691">
        <f t="shared" si="20"/>
        <v>0</v>
      </c>
    </row>
    <row r="13" spans="1:50" s="692" customFormat="1" ht="12" x14ac:dyDescent="0.2">
      <c r="A13" s="693" t="str">
        <f>Page2A!A18&amp;". "&amp;Page2A!B18</f>
        <v xml:space="preserve">5. </v>
      </c>
      <c r="B13" s="694">
        <f>Page2A!E18</f>
        <v>0</v>
      </c>
      <c r="C13" s="678">
        <f>Page2A!F18</f>
        <v>0</v>
      </c>
      <c r="D13" s="689">
        <f t="shared" si="21"/>
        <v>0</v>
      </c>
      <c r="E13" s="689">
        <f t="shared" si="0"/>
        <v>0</v>
      </c>
      <c r="F13" s="689">
        <f t="shared" si="1"/>
        <v>0</v>
      </c>
      <c r="G13" s="690">
        <v>0</v>
      </c>
      <c r="H13" s="689">
        <f t="shared" si="2"/>
        <v>0</v>
      </c>
      <c r="I13" s="694">
        <f>Page2A!G18</f>
        <v>0</v>
      </c>
      <c r="J13" s="678">
        <f>Page2A!H18</f>
        <v>0</v>
      </c>
      <c r="K13" s="689">
        <f t="shared" si="22"/>
        <v>0</v>
      </c>
      <c r="L13" s="689">
        <f t="shared" si="3"/>
        <v>0</v>
      </c>
      <c r="M13" s="689">
        <f t="shared" si="4"/>
        <v>0</v>
      </c>
      <c r="N13" s="690">
        <v>0</v>
      </c>
      <c r="O13" s="689">
        <f t="shared" si="5"/>
        <v>0</v>
      </c>
      <c r="P13" s="694">
        <f>Page2A!I18</f>
        <v>0</v>
      </c>
      <c r="Q13" s="678">
        <f>Page2A!J18</f>
        <v>0</v>
      </c>
      <c r="R13" s="689">
        <f t="shared" si="23"/>
        <v>0</v>
      </c>
      <c r="S13" s="689">
        <f t="shared" si="6"/>
        <v>0</v>
      </c>
      <c r="T13" s="689">
        <f t="shared" si="7"/>
        <v>0</v>
      </c>
      <c r="U13" s="690">
        <v>0</v>
      </c>
      <c r="V13" s="691">
        <f t="shared" si="8"/>
        <v>0</v>
      </c>
      <c r="W13" s="694">
        <f>Page2A!K18</f>
        <v>0</v>
      </c>
      <c r="X13" s="678">
        <f>Page2A!L18</f>
        <v>0</v>
      </c>
      <c r="Y13" s="689">
        <f t="shared" si="24"/>
        <v>0</v>
      </c>
      <c r="Z13" s="689">
        <f t="shared" si="9"/>
        <v>0</v>
      </c>
      <c r="AA13" s="689">
        <f t="shared" si="10"/>
        <v>0</v>
      </c>
      <c r="AB13" s="690">
        <v>0</v>
      </c>
      <c r="AC13" s="689">
        <f t="shared" si="11"/>
        <v>0</v>
      </c>
      <c r="AD13" s="694">
        <f>Page2A!M18</f>
        <v>0</v>
      </c>
      <c r="AE13" s="678">
        <f>Page2A!N18</f>
        <v>0</v>
      </c>
      <c r="AF13" s="689">
        <f t="shared" si="25"/>
        <v>0</v>
      </c>
      <c r="AG13" s="689">
        <f t="shared" si="12"/>
        <v>0</v>
      </c>
      <c r="AH13" s="689">
        <f t="shared" si="13"/>
        <v>0</v>
      </c>
      <c r="AI13" s="690">
        <v>0</v>
      </c>
      <c r="AJ13" s="691">
        <f t="shared" si="14"/>
        <v>0</v>
      </c>
      <c r="AK13" s="694">
        <f>Page2A!O18</f>
        <v>0</v>
      </c>
      <c r="AL13" s="678">
        <f>Page2A!P18</f>
        <v>0</v>
      </c>
      <c r="AM13" s="689">
        <f t="shared" si="26"/>
        <v>0</v>
      </c>
      <c r="AN13" s="689">
        <f t="shared" si="15"/>
        <v>0</v>
      </c>
      <c r="AO13" s="689">
        <f t="shared" si="16"/>
        <v>0</v>
      </c>
      <c r="AP13" s="690">
        <v>0</v>
      </c>
      <c r="AQ13" s="689">
        <f t="shared" si="17"/>
        <v>0</v>
      </c>
      <c r="AR13" s="694">
        <f>Page2A!Q18</f>
        <v>0</v>
      </c>
      <c r="AS13" s="678">
        <f>Page2A!R18</f>
        <v>0</v>
      </c>
      <c r="AT13" s="689">
        <f t="shared" si="27"/>
        <v>0</v>
      </c>
      <c r="AU13" s="689">
        <f t="shared" si="18"/>
        <v>0</v>
      </c>
      <c r="AV13" s="689">
        <f t="shared" si="19"/>
        <v>0</v>
      </c>
      <c r="AW13" s="690">
        <v>0</v>
      </c>
      <c r="AX13" s="691">
        <f t="shared" si="20"/>
        <v>0</v>
      </c>
    </row>
    <row r="14" spans="1:50" s="692" customFormat="1" ht="12" x14ac:dyDescent="0.2">
      <c r="A14" s="693" t="str">
        <f>Page2A!A20&amp;". "&amp;Page2A!B20</f>
        <v xml:space="preserve">6. </v>
      </c>
      <c r="B14" s="694">
        <f>Page2A!E20</f>
        <v>0</v>
      </c>
      <c r="C14" s="678">
        <f>Page2A!F20</f>
        <v>0</v>
      </c>
      <c r="D14" s="689">
        <f t="shared" si="21"/>
        <v>0</v>
      </c>
      <c r="E14" s="689">
        <f t="shared" si="0"/>
        <v>0</v>
      </c>
      <c r="F14" s="689">
        <f t="shared" si="1"/>
        <v>0</v>
      </c>
      <c r="G14" s="690">
        <v>0</v>
      </c>
      <c r="H14" s="689">
        <f t="shared" si="2"/>
        <v>0</v>
      </c>
      <c r="I14" s="694">
        <f>Page2A!G20</f>
        <v>0</v>
      </c>
      <c r="J14" s="678">
        <f>Page2A!H20</f>
        <v>0</v>
      </c>
      <c r="K14" s="689">
        <f t="shared" si="22"/>
        <v>0</v>
      </c>
      <c r="L14" s="689">
        <f t="shared" si="3"/>
        <v>0</v>
      </c>
      <c r="M14" s="689">
        <f t="shared" si="4"/>
        <v>0</v>
      </c>
      <c r="N14" s="690">
        <v>0</v>
      </c>
      <c r="O14" s="689">
        <f t="shared" si="5"/>
        <v>0</v>
      </c>
      <c r="P14" s="694">
        <f>Page2A!I20</f>
        <v>0</v>
      </c>
      <c r="Q14" s="678">
        <f>Page2A!J20</f>
        <v>0</v>
      </c>
      <c r="R14" s="689">
        <f t="shared" si="23"/>
        <v>0</v>
      </c>
      <c r="S14" s="689">
        <f t="shared" si="6"/>
        <v>0</v>
      </c>
      <c r="T14" s="689">
        <f t="shared" si="7"/>
        <v>0</v>
      </c>
      <c r="U14" s="690">
        <v>0</v>
      </c>
      <c r="V14" s="691">
        <f t="shared" si="8"/>
        <v>0</v>
      </c>
      <c r="W14" s="694">
        <f>Page2A!K20</f>
        <v>0</v>
      </c>
      <c r="X14" s="678">
        <f>Page2A!L20</f>
        <v>0</v>
      </c>
      <c r="Y14" s="689">
        <f t="shared" si="24"/>
        <v>0</v>
      </c>
      <c r="Z14" s="689">
        <f t="shared" si="9"/>
        <v>0</v>
      </c>
      <c r="AA14" s="689">
        <f t="shared" si="10"/>
        <v>0</v>
      </c>
      <c r="AB14" s="690">
        <v>0</v>
      </c>
      <c r="AC14" s="689">
        <f t="shared" si="11"/>
        <v>0</v>
      </c>
      <c r="AD14" s="694">
        <f>Page2A!M20</f>
        <v>0</v>
      </c>
      <c r="AE14" s="678">
        <f>Page2A!N20</f>
        <v>0</v>
      </c>
      <c r="AF14" s="689">
        <f t="shared" si="25"/>
        <v>0</v>
      </c>
      <c r="AG14" s="689">
        <f t="shared" si="12"/>
        <v>0</v>
      </c>
      <c r="AH14" s="689">
        <f t="shared" si="13"/>
        <v>0</v>
      </c>
      <c r="AI14" s="690">
        <v>0</v>
      </c>
      <c r="AJ14" s="691">
        <f t="shared" si="14"/>
        <v>0</v>
      </c>
      <c r="AK14" s="694">
        <f>Page2A!O20</f>
        <v>0</v>
      </c>
      <c r="AL14" s="678">
        <f>Page2A!P20</f>
        <v>0</v>
      </c>
      <c r="AM14" s="689">
        <f t="shared" si="26"/>
        <v>0</v>
      </c>
      <c r="AN14" s="689">
        <f t="shared" si="15"/>
        <v>0</v>
      </c>
      <c r="AO14" s="689">
        <f t="shared" si="16"/>
        <v>0</v>
      </c>
      <c r="AP14" s="690">
        <v>0</v>
      </c>
      <c r="AQ14" s="689">
        <f t="shared" si="17"/>
        <v>0</v>
      </c>
      <c r="AR14" s="694">
        <f>Page2A!Q20</f>
        <v>0</v>
      </c>
      <c r="AS14" s="678">
        <f>Page2A!R20</f>
        <v>0</v>
      </c>
      <c r="AT14" s="689">
        <f t="shared" si="27"/>
        <v>0</v>
      </c>
      <c r="AU14" s="689">
        <f t="shared" si="18"/>
        <v>0</v>
      </c>
      <c r="AV14" s="689">
        <f t="shared" si="19"/>
        <v>0</v>
      </c>
      <c r="AW14" s="690">
        <v>0</v>
      </c>
      <c r="AX14" s="691">
        <f t="shared" si="20"/>
        <v>0</v>
      </c>
    </row>
    <row r="15" spans="1:50" s="692" customFormat="1" ht="12" x14ac:dyDescent="0.2">
      <c r="A15" s="693" t="str">
        <f>Page2A!A22&amp;". "&amp;Page2A!B22</f>
        <v xml:space="preserve">7. </v>
      </c>
      <c r="B15" s="694">
        <f>Page2A!E22</f>
        <v>0</v>
      </c>
      <c r="C15" s="678">
        <f>Page2A!F22</f>
        <v>0</v>
      </c>
      <c r="D15" s="689">
        <f t="shared" si="21"/>
        <v>0</v>
      </c>
      <c r="E15" s="689">
        <f t="shared" si="0"/>
        <v>0</v>
      </c>
      <c r="F15" s="689">
        <f t="shared" si="1"/>
        <v>0</v>
      </c>
      <c r="G15" s="690">
        <v>0</v>
      </c>
      <c r="H15" s="689">
        <f t="shared" si="2"/>
        <v>0</v>
      </c>
      <c r="I15" s="694">
        <f>Page2A!G22</f>
        <v>0</v>
      </c>
      <c r="J15" s="678">
        <f>Page2A!H22</f>
        <v>0</v>
      </c>
      <c r="K15" s="689">
        <f t="shared" si="22"/>
        <v>0</v>
      </c>
      <c r="L15" s="689">
        <f t="shared" si="3"/>
        <v>0</v>
      </c>
      <c r="M15" s="689">
        <f t="shared" si="4"/>
        <v>0</v>
      </c>
      <c r="N15" s="690">
        <v>0</v>
      </c>
      <c r="O15" s="689">
        <f t="shared" si="5"/>
        <v>0</v>
      </c>
      <c r="P15" s="694">
        <f>Page2A!I22</f>
        <v>0</v>
      </c>
      <c r="Q15" s="678">
        <f>Page2A!J22</f>
        <v>0</v>
      </c>
      <c r="R15" s="689">
        <f t="shared" si="23"/>
        <v>0</v>
      </c>
      <c r="S15" s="689">
        <f t="shared" si="6"/>
        <v>0</v>
      </c>
      <c r="T15" s="689">
        <f t="shared" si="7"/>
        <v>0</v>
      </c>
      <c r="U15" s="690">
        <v>0</v>
      </c>
      <c r="V15" s="691">
        <f t="shared" si="8"/>
        <v>0</v>
      </c>
      <c r="W15" s="694">
        <f>Page2A!K22</f>
        <v>0</v>
      </c>
      <c r="X15" s="678">
        <f>Page2A!L22</f>
        <v>0</v>
      </c>
      <c r="Y15" s="689">
        <f t="shared" si="24"/>
        <v>0</v>
      </c>
      <c r="Z15" s="689">
        <f t="shared" si="9"/>
        <v>0</v>
      </c>
      <c r="AA15" s="689">
        <f t="shared" si="10"/>
        <v>0</v>
      </c>
      <c r="AB15" s="690">
        <v>0</v>
      </c>
      <c r="AC15" s="689">
        <f t="shared" si="11"/>
        <v>0</v>
      </c>
      <c r="AD15" s="694">
        <f>Page2A!M22</f>
        <v>0</v>
      </c>
      <c r="AE15" s="678">
        <f>Page2A!N22</f>
        <v>0</v>
      </c>
      <c r="AF15" s="689">
        <f t="shared" si="25"/>
        <v>0</v>
      </c>
      <c r="AG15" s="689">
        <f t="shared" si="12"/>
        <v>0</v>
      </c>
      <c r="AH15" s="689">
        <f t="shared" si="13"/>
        <v>0</v>
      </c>
      <c r="AI15" s="690">
        <v>0</v>
      </c>
      <c r="AJ15" s="691">
        <f t="shared" si="14"/>
        <v>0</v>
      </c>
      <c r="AK15" s="694">
        <f>Page2A!O22</f>
        <v>0</v>
      </c>
      <c r="AL15" s="678">
        <f>Page2A!P22</f>
        <v>0</v>
      </c>
      <c r="AM15" s="689">
        <f t="shared" si="26"/>
        <v>0</v>
      </c>
      <c r="AN15" s="689">
        <f t="shared" si="15"/>
        <v>0</v>
      </c>
      <c r="AO15" s="689">
        <f t="shared" si="16"/>
        <v>0</v>
      </c>
      <c r="AP15" s="690">
        <v>0</v>
      </c>
      <c r="AQ15" s="689">
        <f t="shared" si="17"/>
        <v>0</v>
      </c>
      <c r="AR15" s="694">
        <f>Page2A!Q22</f>
        <v>0</v>
      </c>
      <c r="AS15" s="678">
        <f>Page2A!R22</f>
        <v>0</v>
      </c>
      <c r="AT15" s="689">
        <f t="shared" si="27"/>
        <v>0</v>
      </c>
      <c r="AU15" s="689">
        <f t="shared" si="18"/>
        <v>0</v>
      </c>
      <c r="AV15" s="689">
        <f t="shared" si="19"/>
        <v>0</v>
      </c>
      <c r="AW15" s="690">
        <v>0</v>
      </c>
      <c r="AX15" s="691">
        <f t="shared" si="20"/>
        <v>0</v>
      </c>
    </row>
    <row r="16" spans="1:50" s="692" customFormat="1" ht="12" x14ac:dyDescent="0.2">
      <c r="A16" s="693" t="str">
        <f>Page2A!A24&amp;". "&amp;Page2A!B24</f>
        <v xml:space="preserve">8. </v>
      </c>
      <c r="B16" s="694">
        <f>Page2A!E24</f>
        <v>0</v>
      </c>
      <c r="C16" s="678">
        <f>Page2A!F24</f>
        <v>0</v>
      </c>
      <c r="D16" s="689">
        <f t="shared" si="21"/>
        <v>0</v>
      </c>
      <c r="E16" s="689">
        <f t="shared" si="0"/>
        <v>0</v>
      </c>
      <c r="F16" s="689">
        <f t="shared" si="1"/>
        <v>0</v>
      </c>
      <c r="G16" s="690">
        <v>0</v>
      </c>
      <c r="H16" s="689">
        <f t="shared" si="2"/>
        <v>0</v>
      </c>
      <c r="I16" s="694">
        <f>Page2A!G24</f>
        <v>0</v>
      </c>
      <c r="J16" s="678">
        <f>Page2A!H24</f>
        <v>0</v>
      </c>
      <c r="K16" s="689">
        <f t="shared" si="22"/>
        <v>0</v>
      </c>
      <c r="L16" s="689">
        <f t="shared" si="3"/>
        <v>0</v>
      </c>
      <c r="M16" s="689">
        <f t="shared" si="4"/>
        <v>0</v>
      </c>
      <c r="N16" s="690">
        <v>0</v>
      </c>
      <c r="O16" s="689">
        <f t="shared" si="5"/>
        <v>0</v>
      </c>
      <c r="P16" s="694">
        <f>Page2A!I24</f>
        <v>0</v>
      </c>
      <c r="Q16" s="678">
        <f>Page2A!J24</f>
        <v>0</v>
      </c>
      <c r="R16" s="689">
        <f t="shared" si="23"/>
        <v>0</v>
      </c>
      <c r="S16" s="689">
        <f t="shared" si="6"/>
        <v>0</v>
      </c>
      <c r="T16" s="689">
        <f t="shared" si="7"/>
        <v>0</v>
      </c>
      <c r="U16" s="690">
        <v>0</v>
      </c>
      <c r="V16" s="691">
        <f t="shared" si="8"/>
        <v>0</v>
      </c>
      <c r="W16" s="694">
        <f>Page2A!K24</f>
        <v>0</v>
      </c>
      <c r="X16" s="678">
        <f>Page2A!L24</f>
        <v>0</v>
      </c>
      <c r="Y16" s="689">
        <f t="shared" si="24"/>
        <v>0</v>
      </c>
      <c r="Z16" s="689">
        <f t="shared" si="9"/>
        <v>0</v>
      </c>
      <c r="AA16" s="689">
        <f t="shared" si="10"/>
        <v>0</v>
      </c>
      <c r="AB16" s="690">
        <v>0</v>
      </c>
      <c r="AC16" s="689">
        <f t="shared" si="11"/>
        <v>0</v>
      </c>
      <c r="AD16" s="694">
        <f>Page2A!M24</f>
        <v>0</v>
      </c>
      <c r="AE16" s="678">
        <f>Page2A!N24</f>
        <v>0</v>
      </c>
      <c r="AF16" s="689">
        <f t="shared" si="25"/>
        <v>0</v>
      </c>
      <c r="AG16" s="689">
        <f t="shared" si="12"/>
        <v>0</v>
      </c>
      <c r="AH16" s="689">
        <f t="shared" si="13"/>
        <v>0</v>
      </c>
      <c r="AI16" s="690">
        <v>0</v>
      </c>
      <c r="AJ16" s="691">
        <f t="shared" si="14"/>
        <v>0</v>
      </c>
      <c r="AK16" s="694">
        <f>Page2A!O24</f>
        <v>0</v>
      </c>
      <c r="AL16" s="678">
        <f>Page2A!P24</f>
        <v>0</v>
      </c>
      <c r="AM16" s="689">
        <f t="shared" si="26"/>
        <v>0</v>
      </c>
      <c r="AN16" s="689">
        <f t="shared" si="15"/>
        <v>0</v>
      </c>
      <c r="AO16" s="689">
        <f t="shared" si="16"/>
        <v>0</v>
      </c>
      <c r="AP16" s="690">
        <v>0</v>
      </c>
      <c r="AQ16" s="689">
        <f t="shared" si="17"/>
        <v>0</v>
      </c>
      <c r="AR16" s="694">
        <f>Page2A!Q24</f>
        <v>0</v>
      </c>
      <c r="AS16" s="678">
        <f>Page2A!R24</f>
        <v>0</v>
      </c>
      <c r="AT16" s="689">
        <f t="shared" si="27"/>
        <v>0</v>
      </c>
      <c r="AU16" s="689">
        <f t="shared" si="18"/>
        <v>0</v>
      </c>
      <c r="AV16" s="689">
        <f t="shared" si="19"/>
        <v>0</v>
      </c>
      <c r="AW16" s="690">
        <v>0</v>
      </c>
      <c r="AX16" s="691">
        <f t="shared" si="20"/>
        <v>0</v>
      </c>
    </row>
    <row r="17" spans="1:50" s="692" customFormat="1" ht="12" x14ac:dyDescent="0.2">
      <c r="A17" s="693" t="str">
        <f>Page2A!A26&amp;". "&amp;Page2A!B26</f>
        <v xml:space="preserve">9. </v>
      </c>
      <c r="B17" s="694">
        <f>Page2A!E26</f>
        <v>0</v>
      </c>
      <c r="C17" s="678">
        <f>Page2A!F26</f>
        <v>0</v>
      </c>
      <c r="D17" s="689">
        <f t="shared" si="21"/>
        <v>0</v>
      </c>
      <c r="E17" s="689">
        <f t="shared" si="0"/>
        <v>0</v>
      </c>
      <c r="F17" s="689">
        <f t="shared" si="1"/>
        <v>0</v>
      </c>
      <c r="G17" s="690">
        <v>0</v>
      </c>
      <c r="H17" s="689">
        <f t="shared" si="2"/>
        <v>0</v>
      </c>
      <c r="I17" s="694">
        <f>Page2A!G26</f>
        <v>0</v>
      </c>
      <c r="J17" s="678">
        <f>Page2A!H26</f>
        <v>0</v>
      </c>
      <c r="K17" s="689">
        <f t="shared" si="22"/>
        <v>0</v>
      </c>
      <c r="L17" s="689">
        <f t="shared" si="3"/>
        <v>0</v>
      </c>
      <c r="M17" s="689">
        <f t="shared" si="4"/>
        <v>0</v>
      </c>
      <c r="N17" s="690">
        <v>0</v>
      </c>
      <c r="O17" s="689">
        <f t="shared" si="5"/>
        <v>0</v>
      </c>
      <c r="P17" s="694">
        <f>Page2A!I26</f>
        <v>0</v>
      </c>
      <c r="Q17" s="678">
        <f>Page2A!J26</f>
        <v>0</v>
      </c>
      <c r="R17" s="689">
        <f t="shared" si="23"/>
        <v>0</v>
      </c>
      <c r="S17" s="689">
        <f t="shared" si="6"/>
        <v>0</v>
      </c>
      <c r="T17" s="689">
        <f t="shared" si="7"/>
        <v>0</v>
      </c>
      <c r="U17" s="690">
        <v>0</v>
      </c>
      <c r="V17" s="691">
        <f t="shared" si="8"/>
        <v>0</v>
      </c>
      <c r="W17" s="694">
        <f>Page2A!K26</f>
        <v>0</v>
      </c>
      <c r="X17" s="678">
        <f>Page2A!L26</f>
        <v>0</v>
      </c>
      <c r="Y17" s="689">
        <f t="shared" si="24"/>
        <v>0</v>
      </c>
      <c r="Z17" s="689">
        <f t="shared" si="9"/>
        <v>0</v>
      </c>
      <c r="AA17" s="689">
        <f t="shared" si="10"/>
        <v>0</v>
      </c>
      <c r="AB17" s="690">
        <v>0</v>
      </c>
      <c r="AC17" s="689">
        <f t="shared" si="11"/>
        <v>0</v>
      </c>
      <c r="AD17" s="694">
        <f>Page2A!M26</f>
        <v>0</v>
      </c>
      <c r="AE17" s="678">
        <f>Page2A!N26</f>
        <v>0</v>
      </c>
      <c r="AF17" s="689">
        <f t="shared" si="25"/>
        <v>0</v>
      </c>
      <c r="AG17" s="689">
        <f t="shared" si="12"/>
        <v>0</v>
      </c>
      <c r="AH17" s="689">
        <f t="shared" si="13"/>
        <v>0</v>
      </c>
      <c r="AI17" s="690">
        <v>0</v>
      </c>
      <c r="AJ17" s="691">
        <f t="shared" si="14"/>
        <v>0</v>
      </c>
      <c r="AK17" s="694">
        <f>Page2A!O26</f>
        <v>0</v>
      </c>
      <c r="AL17" s="678">
        <f>Page2A!P26</f>
        <v>0</v>
      </c>
      <c r="AM17" s="689">
        <f t="shared" si="26"/>
        <v>0</v>
      </c>
      <c r="AN17" s="689">
        <f t="shared" si="15"/>
        <v>0</v>
      </c>
      <c r="AO17" s="689">
        <f t="shared" si="16"/>
        <v>0</v>
      </c>
      <c r="AP17" s="690">
        <v>0</v>
      </c>
      <c r="AQ17" s="689">
        <f t="shared" si="17"/>
        <v>0</v>
      </c>
      <c r="AR17" s="694">
        <f>Page2A!Q26</f>
        <v>0</v>
      </c>
      <c r="AS17" s="678">
        <f>Page2A!R26</f>
        <v>0</v>
      </c>
      <c r="AT17" s="689">
        <f t="shared" si="27"/>
        <v>0</v>
      </c>
      <c r="AU17" s="689">
        <f t="shared" si="18"/>
        <v>0</v>
      </c>
      <c r="AV17" s="689">
        <f t="shared" si="19"/>
        <v>0</v>
      </c>
      <c r="AW17" s="690">
        <v>0</v>
      </c>
      <c r="AX17" s="691">
        <f t="shared" si="20"/>
        <v>0</v>
      </c>
    </row>
    <row r="18" spans="1:50" s="692" customFormat="1" ht="12" x14ac:dyDescent="0.2">
      <c r="A18" s="693" t="str">
        <f>Page2A!A28&amp;". "&amp;Page2A!B28</f>
        <v xml:space="preserve">10. </v>
      </c>
      <c r="B18" s="694">
        <f>Page2A!E28</f>
        <v>0</v>
      </c>
      <c r="C18" s="678">
        <f>Page2A!F28</f>
        <v>0</v>
      </c>
      <c r="D18" s="689">
        <f t="shared" si="21"/>
        <v>0</v>
      </c>
      <c r="E18" s="689">
        <f t="shared" si="0"/>
        <v>0</v>
      </c>
      <c r="F18" s="689">
        <f t="shared" si="1"/>
        <v>0</v>
      </c>
      <c r="G18" s="690">
        <v>0</v>
      </c>
      <c r="H18" s="689">
        <f t="shared" si="2"/>
        <v>0</v>
      </c>
      <c r="I18" s="694">
        <f>Page2A!G28</f>
        <v>0</v>
      </c>
      <c r="J18" s="678">
        <f>Page2A!H28</f>
        <v>0</v>
      </c>
      <c r="K18" s="689">
        <f t="shared" si="22"/>
        <v>0</v>
      </c>
      <c r="L18" s="689">
        <f t="shared" si="3"/>
        <v>0</v>
      </c>
      <c r="M18" s="689">
        <f t="shared" si="4"/>
        <v>0</v>
      </c>
      <c r="N18" s="690">
        <v>0</v>
      </c>
      <c r="O18" s="689">
        <f t="shared" si="5"/>
        <v>0</v>
      </c>
      <c r="P18" s="694">
        <f>Page2A!I28</f>
        <v>0</v>
      </c>
      <c r="Q18" s="678">
        <f>Page2A!J28</f>
        <v>0</v>
      </c>
      <c r="R18" s="689">
        <f t="shared" si="23"/>
        <v>0</v>
      </c>
      <c r="S18" s="689">
        <f t="shared" si="6"/>
        <v>0</v>
      </c>
      <c r="T18" s="689">
        <f t="shared" si="7"/>
        <v>0</v>
      </c>
      <c r="U18" s="690">
        <v>0</v>
      </c>
      <c r="V18" s="691">
        <f t="shared" si="8"/>
        <v>0</v>
      </c>
      <c r="W18" s="694">
        <f>Page2A!K28</f>
        <v>0</v>
      </c>
      <c r="X18" s="678">
        <f>Page2A!L28</f>
        <v>0</v>
      </c>
      <c r="Y18" s="689">
        <f t="shared" si="24"/>
        <v>0</v>
      </c>
      <c r="Z18" s="689">
        <f t="shared" si="9"/>
        <v>0</v>
      </c>
      <c r="AA18" s="689">
        <f t="shared" si="10"/>
        <v>0</v>
      </c>
      <c r="AB18" s="690">
        <v>0</v>
      </c>
      <c r="AC18" s="689">
        <f t="shared" si="11"/>
        <v>0</v>
      </c>
      <c r="AD18" s="694">
        <f>Page2A!M28</f>
        <v>0</v>
      </c>
      <c r="AE18" s="678">
        <f>Page2A!N28</f>
        <v>0</v>
      </c>
      <c r="AF18" s="689">
        <f t="shared" si="25"/>
        <v>0</v>
      </c>
      <c r="AG18" s="689">
        <f t="shared" si="12"/>
        <v>0</v>
      </c>
      <c r="AH18" s="689">
        <f t="shared" si="13"/>
        <v>0</v>
      </c>
      <c r="AI18" s="690">
        <v>0</v>
      </c>
      <c r="AJ18" s="691">
        <f t="shared" si="14"/>
        <v>0</v>
      </c>
      <c r="AK18" s="694">
        <f>Page2A!O28</f>
        <v>0</v>
      </c>
      <c r="AL18" s="678">
        <f>Page2A!P28</f>
        <v>0</v>
      </c>
      <c r="AM18" s="689">
        <f t="shared" si="26"/>
        <v>0</v>
      </c>
      <c r="AN18" s="689">
        <f t="shared" si="15"/>
        <v>0</v>
      </c>
      <c r="AO18" s="689">
        <f t="shared" si="16"/>
        <v>0</v>
      </c>
      <c r="AP18" s="690">
        <v>0</v>
      </c>
      <c r="AQ18" s="689">
        <f t="shared" si="17"/>
        <v>0</v>
      </c>
      <c r="AR18" s="694">
        <f>Page2A!Q28</f>
        <v>0</v>
      </c>
      <c r="AS18" s="678">
        <f>Page2A!R28</f>
        <v>0</v>
      </c>
      <c r="AT18" s="689">
        <f t="shared" si="27"/>
        <v>0</v>
      </c>
      <c r="AU18" s="689">
        <f t="shared" si="18"/>
        <v>0</v>
      </c>
      <c r="AV18" s="689">
        <f t="shared" si="19"/>
        <v>0</v>
      </c>
      <c r="AW18" s="690">
        <v>0</v>
      </c>
      <c r="AX18" s="691">
        <f t="shared" si="20"/>
        <v>0</v>
      </c>
    </row>
    <row r="19" spans="1:50" s="692" customFormat="1" ht="12" x14ac:dyDescent="0.2">
      <c r="A19" s="693" t="str">
        <f>Page2A!A30&amp;". "&amp;Page2A!B30</f>
        <v xml:space="preserve">11. </v>
      </c>
      <c r="B19" s="694">
        <f>Page2A!E30</f>
        <v>0</v>
      </c>
      <c r="C19" s="678">
        <f>Page2A!F30</f>
        <v>0</v>
      </c>
      <c r="D19" s="689">
        <f t="shared" si="21"/>
        <v>0</v>
      </c>
      <c r="E19" s="689">
        <f t="shared" si="0"/>
        <v>0</v>
      </c>
      <c r="F19" s="689">
        <f t="shared" si="1"/>
        <v>0</v>
      </c>
      <c r="G19" s="690">
        <v>0</v>
      </c>
      <c r="H19" s="689">
        <f t="shared" si="2"/>
        <v>0</v>
      </c>
      <c r="I19" s="694">
        <f>Page2A!G30</f>
        <v>0</v>
      </c>
      <c r="J19" s="678">
        <f>Page2A!H30</f>
        <v>0</v>
      </c>
      <c r="K19" s="689">
        <f t="shared" si="22"/>
        <v>0</v>
      </c>
      <c r="L19" s="689">
        <f t="shared" si="3"/>
        <v>0</v>
      </c>
      <c r="M19" s="689">
        <f t="shared" si="4"/>
        <v>0</v>
      </c>
      <c r="N19" s="690">
        <v>0</v>
      </c>
      <c r="O19" s="689">
        <f t="shared" si="5"/>
        <v>0</v>
      </c>
      <c r="P19" s="694">
        <f>Page2A!I30</f>
        <v>0</v>
      </c>
      <c r="Q19" s="678">
        <f>Page2A!J30</f>
        <v>0</v>
      </c>
      <c r="R19" s="689">
        <f t="shared" si="23"/>
        <v>0</v>
      </c>
      <c r="S19" s="689">
        <f t="shared" si="6"/>
        <v>0</v>
      </c>
      <c r="T19" s="689">
        <f t="shared" si="7"/>
        <v>0</v>
      </c>
      <c r="U19" s="690">
        <v>0</v>
      </c>
      <c r="V19" s="691">
        <f t="shared" si="8"/>
        <v>0</v>
      </c>
      <c r="W19" s="694">
        <f>Page2A!K30</f>
        <v>0</v>
      </c>
      <c r="X19" s="678">
        <f>Page2A!L30</f>
        <v>0</v>
      </c>
      <c r="Y19" s="689">
        <f t="shared" si="24"/>
        <v>0</v>
      </c>
      <c r="Z19" s="689">
        <f t="shared" si="9"/>
        <v>0</v>
      </c>
      <c r="AA19" s="689">
        <f t="shared" si="10"/>
        <v>0</v>
      </c>
      <c r="AB19" s="690">
        <v>0</v>
      </c>
      <c r="AC19" s="689">
        <f t="shared" si="11"/>
        <v>0</v>
      </c>
      <c r="AD19" s="694">
        <f>Page2A!M30</f>
        <v>0</v>
      </c>
      <c r="AE19" s="678">
        <f>Page2A!N30</f>
        <v>0</v>
      </c>
      <c r="AF19" s="689">
        <f t="shared" si="25"/>
        <v>0</v>
      </c>
      <c r="AG19" s="689">
        <f t="shared" si="12"/>
        <v>0</v>
      </c>
      <c r="AH19" s="689">
        <f t="shared" si="13"/>
        <v>0</v>
      </c>
      <c r="AI19" s="690">
        <v>0</v>
      </c>
      <c r="AJ19" s="691">
        <f t="shared" si="14"/>
        <v>0</v>
      </c>
      <c r="AK19" s="694">
        <f>Page2A!O30</f>
        <v>0</v>
      </c>
      <c r="AL19" s="678">
        <f>Page2A!P30</f>
        <v>0</v>
      </c>
      <c r="AM19" s="689">
        <f t="shared" si="26"/>
        <v>0</v>
      </c>
      <c r="AN19" s="689">
        <f t="shared" si="15"/>
        <v>0</v>
      </c>
      <c r="AO19" s="689">
        <f t="shared" si="16"/>
        <v>0</v>
      </c>
      <c r="AP19" s="690">
        <v>0</v>
      </c>
      <c r="AQ19" s="689">
        <f t="shared" si="17"/>
        <v>0</v>
      </c>
      <c r="AR19" s="694">
        <f>Page2A!Q30</f>
        <v>0</v>
      </c>
      <c r="AS19" s="678">
        <f>Page2A!R30</f>
        <v>0</v>
      </c>
      <c r="AT19" s="689">
        <f t="shared" si="27"/>
        <v>0</v>
      </c>
      <c r="AU19" s="689">
        <f t="shared" si="18"/>
        <v>0</v>
      </c>
      <c r="AV19" s="689">
        <f t="shared" si="19"/>
        <v>0</v>
      </c>
      <c r="AW19" s="690">
        <v>0</v>
      </c>
      <c r="AX19" s="691">
        <f t="shared" si="20"/>
        <v>0</v>
      </c>
    </row>
    <row r="20" spans="1:50" s="692" customFormat="1" ht="12" x14ac:dyDescent="0.2">
      <c r="A20" s="693" t="str">
        <f>Page2A!A32&amp;". "&amp;Page2A!B32</f>
        <v xml:space="preserve">12. </v>
      </c>
      <c r="B20" s="694">
        <f>Page2A!E32</f>
        <v>0</v>
      </c>
      <c r="C20" s="678">
        <f>Page2A!F32</f>
        <v>0</v>
      </c>
      <c r="D20" s="689">
        <f t="shared" si="21"/>
        <v>0</v>
      </c>
      <c r="E20" s="689">
        <f t="shared" si="0"/>
        <v>0</v>
      </c>
      <c r="F20" s="689">
        <f t="shared" si="1"/>
        <v>0</v>
      </c>
      <c r="G20" s="690">
        <v>0</v>
      </c>
      <c r="H20" s="689">
        <f t="shared" si="2"/>
        <v>0</v>
      </c>
      <c r="I20" s="694">
        <f>Page2A!G32</f>
        <v>0</v>
      </c>
      <c r="J20" s="678">
        <f>Page2A!H32</f>
        <v>0</v>
      </c>
      <c r="K20" s="689">
        <f t="shared" si="22"/>
        <v>0</v>
      </c>
      <c r="L20" s="689">
        <f t="shared" si="3"/>
        <v>0</v>
      </c>
      <c r="M20" s="689">
        <f t="shared" si="4"/>
        <v>0</v>
      </c>
      <c r="N20" s="690">
        <v>0</v>
      </c>
      <c r="O20" s="689">
        <f t="shared" si="5"/>
        <v>0</v>
      </c>
      <c r="P20" s="694">
        <f>Page2A!I32</f>
        <v>0</v>
      </c>
      <c r="Q20" s="678">
        <f>Page2A!J32</f>
        <v>0</v>
      </c>
      <c r="R20" s="689">
        <f t="shared" si="23"/>
        <v>0</v>
      </c>
      <c r="S20" s="689">
        <f t="shared" si="6"/>
        <v>0</v>
      </c>
      <c r="T20" s="689">
        <f t="shared" si="7"/>
        <v>0</v>
      </c>
      <c r="U20" s="690">
        <v>0</v>
      </c>
      <c r="V20" s="691">
        <f t="shared" si="8"/>
        <v>0</v>
      </c>
      <c r="W20" s="694">
        <f>Page2A!K32</f>
        <v>0</v>
      </c>
      <c r="X20" s="678">
        <f>Page2A!L32</f>
        <v>0</v>
      </c>
      <c r="Y20" s="689">
        <f t="shared" si="24"/>
        <v>0</v>
      </c>
      <c r="Z20" s="689">
        <f t="shared" si="9"/>
        <v>0</v>
      </c>
      <c r="AA20" s="689">
        <f t="shared" si="10"/>
        <v>0</v>
      </c>
      <c r="AB20" s="690">
        <v>0</v>
      </c>
      <c r="AC20" s="689">
        <f t="shared" si="11"/>
        <v>0</v>
      </c>
      <c r="AD20" s="694">
        <f>Page2A!M32</f>
        <v>0</v>
      </c>
      <c r="AE20" s="678">
        <f>Page2A!N32</f>
        <v>0</v>
      </c>
      <c r="AF20" s="689">
        <f t="shared" si="25"/>
        <v>0</v>
      </c>
      <c r="AG20" s="689">
        <f t="shared" si="12"/>
        <v>0</v>
      </c>
      <c r="AH20" s="689">
        <f t="shared" si="13"/>
        <v>0</v>
      </c>
      <c r="AI20" s="690">
        <v>0</v>
      </c>
      <c r="AJ20" s="691">
        <f t="shared" si="14"/>
        <v>0</v>
      </c>
      <c r="AK20" s="694">
        <f>Page2A!O32</f>
        <v>0</v>
      </c>
      <c r="AL20" s="678">
        <f>Page2A!P32</f>
        <v>0</v>
      </c>
      <c r="AM20" s="689">
        <f t="shared" si="26"/>
        <v>0</v>
      </c>
      <c r="AN20" s="689">
        <f t="shared" si="15"/>
        <v>0</v>
      </c>
      <c r="AO20" s="689">
        <f t="shared" si="16"/>
        <v>0</v>
      </c>
      <c r="AP20" s="690">
        <v>0</v>
      </c>
      <c r="AQ20" s="689">
        <f t="shared" si="17"/>
        <v>0</v>
      </c>
      <c r="AR20" s="694">
        <f>Page2A!Q32</f>
        <v>0</v>
      </c>
      <c r="AS20" s="678">
        <f>Page2A!R32</f>
        <v>0</v>
      </c>
      <c r="AT20" s="689">
        <f t="shared" si="27"/>
        <v>0</v>
      </c>
      <c r="AU20" s="689">
        <f t="shared" si="18"/>
        <v>0</v>
      </c>
      <c r="AV20" s="689">
        <f t="shared" si="19"/>
        <v>0</v>
      </c>
      <c r="AW20" s="690">
        <v>0</v>
      </c>
      <c r="AX20" s="691">
        <f t="shared" si="20"/>
        <v>0</v>
      </c>
    </row>
    <row r="21" spans="1:50" s="692" customFormat="1" ht="12" x14ac:dyDescent="0.2">
      <c r="A21" s="693" t="str">
        <f>Page2A!A34&amp;". "&amp;Page2A!B34</f>
        <v xml:space="preserve">13. </v>
      </c>
      <c r="B21" s="694">
        <f>Page2A!E34</f>
        <v>0</v>
      </c>
      <c r="C21" s="678">
        <f>Page2A!F34</f>
        <v>0</v>
      </c>
      <c r="D21" s="689">
        <f t="shared" si="21"/>
        <v>0</v>
      </c>
      <c r="E21" s="689">
        <f t="shared" si="0"/>
        <v>0</v>
      </c>
      <c r="F21" s="689">
        <f t="shared" si="1"/>
        <v>0</v>
      </c>
      <c r="G21" s="690">
        <v>0</v>
      </c>
      <c r="H21" s="689">
        <f t="shared" si="2"/>
        <v>0</v>
      </c>
      <c r="I21" s="694">
        <f>Page2A!G34</f>
        <v>0</v>
      </c>
      <c r="J21" s="678">
        <f>Page2A!H34</f>
        <v>0</v>
      </c>
      <c r="K21" s="689">
        <f t="shared" si="22"/>
        <v>0</v>
      </c>
      <c r="L21" s="689">
        <f t="shared" si="3"/>
        <v>0</v>
      </c>
      <c r="M21" s="689">
        <f t="shared" si="4"/>
        <v>0</v>
      </c>
      <c r="N21" s="690">
        <v>0</v>
      </c>
      <c r="O21" s="689">
        <f t="shared" si="5"/>
        <v>0</v>
      </c>
      <c r="P21" s="694">
        <f>Page2A!I34</f>
        <v>0</v>
      </c>
      <c r="Q21" s="678">
        <f>Page2A!J34</f>
        <v>0</v>
      </c>
      <c r="R21" s="689">
        <f t="shared" si="23"/>
        <v>0</v>
      </c>
      <c r="S21" s="689">
        <f t="shared" si="6"/>
        <v>0</v>
      </c>
      <c r="T21" s="689">
        <f t="shared" si="7"/>
        <v>0</v>
      </c>
      <c r="U21" s="690">
        <v>0</v>
      </c>
      <c r="V21" s="691">
        <f t="shared" si="8"/>
        <v>0</v>
      </c>
      <c r="W21" s="694">
        <f>Page2A!K34</f>
        <v>0</v>
      </c>
      <c r="X21" s="678">
        <f>Page2A!L34</f>
        <v>0</v>
      </c>
      <c r="Y21" s="689">
        <f t="shared" si="24"/>
        <v>0</v>
      </c>
      <c r="Z21" s="689">
        <f t="shared" si="9"/>
        <v>0</v>
      </c>
      <c r="AA21" s="689">
        <f t="shared" si="10"/>
        <v>0</v>
      </c>
      <c r="AB21" s="690">
        <v>0</v>
      </c>
      <c r="AC21" s="689">
        <f t="shared" si="11"/>
        <v>0</v>
      </c>
      <c r="AD21" s="694">
        <f>Page2A!M34</f>
        <v>0</v>
      </c>
      <c r="AE21" s="678">
        <f>Page2A!N34</f>
        <v>0</v>
      </c>
      <c r="AF21" s="689">
        <f t="shared" si="25"/>
        <v>0</v>
      </c>
      <c r="AG21" s="689">
        <f t="shared" si="12"/>
        <v>0</v>
      </c>
      <c r="AH21" s="689">
        <f t="shared" si="13"/>
        <v>0</v>
      </c>
      <c r="AI21" s="690">
        <v>0</v>
      </c>
      <c r="AJ21" s="691">
        <f t="shared" si="14"/>
        <v>0</v>
      </c>
      <c r="AK21" s="694">
        <f>Page2A!O34</f>
        <v>0</v>
      </c>
      <c r="AL21" s="678">
        <f>Page2A!P34</f>
        <v>0</v>
      </c>
      <c r="AM21" s="689">
        <f t="shared" si="26"/>
        <v>0</v>
      </c>
      <c r="AN21" s="689">
        <f t="shared" si="15"/>
        <v>0</v>
      </c>
      <c r="AO21" s="689">
        <f t="shared" si="16"/>
        <v>0</v>
      </c>
      <c r="AP21" s="690">
        <v>0</v>
      </c>
      <c r="AQ21" s="689">
        <f t="shared" si="17"/>
        <v>0</v>
      </c>
      <c r="AR21" s="694">
        <f>Page2A!Q34</f>
        <v>0</v>
      </c>
      <c r="AS21" s="678">
        <f>Page2A!R34</f>
        <v>0</v>
      </c>
      <c r="AT21" s="689">
        <f t="shared" si="27"/>
        <v>0</v>
      </c>
      <c r="AU21" s="689">
        <f t="shared" si="18"/>
        <v>0</v>
      </c>
      <c r="AV21" s="689">
        <f t="shared" si="19"/>
        <v>0</v>
      </c>
      <c r="AW21" s="690">
        <v>0</v>
      </c>
      <c r="AX21" s="691">
        <f t="shared" si="20"/>
        <v>0</v>
      </c>
    </row>
    <row r="22" spans="1:50" s="692" customFormat="1" ht="12" x14ac:dyDescent="0.2">
      <c r="A22" s="693" t="str">
        <f>Page2A!A36&amp;". "&amp;Page2A!B36</f>
        <v xml:space="preserve">14. </v>
      </c>
      <c r="B22" s="694">
        <f>Page2A!E36</f>
        <v>0</v>
      </c>
      <c r="C22" s="678">
        <f>Page2A!F36</f>
        <v>0</v>
      </c>
      <c r="D22" s="689">
        <f t="shared" si="21"/>
        <v>0</v>
      </c>
      <c r="E22" s="689">
        <f t="shared" si="0"/>
        <v>0</v>
      </c>
      <c r="F22" s="689">
        <f t="shared" si="1"/>
        <v>0</v>
      </c>
      <c r="G22" s="690">
        <v>0</v>
      </c>
      <c r="H22" s="689">
        <f t="shared" si="2"/>
        <v>0</v>
      </c>
      <c r="I22" s="694">
        <f>Page2A!G36</f>
        <v>0</v>
      </c>
      <c r="J22" s="678">
        <f>Page2A!H36</f>
        <v>0</v>
      </c>
      <c r="K22" s="689">
        <f t="shared" si="22"/>
        <v>0</v>
      </c>
      <c r="L22" s="689">
        <f t="shared" si="3"/>
        <v>0</v>
      </c>
      <c r="M22" s="689">
        <f t="shared" si="4"/>
        <v>0</v>
      </c>
      <c r="N22" s="690">
        <v>0</v>
      </c>
      <c r="O22" s="689">
        <f t="shared" si="5"/>
        <v>0</v>
      </c>
      <c r="P22" s="694">
        <f>Page2A!I36</f>
        <v>0</v>
      </c>
      <c r="Q22" s="678">
        <f>Page2A!J36</f>
        <v>0</v>
      </c>
      <c r="R22" s="689">
        <f t="shared" si="23"/>
        <v>0</v>
      </c>
      <c r="S22" s="689">
        <f t="shared" si="6"/>
        <v>0</v>
      </c>
      <c r="T22" s="689">
        <f t="shared" si="7"/>
        <v>0</v>
      </c>
      <c r="U22" s="690">
        <v>0</v>
      </c>
      <c r="V22" s="691">
        <f t="shared" si="8"/>
        <v>0</v>
      </c>
      <c r="W22" s="694">
        <f>Page2A!K36</f>
        <v>0</v>
      </c>
      <c r="X22" s="678">
        <f>Page2A!L36</f>
        <v>0</v>
      </c>
      <c r="Y22" s="689">
        <f t="shared" si="24"/>
        <v>0</v>
      </c>
      <c r="Z22" s="689">
        <f t="shared" si="9"/>
        <v>0</v>
      </c>
      <c r="AA22" s="689">
        <f t="shared" si="10"/>
        <v>0</v>
      </c>
      <c r="AB22" s="690">
        <v>0</v>
      </c>
      <c r="AC22" s="689">
        <f t="shared" si="11"/>
        <v>0</v>
      </c>
      <c r="AD22" s="694">
        <f>Page2A!M36</f>
        <v>0</v>
      </c>
      <c r="AE22" s="678">
        <f>Page2A!N36</f>
        <v>0</v>
      </c>
      <c r="AF22" s="689">
        <f t="shared" si="25"/>
        <v>0</v>
      </c>
      <c r="AG22" s="689">
        <f t="shared" si="12"/>
        <v>0</v>
      </c>
      <c r="AH22" s="689">
        <f t="shared" si="13"/>
        <v>0</v>
      </c>
      <c r="AI22" s="690">
        <v>0</v>
      </c>
      <c r="AJ22" s="691">
        <f t="shared" si="14"/>
        <v>0</v>
      </c>
      <c r="AK22" s="694">
        <f>Page2A!O36</f>
        <v>0</v>
      </c>
      <c r="AL22" s="678">
        <f>Page2A!P36</f>
        <v>0</v>
      </c>
      <c r="AM22" s="689">
        <f t="shared" si="26"/>
        <v>0</v>
      </c>
      <c r="AN22" s="689">
        <f t="shared" si="15"/>
        <v>0</v>
      </c>
      <c r="AO22" s="689">
        <f t="shared" si="16"/>
        <v>0</v>
      </c>
      <c r="AP22" s="690">
        <v>0</v>
      </c>
      <c r="AQ22" s="689">
        <f t="shared" si="17"/>
        <v>0</v>
      </c>
      <c r="AR22" s="694">
        <f>Page2A!Q36</f>
        <v>0</v>
      </c>
      <c r="AS22" s="678">
        <f>Page2A!R36</f>
        <v>0</v>
      </c>
      <c r="AT22" s="689">
        <f t="shared" si="27"/>
        <v>0</v>
      </c>
      <c r="AU22" s="689">
        <f t="shared" si="18"/>
        <v>0</v>
      </c>
      <c r="AV22" s="689">
        <f t="shared" si="19"/>
        <v>0</v>
      </c>
      <c r="AW22" s="690">
        <v>0</v>
      </c>
      <c r="AX22" s="691">
        <f t="shared" si="20"/>
        <v>0</v>
      </c>
    </row>
    <row r="23" spans="1:50" s="692" customFormat="1" ht="12" x14ac:dyDescent="0.2">
      <c r="A23" s="693" t="str">
        <f>Page2A!A38&amp;". "&amp;Page2A!B38</f>
        <v xml:space="preserve">15. </v>
      </c>
      <c r="B23" s="694">
        <f>Page2A!E38</f>
        <v>0</v>
      </c>
      <c r="C23" s="678">
        <f>Page2A!F38</f>
        <v>0</v>
      </c>
      <c r="D23" s="689">
        <f t="shared" si="21"/>
        <v>0</v>
      </c>
      <c r="E23" s="689">
        <f t="shared" si="0"/>
        <v>0</v>
      </c>
      <c r="F23" s="689">
        <f t="shared" si="1"/>
        <v>0</v>
      </c>
      <c r="G23" s="690">
        <v>0</v>
      </c>
      <c r="H23" s="689">
        <f t="shared" si="2"/>
        <v>0</v>
      </c>
      <c r="I23" s="694">
        <f>Page2A!G38</f>
        <v>0</v>
      </c>
      <c r="J23" s="678">
        <f>Page2A!H38</f>
        <v>0</v>
      </c>
      <c r="K23" s="689">
        <f t="shared" si="22"/>
        <v>0</v>
      </c>
      <c r="L23" s="689">
        <f t="shared" si="3"/>
        <v>0</v>
      </c>
      <c r="M23" s="689">
        <f t="shared" si="4"/>
        <v>0</v>
      </c>
      <c r="N23" s="690">
        <v>0</v>
      </c>
      <c r="O23" s="689">
        <f t="shared" si="5"/>
        <v>0</v>
      </c>
      <c r="P23" s="694">
        <f>Page2A!I38</f>
        <v>0</v>
      </c>
      <c r="Q23" s="678">
        <f>Page2A!J38</f>
        <v>0</v>
      </c>
      <c r="R23" s="689">
        <f t="shared" si="23"/>
        <v>0</v>
      </c>
      <c r="S23" s="689">
        <f t="shared" si="6"/>
        <v>0</v>
      </c>
      <c r="T23" s="689">
        <f t="shared" si="7"/>
        <v>0</v>
      </c>
      <c r="U23" s="690">
        <v>0</v>
      </c>
      <c r="V23" s="691">
        <f t="shared" si="8"/>
        <v>0</v>
      </c>
      <c r="W23" s="694">
        <f>Page2A!K38</f>
        <v>0</v>
      </c>
      <c r="X23" s="678">
        <f>Page2A!L38</f>
        <v>0</v>
      </c>
      <c r="Y23" s="689">
        <f t="shared" si="24"/>
        <v>0</v>
      </c>
      <c r="Z23" s="689">
        <f t="shared" si="9"/>
        <v>0</v>
      </c>
      <c r="AA23" s="689">
        <f t="shared" si="10"/>
        <v>0</v>
      </c>
      <c r="AB23" s="690">
        <v>0</v>
      </c>
      <c r="AC23" s="689">
        <f t="shared" si="11"/>
        <v>0</v>
      </c>
      <c r="AD23" s="694">
        <f>Page2A!M38</f>
        <v>0</v>
      </c>
      <c r="AE23" s="678">
        <f>Page2A!N38</f>
        <v>0</v>
      </c>
      <c r="AF23" s="689">
        <f t="shared" si="25"/>
        <v>0</v>
      </c>
      <c r="AG23" s="689">
        <f t="shared" si="12"/>
        <v>0</v>
      </c>
      <c r="AH23" s="689">
        <f t="shared" si="13"/>
        <v>0</v>
      </c>
      <c r="AI23" s="690">
        <v>0</v>
      </c>
      <c r="AJ23" s="691">
        <f t="shared" si="14"/>
        <v>0</v>
      </c>
      <c r="AK23" s="694">
        <f>Page2A!O38</f>
        <v>0</v>
      </c>
      <c r="AL23" s="678">
        <f>Page2A!P38</f>
        <v>0</v>
      </c>
      <c r="AM23" s="689">
        <f t="shared" si="26"/>
        <v>0</v>
      </c>
      <c r="AN23" s="689">
        <f t="shared" si="15"/>
        <v>0</v>
      </c>
      <c r="AO23" s="689">
        <f t="shared" si="16"/>
        <v>0</v>
      </c>
      <c r="AP23" s="690">
        <v>0</v>
      </c>
      <c r="AQ23" s="689">
        <f t="shared" si="17"/>
        <v>0</v>
      </c>
      <c r="AR23" s="694">
        <f>Page2A!Q38</f>
        <v>0</v>
      </c>
      <c r="AS23" s="678">
        <f>Page2A!R38</f>
        <v>0</v>
      </c>
      <c r="AT23" s="689">
        <f t="shared" si="27"/>
        <v>0</v>
      </c>
      <c r="AU23" s="689">
        <f t="shared" si="18"/>
        <v>0</v>
      </c>
      <c r="AV23" s="689">
        <f t="shared" si="19"/>
        <v>0</v>
      </c>
      <c r="AW23" s="690">
        <v>0</v>
      </c>
      <c r="AX23" s="691">
        <f t="shared" si="20"/>
        <v>0</v>
      </c>
    </row>
    <row r="24" spans="1:50" s="692" customFormat="1" ht="12" x14ac:dyDescent="0.2">
      <c r="A24" s="693" t="str">
        <f>Page2A!A40&amp;". "&amp;Page2A!B40</f>
        <v xml:space="preserve">16. </v>
      </c>
      <c r="B24" s="694">
        <f>Page2A!E40</f>
        <v>0</v>
      </c>
      <c r="C24" s="678">
        <f>Page2A!F40</f>
        <v>0</v>
      </c>
      <c r="D24" s="689">
        <f t="shared" si="21"/>
        <v>0</v>
      </c>
      <c r="E24" s="689">
        <f t="shared" si="0"/>
        <v>0</v>
      </c>
      <c r="F24" s="689">
        <f t="shared" si="1"/>
        <v>0</v>
      </c>
      <c r="G24" s="690">
        <v>0</v>
      </c>
      <c r="H24" s="689">
        <f t="shared" si="2"/>
        <v>0</v>
      </c>
      <c r="I24" s="694">
        <f>Page2A!G40</f>
        <v>0</v>
      </c>
      <c r="J24" s="678">
        <f>Page2A!H40</f>
        <v>0</v>
      </c>
      <c r="K24" s="689">
        <f t="shared" si="22"/>
        <v>0</v>
      </c>
      <c r="L24" s="689">
        <f t="shared" si="3"/>
        <v>0</v>
      </c>
      <c r="M24" s="689">
        <f t="shared" si="4"/>
        <v>0</v>
      </c>
      <c r="N24" s="690">
        <v>0</v>
      </c>
      <c r="O24" s="689">
        <f t="shared" si="5"/>
        <v>0</v>
      </c>
      <c r="P24" s="694">
        <f>Page2A!I40</f>
        <v>0</v>
      </c>
      <c r="Q24" s="678">
        <f>Page2A!J40</f>
        <v>0</v>
      </c>
      <c r="R24" s="689">
        <f t="shared" si="23"/>
        <v>0</v>
      </c>
      <c r="S24" s="689">
        <f t="shared" si="6"/>
        <v>0</v>
      </c>
      <c r="T24" s="689">
        <f t="shared" si="7"/>
        <v>0</v>
      </c>
      <c r="U24" s="690">
        <v>0</v>
      </c>
      <c r="V24" s="691">
        <f t="shared" si="8"/>
        <v>0</v>
      </c>
      <c r="W24" s="694">
        <f>Page2A!K40</f>
        <v>0</v>
      </c>
      <c r="X24" s="678">
        <f>Page2A!L40</f>
        <v>0</v>
      </c>
      <c r="Y24" s="689">
        <f t="shared" si="24"/>
        <v>0</v>
      </c>
      <c r="Z24" s="689">
        <f t="shared" si="9"/>
        <v>0</v>
      </c>
      <c r="AA24" s="689">
        <f t="shared" si="10"/>
        <v>0</v>
      </c>
      <c r="AB24" s="690">
        <v>0</v>
      </c>
      <c r="AC24" s="689">
        <f t="shared" si="11"/>
        <v>0</v>
      </c>
      <c r="AD24" s="694">
        <f>Page2A!M40</f>
        <v>0</v>
      </c>
      <c r="AE24" s="678">
        <f>Page2A!N40</f>
        <v>0</v>
      </c>
      <c r="AF24" s="689">
        <f t="shared" si="25"/>
        <v>0</v>
      </c>
      <c r="AG24" s="689">
        <f t="shared" si="12"/>
        <v>0</v>
      </c>
      <c r="AH24" s="689">
        <f t="shared" si="13"/>
        <v>0</v>
      </c>
      <c r="AI24" s="690">
        <v>0</v>
      </c>
      <c r="AJ24" s="691">
        <f t="shared" si="14"/>
        <v>0</v>
      </c>
      <c r="AK24" s="694">
        <f>Page2A!O40</f>
        <v>0</v>
      </c>
      <c r="AL24" s="678">
        <f>Page2A!P40</f>
        <v>0</v>
      </c>
      <c r="AM24" s="689">
        <f t="shared" si="26"/>
        <v>0</v>
      </c>
      <c r="AN24" s="689">
        <f t="shared" si="15"/>
        <v>0</v>
      </c>
      <c r="AO24" s="689">
        <f t="shared" si="16"/>
        <v>0</v>
      </c>
      <c r="AP24" s="690">
        <v>0</v>
      </c>
      <c r="AQ24" s="689">
        <f t="shared" si="17"/>
        <v>0</v>
      </c>
      <c r="AR24" s="694">
        <f>Page2A!Q40</f>
        <v>0</v>
      </c>
      <c r="AS24" s="678">
        <f>Page2A!R40</f>
        <v>0</v>
      </c>
      <c r="AT24" s="689">
        <f t="shared" si="27"/>
        <v>0</v>
      </c>
      <c r="AU24" s="689">
        <f t="shared" si="18"/>
        <v>0</v>
      </c>
      <c r="AV24" s="689">
        <f t="shared" si="19"/>
        <v>0</v>
      </c>
      <c r="AW24" s="690">
        <v>0</v>
      </c>
      <c r="AX24" s="691">
        <f t="shared" si="20"/>
        <v>0</v>
      </c>
    </row>
    <row r="25" spans="1:50" s="692" customFormat="1" ht="12" x14ac:dyDescent="0.2">
      <c r="A25" s="693" t="str">
        <f>Page2A!A42&amp;". "&amp;Page2A!B42</f>
        <v xml:space="preserve">17. </v>
      </c>
      <c r="B25" s="694">
        <f>Page2A!E42</f>
        <v>0</v>
      </c>
      <c r="C25" s="678">
        <f>Page2A!F42</f>
        <v>0</v>
      </c>
      <c r="D25" s="689">
        <f t="shared" si="21"/>
        <v>0</v>
      </c>
      <c r="E25" s="689">
        <f t="shared" si="0"/>
        <v>0</v>
      </c>
      <c r="F25" s="689">
        <f t="shared" si="1"/>
        <v>0</v>
      </c>
      <c r="G25" s="690">
        <v>0</v>
      </c>
      <c r="H25" s="689">
        <f t="shared" si="2"/>
        <v>0</v>
      </c>
      <c r="I25" s="694">
        <f>Page2A!G42</f>
        <v>0</v>
      </c>
      <c r="J25" s="678">
        <f>Page2A!H42</f>
        <v>0</v>
      </c>
      <c r="K25" s="689">
        <f t="shared" si="22"/>
        <v>0</v>
      </c>
      <c r="L25" s="689">
        <f t="shared" si="3"/>
        <v>0</v>
      </c>
      <c r="M25" s="689">
        <f t="shared" si="4"/>
        <v>0</v>
      </c>
      <c r="N25" s="690">
        <v>0</v>
      </c>
      <c r="O25" s="689">
        <f t="shared" si="5"/>
        <v>0</v>
      </c>
      <c r="P25" s="694">
        <f>Page2A!I42</f>
        <v>0</v>
      </c>
      <c r="Q25" s="678">
        <f>Page2A!J42</f>
        <v>0</v>
      </c>
      <c r="R25" s="689">
        <f t="shared" si="23"/>
        <v>0</v>
      </c>
      <c r="S25" s="689">
        <f t="shared" si="6"/>
        <v>0</v>
      </c>
      <c r="T25" s="689">
        <f t="shared" si="7"/>
        <v>0</v>
      </c>
      <c r="U25" s="690">
        <v>0</v>
      </c>
      <c r="V25" s="691">
        <f t="shared" si="8"/>
        <v>0</v>
      </c>
      <c r="W25" s="694">
        <f>Page2A!K42</f>
        <v>0</v>
      </c>
      <c r="X25" s="678">
        <f>Page2A!L42</f>
        <v>0</v>
      </c>
      <c r="Y25" s="689">
        <f t="shared" si="24"/>
        <v>0</v>
      </c>
      <c r="Z25" s="689">
        <f t="shared" si="9"/>
        <v>0</v>
      </c>
      <c r="AA25" s="689">
        <f t="shared" si="10"/>
        <v>0</v>
      </c>
      <c r="AB25" s="690">
        <v>0</v>
      </c>
      <c r="AC25" s="689">
        <f t="shared" si="11"/>
        <v>0</v>
      </c>
      <c r="AD25" s="694">
        <f>Page2A!M42</f>
        <v>0</v>
      </c>
      <c r="AE25" s="678">
        <f>Page2A!N42</f>
        <v>0</v>
      </c>
      <c r="AF25" s="689">
        <f t="shared" si="25"/>
        <v>0</v>
      </c>
      <c r="AG25" s="689">
        <f t="shared" si="12"/>
        <v>0</v>
      </c>
      <c r="AH25" s="689">
        <f t="shared" si="13"/>
        <v>0</v>
      </c>
      <c r="AI25" s="690">
        <v>0</v>
      </c>
      <c r="AJ25" s="691">
        <f t="shared" si="14"/>
        <v>0</v>
      </c>
      <c r="AK25" s="694">
        <f>Page2A!O42</f>
        <v>0</v>
      </c>
      <c r="AL25" s="678">
        <f>Page2A!P42</f>
        <v>0</v>
      </c>
      <c r="AM25" s="689">
        <f t="shared" si="26"/>
        <v>0</v>
      </c>
      <c r="AN25" s="689">
        <f t="shared" si="15"/>
        <v>0</v>
      </c>
      <c r="AO25" s="689">
        <f t="shared" si="16"/>
        <v>0</v>
      </c>
      <c r="AP25" s="690">
        <v>0</v>
      </c>
      <c r="AQ25" s="689">
        <f t="shared" si="17"/>
        <v>0</v>
      </c>
      <c r="AR25" s="694">
        <f>Page2A!Q42</f>
        <v>0</v>
      </c>
      <c r="AS25" s="678">
        <f>Page2A!R42</f>
        <v>0</v>
      </c>
      <c r="AT25" s="689">
        <f t="shared" si="27"/>
        <v>0</v>
      </c>
      <c r="AU25" s="689">
        <f t="shared" si="18"/>
        <v>0</v>
      </c>
      <c r="AV25" s="689">
        <f t="shared" si="19"/>
        <v>0</v>
      </c>
      <c r="AW25" s="690">
        <v>0</v>
      </c>
      <c r="AX25" s="691">
        <f t="shared" si="20"/>
        <v>0</v>
      </c>
    </row>
    <row r="26" spans="1:50" s="692" customFormat="1" ht="12" x14ac:dyDescent="0.2">
      <c r="A26" s="693" t="str">
        <f>Page2A!A44&amp;". "&amp;Page2A!B44</f>
        <v xml:space="preserve">18. </v>
      </c>
      <c r="B26" s="694">
        <f>Page2A!E44</f>
        <v>0</v>
      </c>
      <c r="C26" s="678">
        <f>Page2A!F44</f>
        <v>0</v>
      </c>
      <c r="D26" s="689">
        <f t="shared" si="21"/>
        <v>0</v>
      </c>
      <c r="E26" s="689">
        <f t="shared" si="0"/>
        <v>0</v>
      </c>
      <c r="F26" s="689">
        <f t="shared" si="1"/>
        <v>0</v>
      </c>
      <c r="G26" s="690">
        <v>0</v>
      </c>
      <c r="H26" s="689">
        <f t="shared" si="2"/>
        <v>0</v>
      </c>
      <c r="I26" s="694">
        <f>Page2A!G44</f>
        <v>0</v>
      </c>
      <c r="J26" s="678">
        <f>Page2A!H44</f>
        <v>0</v>
      </c>
      <c r="K26" s="689">
        <f t="shared" si="22"/>
        <v>0</v>
      </c>
      <c r="L26" s="689">
        <f t="shared" si="3"/>
        <v>0</v>
      </c>
      <c r="M26" s="689">
        <f t="shared" si="4"/>
        <v>0</v>
      </c>
      <c r="N26" s="690">
        <v>0</v>
      </c>
      <c r="O26" s="689">
        <f t="shared" si="5"/>
        <v>0</v>
      </c>
      <c r="P26" s="694">
        <f>Page2A!I44</f>
        <v>0</v>
      </c>
      <c r="Q26" s="678">
        <f>Page2A!J44</f>
        <v>0</v>
      </c>
      <c r="R26" s="689">
        <f t="shared" si="23"/>
        <v>0</v>
      </c>
      <c r="S26" s="689">
        <f t="shared" si="6"/>
        <v>0</v>
      </c>
      <c r="T26" s="689">
        <f t="shared" si="7"/>
        <v>0</v>
      </c>
      <c r="U26" s="690">
        <v>0</v>
      </c>
      <c r="V26" s="691">
        <f t="shared" si="8"/>
        <v>0</v>
      </c>
      <c r="W26" s="694">
        <f>Page2A!K44</f>
        <v>0</v>
      </c>
      <c r="X26" s="678">
        <f>Page2A!L44</f>
        <v>0</v>
      </c>
      <c r="Y26" s="689">
        <f t="shared" si="24"/>
        <v>0</v>
      </c>
      <c r="Z26" s="689">
        <f t="shared" si="9"/>
        <v>0</v>
      </c>
      <c r="AA26" s="689">
        <f t="shared" si="10"/>
        <v>0</v>
      </c>
      <c r="AB26" s="690">
        <v>0</v>
      </c>
      <c r="AC26" s="689">
        <f t="shared" si="11"/>
        <v>0</v>
      </c>
      <c r="AD26" s="694">
        <f>Page2A!M44</f>
        <v>0</v>
      </c>
      <c r="AE26" s="678">
        <f>Page2A!N44</f>
        <v>0</v>
      </c>
      <c r="AF26" s="689">
        <f t="shared" si="25"/>
        <v>0</v>
      </c>
      <c r="AG26" s="689">
        <f t="shared" si="12"/>
        <v>0</v>
      </c>
      <c r="AH26" s="689">
        <f t="shared" si="13"/>
        <v>0</v>
      </c>
      <c r="AI26" s="690">
        <v>0</v>
      </c>
      <c r="AJ26" s="691">
        <f t="shared" si="14"/>
        <v>0</v>
      </c>
      <c r="AK26" s="694">
        <f>Page2A!O44</f>
        <v>0</v>
      </c>
      <c r="AL26" s="678">
        <f>Page2A!P44</f>
        <v>0</v>
      </c>
      <c r="AM26" s="689">
        <f t="shared" si="26"/>
        <v>0</v>
      </c>
      <c r="AN26" s="689">
        <f t="shared" si="15"/>
        <v>0</v>
      </c>
      <c r="AO26" s="689">
        <f t="shared" si="16"/>
        <v>0</v>
      </c>
      <c r="AP26" s="690">
        <v>0</v>
      </c>
      <c r="AQ26" s="689">
        <f t="shared" si="17"/>
        <v>0</v>
      </c>
      <c r="AR26" s="694">
        <f>Page2A!Q44</f>
        <v>0</v>
      </c>
      <c r="AS26" s="678">
        <f>Page2A!R44</f>
        <v>0</v>
      </c>
      <c r="AT26" s="689">
        <f t="shared" si="27"/>
        <v>0</v>
      </c>
      <c r="AU26" s="689">
        <f t="shared" si="18"/>
        <v>0</v>
      </c>
      <c r="AV26" s="689">
        <f t="shared" si="19"/>
        <v>0</v>
      </c>
      <c r="AW26" s="690">
        <v>0</v>
      </c>
      <c r="AX26" s="691">
        <f t="shared" si="20"/>
        <v>0</v>
      </c>
    </row>
    <row r="27" spans="1:50" s="692" customFormat="1" ht="12" x14ac:dyDescent="0.2">
      <c r="A27" s="693" t="str">
        <f>Page2A!A46&amp;". "&amp;Page2A!B46</f>
        <v xml:space="preserve">19. </v>
      </c>
      <c r="B27" s="694">
        <f>Page2A!E46</f>
        <v>0</v>
      </c>
      <c r="C27" s="678">
        <f>Page2A!F46</f>
        <v>0</v>
      </c>
      <c r="D27" s="689">
        <f t="shared" si="21"/>
        <v>0</v>
      </c>
      <c r="E27" s="689">
        <f t="shared" si="0"/>
        <v>0</v>
      </c>
      <c r="F27" s="689">
        <f t="shared" si="1"/>
        <v>0</v>
      </c>
      <c r="G27" s="690">
        <v>0</v>
      </c>
      <c r="H27" s="689">
        <f t="shared" si="2"/>
        <v>0</v>
      </c>
      <c r="I27" s="694">
        <f>Page2A!G46</f>
        <v>0</v>
      </c>
      <c r="J27" s="678">
        <f>Page2A!H46</f>
        <v>0</v>
      </c>
      <c r="K27" s="689">
        <f t="shared" si="22"/>
        <v>0</v>
      </c>
      <c r="L27" s="689">
        <f t="shared" si="3"/>
        <v>0</v>
      </c>
      <c r="M27" s="689">
        <f t="shared" si="4"/>
        <v>0</v>
      </c>
      <c r="N27" s="690">
        <v>0</v>
      </c>
      <c r="O27" s="689">
        <f t="shared" si="5"/>
        <v>0</v>
      </c>
      <c r="P27" s="694">
        <f>Page2A!I46</f>
        <v>0</v>
      </c>
      <c r="Q27" s="678">
        <f>Page2A!J46</f>
        <v>0</v>
      </c>
      <c r="R27" s="689">
        <f t="shared" si="23"/>
        <v>0</v>
      </c>
      <c r="S27" s="689">
        <f t="shared" si="6"/>
        <v>0</v>
      </c>
      <c r="T27" s="689">
        <f t="shared" si="7"/>
        <v>0</v>
      </c>
      <c r="U27" s="690">
        <v>0</v>
      </c>
      <c r="V27" s="691">
        <f t="shared" si="8"/>
        <v>0</v>
      </c>
      <c r="W27" s="694">
        <f>Page2A!K46</f>
        <v>0</v>
      </c>
      <c r="X27" s="678">
        <f>Page2A!L46</f>
        <v>0</v>
      </c>
      <c r="Y27" s="689">
        <f t="shared" si="24"/>
        <v>0</v>
      </c>
      <c r="Z27" s="689">
        <f t="shared" si="9"/>
        <v>0</v>
      </c>
      <c r="AA27" s="689">
        <f t="shared" si="10"/>
        <v>0</v>
      </c>
      <c r="AB27" s="690">
        <v>0</v>
      </c>
      <c r="AC27" s="689">
        <f t="shared" si="11"/>
        <v>0</v>
      </c>
      <c r="AD27" s="694">
        <f>Page2A!M46</f>
        <v>0</v>
      </c>
      <c r="AE27" s="678">
        <f>Page2A!N46</f>
        <v>0</v>
      </c>
      <c r="AF27" s="689">
        <f t="shared" si="25"/>
        <v>0</v>
      </c>
      <c r="AG27" s="689">
        <f t="shared" si="12"/>
        <v>0</v>
      </c>
      <c r="AH27" s="689">
        <f t="shared" si="13"/>
        <v>0</v>
      </c>
      <c r="AI27" s="690">
        <v>0</v>
      </c>
      <c r="AJ27" s="691">
        <f t="shared" si="14"/>
        <v>0</v>
      </c>
      <c r="AK27" s="694">
        <f>Page2A!O46</f>
        <v>0</v>
      </c>
      <c r="AL27" s="678">
        <f>Page2A!P46</f>
        <v>0</v>
      </c>
      <c r="AM27" s="689">
        <f t="shared" si="26"/>
        <v>0</v>
      </c>
      <c r="AN27" s="689">
        <f t="shared" si="15"/>
        <v>0</v>
      </c>
      <c r="AO27" s="689">
        <f t="shared" si="16"/>
        <v>0</v>
      </c>
      <c r="AP27" s="690">
        <v>0</v>
      </c>
      <c r="AQ27" s="689">
        <f t="shared" si="17"/>
        <v>0</v>
      </c>
      <c r="AR27" s="694">
        <f>Page2A!Q46</f>
        <v>0</v>
      </c>
      <c r="AS27" s="678">
        <f>Page2A!R46</f>
        <v>0</v>
      </c>
      <c r="AT27" s="689">
        <f t="shared" si="27"/>
        <v>0</v>
      </c>
      <c r="AU27" s="689">
        <f t="shared" si="18"/>
        <v>0</v>
      </c>
      <c r="AV27" s="689">
        <f t="shared" si="19"/>
        <v>0</v>
      </c>
      <c r="AW27" s="690">
        <v>0</v>
      </c>
      <c r="AX27" s="691">
        <f t="shared" si="20"/>
        <v>0</v>
      </c>
    </row>
    <row r="28" spans="1:50" s="692" customFormat="1" ht="12" x14ac:dyDescent="0.2">
      <c r="A28" s="693" t="str">
        <f>Page2A!A48&amp;". "&amp;Page2A!B48</f>
        <v xml:space="preserve">20. </v>
      </c>
      <c r="B28" s="694">
        <f>Page2A!E48</f>
        <v>0</v>
      </c>
      <c r="C28" s="678">
        <f>Page2A!F48</f>
        <v>0</v>
      </c>
      <c r="D28" s="689">
        <f t="shared" si="21"/>
        <v>0</v>
      </c>
      <c r="E28" s="689">
        <f t="shared" si="0"/>
        <v>0</v>
      </c>
      <c r="F28" s="689">
        <f t="shared" si="1"/>
        <v>0</v>
      </c>
      <c r="G28" s="690">
        <v>0</v>
      </c>
      <c r="H28" s="689">
        <f t="shared" si="2"/>
        <v>0</v>
      </c>
      <c r="I28" s="694">
        <f>Page2A!G48</f>
        <v>0</v>
      </c>
      <c r="J28" s="678">
        <f>Page2A!H48</f>
        <v>0</v>
      </c>
      <c r="K28" s="689">
        <f t="shared" si="22"/>
        <v>0</v>
      </c>
      <c r="L28" s="689">
        <f t="shared" si="3"/>
        <v>0</v>
      </c>
      <c r="M28" s="689">
        <f t="shared" si="4"/>
        <v>0</v>
      </c>
      <c r="N28" s="690">
        <v>0</v>
      </c>
      <c r="O28" s="689">
        <f t="shared" si="5"/>
        <v>0</v>
      </c>
      <c r="P28" s="694">
        <f>Page2A!I48</f>
        <v>0</v>
      </c>
      <c r="Q28" s="678">
        <f>Page2A!J48</f>
        <v>0</v>
      </c>
      <c r="R28" s="689">
        <f t="shared" si="23"/>
        <v>0</v>
      </c>
      <c r="S28" s="689">
        <f t="shared" si="6"/>
        <v>0</v>
      </c>
      <c r="T28" s="689">
        <f t="shared" si="7"/>
        <v>0</v>
      </c>
      <c r="U28" s="690">
        <v>0</v>
      </c>
      <c r="V28" s="691">
        <f t="shared" si="8"/>
        <v>0</v>
      </c>
      <c r="W28" s="694">
        <f>Page2A!K48</f>
        <v>0</v>
      </c>
      <c r="X28" s="678">
        <f>Page2A!L48</f>
        <v>0</v>
      </c>
      <c r="Y28" s="689">
        <f t="shared" si="24"/>
        <v>0</v>
      </c>
      <c r="Z28" s="689">
        <f t="shared" si="9"/>
        <v>0</v>
      </c>
      <c r="AA28" s="689">
        <f t="shared" si="10"/>
        <v>0</v>
      </c>
      <c r="AB28" s="690">
        <v>0</v>
      </c>
      <c r="AC28" s="689">
        <f t="shared" si="11"/>
        <v>0</v>
      </c>
      <c r="AD28" s="694">
        <f>Page2A!M48</f>
        <v>0</v>
      </c>
      <c r="AE28" s="678">
        <f>Page2A!N48</f>
        <v>0</v>
      </c>
      <c r="AF28" s="689">
        <f t="shared" si="25"/>
        <v>0</v>
      </c>
      <c r="AG28" s="689">
        <f t="shared" si="12"/>
        <v>0</v>
      </c>
      <c r="AH28" s="689">
        <f t="shared" si="13"/>
        <v>0</v>
      </c>
      <c r="AI28" s="690">
        <v>0</v>
      </c>
      <c r="AJ28" s="691">
        <f t="shared" si="14"/>
        <v>0</v>
      </c>
      <c r="AK28" s="694">
        <f>Page2A!O48</f>
        <v>0</v>
      </c>
      <c r="AL28" s="678">
        <f>Page2A!P48</f>
        <v>0</v>
      </c>
      <c r="AM28" s="689">
        <f t="shared" si="26"/>
        <v>0</v>
      </c>
      <c r="AN28" s="689">
        <f t="shared" si="15"/>
        <v>0</v>
      </c>
      <c r="AO28" s="689">
        <f t="shared" si="16"/>
        <v>0</v>
      </c>
      <c r="AP28" s="690">
        <v>0</v>
      </c>
      <c r="AQ28" s="689">
        <f t="shared" si="17"/>
        <v>0</v>
      </c>
      <c r="AR28" s="694">
        <f>Page2A!Q48</f>
        <v>0</v>
      </c>
      <c r="AS28" s="678">
        <f>Page2A!R48</f>
        <v>0</v>
      </c>
      <c r="AT28" s="689">
        <f t="shared" si="27"/>
        <v>0</v>
      </c>
      <c r="AU28" s="689">
        <f t="shared" si="18"/>
        <v>0</v>
      </c>
      <c r="AV28" s="689">
        <f t="shared" si="19"/>
        <v>0</v>
      </c>
      <c r="AW28" s="690">
        <v>0</v>
      </c>
      <c r="AX28" s="691">
        <f t="shared" si="20"/>
        <v>0</v>
      </c>
    </row>
    <row r="29" spans="1:50" s="692" customFormat="1" ht="12" x14ac:dyDescent="0.2">
      <c r="A29" s="693" t="str">
        <f>Page2A!A50&amp;". "&amp;Page2A!B50</f>
        <v xml:space="preserve">21. </v>
      </c>
      <c r="B29" s="694">
        <f>Page2A!E50</f>
        <v>0</v>
      </c>
      <c r="C29" s="678">
        <f>Page2A!F50</f>
        <v>0</v>
      </c>
      <c r="D29" s="689">
        <f t="shared" si="21"/>
        <v>0</v>
      </c>
      <c r="E29" s="689">
        <f t="shared" si="0"/>
        <v>0</v>
      </c>
      <c r="F29" s="689">
        <f t="shared" si="1"/>
        <v>0</v>
      </c>
      <c r="G29" s="690">
        <v>0</v>
      </c>
      <c r="H29" s="689">
        <f t="shared" si="2"/>
        <v>0</v>
      </c>
      <c r="I29" s="694">
        <f>Page2A!G50</f>
        <v>0</v>
      </c>
      <c r="J29" s="678">
        <f>Page2A!H50</f>
        <v>0</v>
      </c>
      <c r="K29" s="689">
        <f t="shared" si="22"/>
        <v>0</v>
      </c>
      <c r="L29" s="689">
        <f t="shared" si="3"/>
        <v>0</v>
      </c>
      <c r="M29" s="689">
        <f t="shared" si="4"/>
        <v>0</v>
      </c>
      <c r="N29" s="690">
        <v>0</v>
      </c>
      <c r="O29" s="689">
        <f t="shared" si="5"/>
        <v>0</v>
      </c>
      <c r="P29" s="694">
        <f>Page2A!I50</f>
        <v>0</v>
      </c>
      <c r="Q29" s="678">
        <f>Page2A!J50</f>
        <v>0</v>
      </c>
      <c r="R29" s="689">
        <f t="shared" si="23"/>
        <v>0</v>
      </c>
      <c r="S29" s="689">
        <f t="shared" si="6"/>
        <v>0</v>
      </c>
      <c r="T29" s="689">
        <f t="shared" si="7"/>
        <v>0</v>
      </c>
      <c r="U29" s="690">
        <v>0</v>
      </c>
      <c r="V29" s="691">
        <f t="shared" si="8"/>
        <v>0</v>
      </c>
      <c r="W29" s="694">
        <f>Page2A!K50</f>
        <v>0</v>
      </c>
      <c r="X29" s="678">
        <f>Page2A!L50</f>
        <v>0</v>
      </c>
      <c r="Y29" s="689">
        <f t="shared" si="24"/>
        <v>0</v>
      </c>
      <c r="Z29" s="689">
        <f t="shared" si="9"/>
        <v>0</v>
      </c>
      <c r="AA29" s="689">
        <f t="shared" si="10"/>
        <v>0</v>
      </c>
      <c r="AB29" s="690">
        <v>0</v>
      </c>
      <c r="AC29" s="689">
        <f t="shared" si="11"/>
        <v>0</v>
      </c>
      <c r="AD29" s="694">
        <f>Page2A!M50</f>
        <v>0</v>
      </c>
      <c r="AE29" s="678">
        <f>Page2A!N50</f>
        <v>0</v>
      </c>
      <c r="AF29" s="689">
        <f t="shared" si="25"/>
        <v>0</v>
      </c>
      <c r="AG29" s="689">
        <f t="shared" si="12"/>
        <v>0</v>
      </c>
      <c r="AH29" s="689">
        <f t="shared" si="13"/>
        <v>0</v>
      </c>
      <c r="AI29" s="690">
        <v>0</v>
      </c>
      <c r="AJ29" s="691">
        <f t="shared" si="14"/>
        <v>0</v>
      </c>
      <c r="AK29" s="694">
        <f>Page2A!O50</f>
        <v>0</v>
      </c>
      <c r="AL29" s="678">
        <f>Page2A!P50</f>
        <v>0</v>
      </c>
      <c r="AM29" s="689">
        <f t="shared" si="26"/>
        <v>0</v>
      </c>
      <c r="AN29" s="689">
        <f t="shared" si="15"/>
        <v>0</v>
      </c>
      <c r="AO29" s="689">
        <f t="shared" si="16"/>
        <v>0</v>
      </c>
      <c r="AP29" s="690">
        <v>0</v>
      </c>
      <c r="AQ29" s="689">
        <f t="shared" si="17"/>
        <v>0</v>
      </c>
      <c r="AR29" s="694">
        <f>Page2A!Q50</f>
        <v>0</v>
      </c>
      <c r="AS29" s="678">
        <f>Page2A!R50</f>
        <v>0</v>
      </c>
      <c r="AT29" s="689">
        <f t="shared" si="27"/>
        <v>0</v>
      </c>
      <c r="AU29" s="689">
        <f t="shared" si="18"/>
        <v>0</v>
      </c>
      <c r="AV29" s="689">
        <f t="shared" si="19"/>
        <v>0</v>
      </c>
      <c r="AW29" s="690">
        <v>0</v>
      </c>
      <c r="AX29" s="691">
        <f t="shared" si="20"/>
        <v>0</v>
      </c>
    </row>
    <row r="30" spans="1:50" s="692" customFormat="1" ht="12" x14ac:dyDescent="0.2">
      <c r="A30" s="695" t="str">
        <f>Page2A!A52&amp;". "&amp;Page2A!B52</f>
        <v xml:space="preserve">22. </v>
      </c>
      <c r="B30" s="696">
        <f>Page2A!E52</f>
        <v>0</v>
      </c>
      <c r="C30" s="697">
        <f>Page2A!F52</f>
        <v>0</v>
      </c>
      <c r="D30" s="698">
        <f t="shared" si="21"/>
        <v>0</v>
      </c>
      <c r="E30" s="698">
        <f t="shared" si="0"/>
        <v>0</v>
      </c>
      <c r="F30" s="698">
        <f t="shared" si="1"/>
        <v>0</v>
      </c>
      <c r="G30" s="699">
        <v>0</v>
      </c>
      <c r="H30" s="698">
        <f t="shared" si="2"/>
        <v>0</v>
      </c>
      <c r="I30" s="696">
        <f>Page2A!G52</f>
        <v>0</v>
      </c>
      <c r="J30" s="697">
        <f>Page2A!H52</f>
        <v>0</v>
      </c>
      <c r="K30" s="698">
        <f t="shared" si="22"/>
        <v>0</v>
      </c>
      <c r="L30" s="698">
        <f t="shared" si="3"/>
        <v>0</v>
      </c>
      <c r="M30" s="698">
        <f t="shared" si="4"/>
        <v>0</v>
      </c>
      <c r="N30" s="699">
        <v>0</v>
      </c>
      <c r="O30" s="698">
        <f t="shared" si="5"/>
        <v>0</v>
      </c>
      <c r="P30" s="696">
        <f>Page2A!I52</f>
        <v>0</v>
      </c>
      <c r="Q30" s="697">
        <f>Page2A!J52</f>
        <v>0</v>
      </c>
      <c r="R30" s="698">
        <f t="shared" si="23"/>
        <v>0</v>
      </c>
      <c r="S30" s="698">
        <f t="shared" si="6"/>
        <v>0</v>
      </c>
      <c r="T30" s="698">
        <f t="shared" si="7"/>
        <v>0</v>
      </c>
      <c r="U30" s="699">
        <v>0</v>
      </c>
      <c r="V30" s="700">
        <f t="shared" si="8"/>
        <v>0</v>
      </c>
      <c r="W30" s="696">
        <f>Page2A!K52</f>
        <v>0</v>
      </c>
      <c r="X30" s="697">
        <f>Page2A!L52</f>
        <v>0</v>
      </c>
      <c r="Y30" s="698">
        <f t="shared" si="24"/>
        <v>0</v>
      </c>
      <c r="Z30" s="698">
        <f t="shared" si="9"/>
        <v>0</v>
      </c>
      <c r="AA30" s="698">
        <f t="shared" si="10"/>
        <v>0</v>
      </c>
      <c r="AB30" s="699">
        <v>0</v>
      </c>
      <c r="AC30" s="698">
        <f t="shared" si="11"/>
        <v>0</v>
      </c>
      <c r="AD30" s="696">
        <f>Page2A!M52</f>
        <v>0</v>
      </c>
      <c r="AE30" s="697">
        <f>Page2A!N52</f>
        <v>0</v>
      </c>
      <c r="AF30" s="698">
        <f t="shared" si="25"/>
        <v>0</v>
      </c>
      <c r="AG30" s="698">
        <f t="shared" si="12"/>
        <v>0</v>
      </c>
      <c r="AH30" s="698">
        <f t="shared" si="13"/>
        <v>0</v>
      </c>
      <c r="AI30" s="699">
        <v>0</v>
      </c>
      <c r="AJ30" s="700">
        <f t="shared" si="14"/>
        <v>0</v>
      </c>
      <c r="AK30" s="696">
        <f>Page2A!O52</f>
        <v>0</v>
      </c>
      <c r="AL30" s="697">
        <f>Page2A!P52</f>
        <v>0</v>
      </c>
      <c r="AM30" s="698">
        <f t="shared" si="26"/>
        <v>0</v>
      </c>
      <c r="AN30" s="698">
        <f t="shared" si="15"/>
        <v>0</v>
      </c>
      <c r="AO30" s="698">
        <f t="shared" si="16"/>
        <v>0</v>
      </c>
      <c r="AP30" s="699">
        <v>0</v>
      </c>
      <c r="AQ30" s="698">
        <f t="shared" si="17"/>
        <v>0</v>
      </c>
      <c r="AR30" s="696">
        <f>Page2A!Q52</f>
        <v>0</v>
      </c>
      <c r="AS30" s="697">
        <f>Page2A!R52</f>
        <v>0</v>
      </c>
      <c r="AT30" s="698">
        <f t="shared" si="27"/>
        <v>0</v>
      </c>
      <c r="AU30" s="698">
        <f t="shared" si="18"/>
        <v>0</v>
      </c>
      <c r="AV30" s="698">
        <f t="shared" si="19"/>
        <v>0</v>
      </c>
      <c r="AW30" s="699">
        <v>0</v>
      </c>
      <c r="AX30" s="700">
        <f t="shared" si="20"/>
        <v>0</v>
      </c>
    </row>
  </sheetData>
  <sheetProtection password="DCF0" sheet="1" objects="1" scenarios="1"/>
  <mergeCells count="10">
    <mergeCell ref="AR6:AX6"/>
    <mergeCell ref="A1:V1"/>
    <mergeCell ref="A2:V2"/>
    <mergeCell ref="A3:V3"/>
    <mergeCell ref="B6:H6"/>
    <mergeCell ref="I6:O6"/>
    <mergeCell ref="P6:V6"/>
    <mergeCell ref="W6:AC6"/>
    <mergeCell ref="AD6:AJ6"/>
    <mergeCell ref="AK6:AQ6"/>
  </mergeCells>
  <pageMargins left="0.35433070866141736" right="0.39370078740157483" top="0.47244094488188981" bottom="0.62992125984251968" header="0.31496062992125984" footer="0.31496062992125984"/>
  <pageSetup paperSize="5" scale="74" fitToWidth="2" orientation="landscape" r:id="rId1"/>
  <headerFooter>
    <oddFooter>&amp;L&amp;F  
Tab: FGT&amp;A&amp;CPrinted: &amp;D &amp;T&amp;RPage &amp;P of &amp;N</oddFooter>
  </headerFooter>
  <colBreaks count="2" manualBreakCount="2">
    <brk id="22" max="1048575" man="1"/>
    <brk id="36" max="1048575" man="1"/>
  </col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17"/>
  <sheetViews>
    <sheetView showGridLines="0" tabSelected="1" view="pageBreakPreview" zoomScale="80" zoomScaleNormal="100" zoomScaleSheetLayoutView="80" workbookViewId="0">
      <pane xSplit="1" ySplit="7" topLeftCell="B8" activePane="bottomRight" state="frozen"/>
      <selection activeCell="A4" sqref="A4:O4"/>
      <selection pane="topRight" activeCell="A4" sqref="A4:O4"/>
      <selection pane="bottomLeft" activeCell="A4" sqref="A4:O4"/>
      <selection pane="bottomRight" activeCell="F29" sqref="F29"/>
    </sheetView>
  </sheetViews>
  <sheetFormatPr defaultColWidth="9.140625" defaultRowHeight="14.25" outlineLevelCol="1" x14ac:dyDescent="0.3"/>
  <cols>
    <col min="1" max="1" width="3.5703125" style="142" customWidth="1"/>
    <col min="2" max="2" width="21.28515625" style="143" customWidth="1"/>
    <col min="3" max="3" width="16.85546875" style="143" customWidth="1"/>
    <col min="4" max="4" width="22.5703125" style="143" customWidth="1"/>
    <col min="5" max="5" width="20.140625" style="144" bestFit="1" customWidth="1"/>
    <col min="6" max="6" width="21.140625" style="144" customWidth="1"/>
    <col min="7" max="7" width="17.28515625" style="143" customWidth="1"/>
    <col min="8" max="8" width="3.5703125" style="147" customWidth="1"/>
    <col min="9" max="9" width="17.140625" style="1018" hidden="1" customWidth="1" outlineLevel="1"/>
    <col min="10" max="10" width="14.28515625" style="1018" hidden="1" customWidth="1" outlineLevel="1"/>
    <col min="11" max="15" width="14.7109375" style="1018" hidden="1" customWidth="1" outlineLevel="1"/>
    <col min="16" max="16" width="11.42578125" style="1018" hidden="1" customWidth="1" outlineLevel="1"/>
    <col min="17" max="17" width="9.140625" style="145" collapsed="1"/>
    <col min="18" max="16384" width="9.140625" style="143"/>
  </cols>
  <sheetData>
    <row r="1" spans="1:25" s="141" customFormat="1" ht="12.75" customHeight="1" x14ac:dyDescent="0.2">
      <c r="A1" s="1396" t="str">
        <f>Instructions!C2</f>
        <v>Funding Template Version of 1Apr13</v>
      </c>
      <c r="B1" s="1396"/>
      <c r="C1" s="1396"/>
      <c r="D1" s="1396"/>
      <c r="E1" s="1396"/>
      <c r="F1" s="1396"/>
      <c r="G1" s="1396"/>
      <c r="H1" s="140"/>
      <c r="I1" s="992" t="s">
        <v>112</v>
      </c>
      <c r="J1" s="1010">
        <f>Page1!D15</f>
        <v>1</v>
      </c>
      <c r="K1" s="992"/>
      <c r="L1" s="992"/>
      <c r="M1" s="992"/>
      <c r="N1" s="992"/>
      <c r="O1" s="992"/>
      <c r="P1" s="992"/>
    </row>
    <row r="2" spans="1:25" s="141" customFormat="1" ht="23.25" customHeight="1" x14ac:dyDescent="0.3">
      <c r="A2" s="1275" t="str">
        <f>Instructions!C3</f>
        <v>Funding Template - Union</v>
      </c>
      <c r="B2" s="1275"/>
      <c r="C2" s="1275"/>
      <c r="D2" s="1275"/>
      <c r="E2" s="1275"/>
      <c r="F2" s="1275"/>
      <c r="G2" s="1275"/>
      <c r="H2" s="140"/>
      <c r="I2" s="992" t="s">
        <v>108</v>
      </c>
      <c r="J2" s="1009" t="str">
        <f>Page1!N1</f>
        <v>Union</v>
      </c>
      <c r="K2" s="992"/>
      <c r="L2" s="992"/>
      <c r="M2" s="992"/>
      <c r="N2" s="992"/>
      <c r="O2" s="992"/>
      <c r="P2" s="992"/>
    </row>
    <row r="3" spans="1:25" s="141" customFormat="1" ht="16.5" x14ac:dyDescent="0.25">
      <c r="A3" s="1276" t="s">
        <v>314</v>
      </c>
      <c r="B3" s="1276"/>
      <c r="C3" s="1276"/>
      <c r="D3" s="1276"/>
      <c r="E3" s="1276"/>
      <c r="F3" s="1276"/>
      <c r="G3" s="1276"/>
      <c r="H3" s="140"/>
      <c r="I3" s="992" t="s">
        <v>90</v>
      </c>
      <c r="J3" s="1009" t="str">
        <f>Page1!J13</f>
        <v>Non-Residential</v>
      </c>
      <c r="K3" s="992"/>
      <c r="L3" s="992"/>
      <c r="M3" s="992"/>
      <c r="N3" s="992"/>
      <c r="O3" s="992"/>
      <c r="P3" s="992"/>
    </row>
    <row r="4" spans="1:25" s="141" customFormat="1" ht="13.15" customHeight="1" x14ac:dyDescent="0.3">
      <c r="A4" s="775"/>
      <c r="C4" s="1344" t="str">
        <f>Page1!D7</f>
        <v>Burnaby Assocication for Community Inclusion</v>
      </c>
      <c r="D4" s="1344"/>
      <c r="E4" s="1344"/>
      <c r="F4" s="1344"/>
      <c r="H4" s="140"/>
      <c r="I4" s="992" t="s">
        <v>816</v>
      </c>
      <c r="J4" s="1009" t="str">
        <f>Page1!J17</f>
        <v>No</v>
      </c>
      <c r="K4" s="992"/>
      <c r="L4" s="992"/>
      <c r="M4" s="992"/>
      <c r="N4" s="992"/>
      <c r="O4" s="992"/>
      <c r="P4" s="992"/>
    </row>
    <row r="5" spans="1:25" x14ac:dyDescent="0.3">
      <c r="A5" s="142" t="s">
        <v>408</v>
      </c>
      <c r="C5" s="1344">
        <f>Page1!D9</f>
        <v>0</v>
      </c>
      <c r="D5" s="1344"/>
      <c r="E5" s="1344"/>
      <c r="F5" s="1344"/>
      <c r="I5" s="992" t="s">
        <v>256</v>
      </c>
      <c r="J5" s="1017">
        <f>Page5!C36</f>
        <v>0</v>
      </c>
    </row>
    <row r="6" spans="1:25" ht="15.75" x14ac:dyDescent="0.25">
      <c r="A6" s="148" t="s">
        <v>36</v>
      </c>
      <c r="B6" s="1408" t="s">
        <v>39</v>
      </c>
      <c r="C6" s="1409"/>
      <c r="D6" s="1409"/>
      <c r="E6" s="1409"/>
      <c r="F6" s="1409"/>
      <c r="G6" s="1410"/>
      <c r="H6" s="149" t="s">
        <v>36</v>
      </c>
      <c r="I6" s="1019"/>
      <c r="J6" s="1019"/>
      <c r="K6" s="1019"/>
      <c r="L6" s="1019"/>
      <c r="M6" s="1019"/>
      <c r="N6" s="1019"/>
      <c r="O6" s="1019"/>
      <c r="P6" s="1019"/>
      <c r="Q6" s="150" t="s">
        <v>780</v>
      </c>
      <c r="R6" s="151"/>
      <c r="S6" s="152"/>
      <c r="T6" s="152"/>
      <c r="U6" s="152"/>
      <c r="V6" s="152"/>
      <c r="W6" s="152"/>
      <c r="X6" s="152"/>
      <c r="Y6" s="153"/>
    </row>
    <row r="7" spans="1:25" ht="13.5" x14ac:dyDescent="0.25">
      <c r="A7" s="154" t="s">
        <v>26</v>
      </c>
      <c r="B7" s="1405"/>
      <c r="C7" s="1406"/>
      <c r="D7" s="1407"/>
      <c r="E7" s="466" t="s">
        <v>0</v>
      </c>
      <c r="F7" s="466" t="s">
        <v>1</v>
      </c>
      <c r="G7" s="467" t="s">
        <v>33</v>
      </c>
      <c r="H7" s="155" t="s">
        <v>26</v>
      </c>
      <c r="I7" s="1020"/>
      <c r="J7" s="1020"/>
      <c r="K7" s="1020"/>
      <c r="L7" s="1020"/>
      <c r="M7" s="1020"/>
      <c r="N7" s="1020"/>
      <c r="O7" s="1020"/>
      <c r="P7" s="1020"/>
      <c r="Q7" s="1397" t="s">
        <v>29</v>
      </c>
      <c r="R7" s="1398"/>
      <c r="S7" s="157"/>
      <c r="T7" s="157"/>
      <c r="U7" s="157"/>
      <c r="V7" s="157"/>
      <c r="W7" s="157"/>
      <c r="X7" s="157"/>
      <c r="Y7" s="158"/>
    </row>
    <row r="8" spans="1:25" ht="13.5" x14ac:dyDescent="0.25">
      <c r="A8" s="159"/>
      <c r="B8" s="1405" t="s">
        <v>46</v>
      </c>
      <c r="C8" s="1406"/>
      <c r="D8" s="1406"/>
      <c r="E8" s="1406"/>
      <c r="F8" s="1406"/>
      <c r="G8" s="1407"/>
      <c r="H8" s="155"/>
      <c r="I8" s="1020"/>
      <c r="J8" s="1020"/>
      <c r="K8" s="1020"/>
      <c r="L8" s="1020"/>
      <c r="M8" s="1020"/>
      <c r="N8" s="1020"/>
      <c r="O8" s="1020"/>
      <c r="P8" s="1020"/>
      <c r="Q8" s="156"/>
      <c r="R8" s="157"/>
      <c r="S8" s="157"/>
      <c r="T8" s="157"/>
      <c r="U8" s="157"/>
      <c r="V8" s="157"/>
      <c r="W8" s="157"/>
      <c r="X8" s="157"/>
      <c r="Y8" s="158"/>
    </row>
    <row r="9" spans="1:25" x14ac:dyDescent="0.3">
      <c r="A9" s="160">
        <v>1</v>
      </c>
      <c r="B9" s="161" t="s">
        <v>42</v>
      </c>
      <c r="C9" s="162"/>
      <c r="D9" s="163"/>
      <c r="E9" s="396">
        <f>Page5!G36</f>
        <v>0</v>
      </c>
      <c r="F9" s="396">
        <f>Page5!H36</f>
        <v>0</v>
      </c>
      <c r="G9" s="435">
        <f>IF(F9&gt;0,F9/$F$78,0)</f>
        <v>0</v>
      </c>
      <c r="H9" s="160">
        <f t="shared" ref="H9:H25" si="0">A9</f>
        <v>1</v>
      </c>
      <c r="I9" s="1021"/>
      <c r="J9" s="1021"/>
      <c r="K9" s="1021"/>
      <c r="L9" s="1021"/>
      <c r="M9" s="1021"/>
      <c r="N9" s="1021"/>
      <c r="O9" s="1021"/>
      <c r="P9" s="1021"/>
      <c r="Q9" s="1392"/>
      <c r="R9" s="1393"/>
      <c r="S9" s="1393"/>
      <c r="T9" s="1393"/>
      <c r="U9" s="1393"/>
      <c r="V9" s="1393"/>
      <c r="W9" s="1393"/>
      <c r="X9" s="1393"/>
      <c r="Y9" s="1394"/>
    </row>
    <row r="10" spans="1:25" x14ac:dyDescent="0.3">
      <c r="A10" s="160">
        <f>A9+1</f>
        <v>2</v>
      </c>
      <c r="B10" s="161" t="s">
        <v>177</v>
      </c>
      <c r="C10" s="162"/>
      <c r="D10" s="163"/>
      <c r="E10" s="396">
        <f>Page5!J36</f>
        <v>0</v>
      </c>
      <c r="F10" s="396">
        <f>Page5!K36</f>
        <v>0</v>
      </c>
      <c r="G10" s="435">
        <f t="shared" ref="G10:G19" si="1">IF(F10&gt;0,F10/$F$78,0)</f>
        <v>0</v>
      </c>
      <c r="H10" s="160">
        <f t="shared" si="0"/>
        <v>2</v>
      </c>
      <c r="I10" s="1022"/>
      <c r="J10" s="1022"/>
      <c r="K10" s="1022"/>
      <c r="L10" s="1022"/>
      <c r="M10" s="1022"/>
      <c r="N10" s="1022"/>
      <c r="O10" s="1022"/>
      <c r="P10" s="1022"/>
      <c r="Q10" s="1392"/>
      <c r="R10" s="1393"/>
      <c r="S10" s="1393"/>
      <c r="T10" s="1393"/>
      <c r="U10" s="1393"/>
      <c r="V10" s="1393"/>
      <c r="W10" s="1393"/>
      <c r="X10" s="1393"/>
      <c r="Y10" s="1394"/>
    </row>
    <row r="11" spans="1:25" x14ac:dyDescent="0.3">
      <c r="A11" s="160">
        <f t="shared" ref="A11:A23" si="2">A10+1</f>
        <v>3</v>
      </c>
      <c r="B11" s="161" t="s">
        <v>423</v>
      </c>
      <c r="C11" s="162"/>
      <c r="D11" s="163"/>
      <c r="E11" s="396">
        <f>Page5!W49</f>
        <v>0</v>
      </c>
      <c r="F11" s="396">
        <f>Page5!AH36</f>
        <v>0</v>
      </c>
      <c r="G11" s="435">
        <f t="shared" si="1"/>
        <v>0</v>
      </c>
      <c r="H11" s="160">
        <f t="shared" si="0"/>
        <v>3</v>
      </c>
      <c r="I11" s="1022"/>
      <c r="J11" s="1022"/>
      <c r="K11" s="1022"/>
      <c r="L11" s="1022"/>
      <c r="M11" s="1022"/>
      <c r="N11" s="1022"/>
      <c r="O11" s="1022"/>
      <c r="P11" s="1022"/>
      <c r="Q11" s="1392"/>
      <c r="R11" s="1393"/>
      <c r="S11" s="1393"/>
      <c r="T11" s="1393"/>
      <c r="U11" s="1393"/>
      <c r="V11" s="1393"/>
      <c r="W11" s="1393"/>
      <c r="X11" s="1393"/>
      <c r="Y11" s="1394"/>
    </row>
    <row r="12" spans="1:25" x14ac:dyDescent="0.3">
      <c r="A12" s="160">
        <f t="shared" si="2"/>
        <v>4</v>
      </c>
      <c r="B12" s="161" t="s">
        <v>426</v>
      </c>
      <c r="C12" s="162"/>
      <c r="D12" s="163"/>
      <c r="E12" s="396">
        <f>Page5!M36</f>
        <v>0</v>
      </c>
      <c r="F12" s="396">
        <f>Page5!N36</f>
        <v>0</v>
      </c>
      <c r="G12" s="435">
        <f t="shared" si="1"/>
        <v>0</v>
      </c>
      <c r="H12" s="160">
        <f t="shared" si="0"/>
        <v>4</v>
      </c>
      <c r="I12" s="1022"/>
      <c r="J12" s="1022"/>
      <c r="K12" s="1022"/>
      <c r="L12" s="1022"/>
      <c r="M12" s="1022"/>
      <c r="N12" s="1022"/>
      <c r="O12" s="1022"/>
      <c r="P12" s="1022"/>
      <c r="Q12" s="1392"/>
      <c r="R12" s="1393"/>
      <c r="S12" s="1393"/>
      <c r="T12" s="1393"/>
      <c r="U12" s="1393"/>
      <c r="V12" s="1393"/>
      <c r="W12" s="1393"/>
      <c r="X12" s="1393"/>
      <c r="Y12" s="1394"/>
    </row>
    <row r="13" spans="1:25" x14ac:dyDescent="0.3">
      <c r="A13" s="160">
        <f t="shared" si="2"/>
        <v>5</v>
      </c>
      <c r="B13" s="161" t="s">
        <v>43</v>
      </c>
      <c r="C13" s="162"/>
      <c r="D13" s="163"/>
      <c r="E13" s="396">
        <f>Page5!Q36</f>
        <v>0</v>
      </c>
      <c r="F13" s="396">
        <f>Page5!R36</f>
        <v>0</v>
      </c>
      <c r="G13" s="435">
        <f t="shared" si="1"/>
        <v>0</v>
      </c>
      <c r="H13" s="160">
        <f t="shared" si="0"/>
        <v>5</v>
      </c>
      <c r="I13" s="1023"/>
      <c r="J13" s="1023"/>
      <c r="K13" s="1023"/>
      <c r="L13" s="1023"/>
      <c r="M13" s="1023"/>
      <c r="N13" s="1023"/>
      <c r="O13" s="1023"/>
      <c r="P13" s="1023"/>
      <c r="Q13" s="1392"/>
      <c r="R13" s="1393"/>
      <c r="S13" s="1393"/>
      <c r="T13" s="1393"/>
      <c r="U13" s="1393"/>
      <c r="V13" s="1393"/>
      <c r="W13" s="1393"/>
      <c r="X13" s="1393"/>
      <c r="Y13" s="1394"/>
    </row>
    <row r="14" spans="1:25" x14ac:dyDescent="0.3">
      <c r="A14" s="160">
        <f t="shared" si="2"/>
        <v>6</v>
      </c>
      <c r="B14" s="161" t="s">
        <v>178</v>
      </c>
      <c r="C14" s="162"/>
      <c r="D14" s="163"/>
      <c r="E14" s="396">
        <f>Page5!T36</f>
        <v>0</v>
      </c>
      <c r="F14" s="396">
        <f>Page5!U36</f>
        <v>0</v>
      </c>
      <c r="G14" s="435">
        <f t="shared" si="1"/>
        <v>0</v>
      </c>
      <c r="H14" s="160">
        <f t="shared" si="0"/>
        <v>6</v>
      </c>
      <c r="I14" s="1022"/>
      <c r="J14" s="1022"/>
      <c r="K14" s="1022"/>
      <c r="L14" s="1022"/>
      <c r="M14" s="1022"/>
      <c r="N14" s="1022"/>
      <c r="O14" s="1022"/>
      <c r="P14" s="1022"/>
      <c r="Q14" s="1392"/>
      <c r="R14" s="1393"/>
      <c r="S14" s="1393"/>
      <c r="T14" s="1393"/>
      <c r="U14" s="1393"/>
      <c r="V14" s="1393"/>
      <c r="W14" s="1393"/>
      <c r="X14" s="1393"/>
      <c r="Y14" s="1394"/>
    </row>
    <row r="15" spans="1:25" x14ac:dyDescent="0.3">
      <c r="A15" s="160">
        <f t="shared" si="2"/>
        <v>7</v>
      </c>
      <c r="B15" s="161" t="s">
        <v>784</v>
      </c>
      <c r="C15" s="162"/>
      <c r="D15" s="163"/>
      <c r="E15" s="396">
        <f>Page5!W50</f>
        <v>0</v>
      </c>
      <c r="F15" s="396">
        <f>Page5!AI36</f>
        <v>0</v>
      </c>
      <c r="G15" s="435">
        <f>IF(F15&gt;0,F15/$F$78,0)</f>
        <v>0</v>
      </c>
      <c r="H15" s="160">
        <f t="shared" si="0"/>
        <v>7</v>
      </c>
      <c r="I15" s="1022"/>
      <c r="J15" s="1022"/>
      <c r="K15" s="1022"/>
      <c r="L15" s="1022"/>
      <c r="M15" s="1022"/>
      <c r="N15" s="1022"/>
      <c r="O15" s="1022"/>
      <c r="P15" s="1022"/>
      <c r="Q15" s="1392"/>
      <c r="R15" s="1393"/>
      <c r="S15" s="1393"/>
      <c r="T15" s="1393"/>
      <c r="U15" s="1393"/>
      <c r="V15" s="1393"/>
      <c r="W15" s="1393"/>
      <c r="X15" s="1393"/>
      <c r="Y15" s="1394"/>
    </row>
    <row r="16" spans="1:25" x14ac:dyDescent="0.3">
      <c r="A16" s="160">
        <f t="shared" si="2"/>
        <v>8</v>
      </c>
      <c r="B16" s="161" t="s">
        <v>98</v>
      </c>
      <c r="C16" s="162"/>
      <c r="D16" s="163"/>
      <c r="E16" s="396">
        <f>Page5!G12</f>
        <v>0</v>
      </c>
      <c r="F16" s="396">
        <f>Page5!H12</f>
        <v>0</v>
      </c>
      <c r="G16" s="435">
        <f t="shared" si="1"/>
        <v>0</v>
      </c>
      <c r="H16" s="160">
        <f t="shared" si="0"/>
        <v>8</v>
      </c>
      <c r="I16" s="1022"/>
      <c r="J16" s="1022"/>
      <c r="K16" s="1022"/>
      <c r="L16" s="1022"/>
      <c r="M16" s="1022"/>
      <c r="N16" s="1022"/>
      <c r="O16" s="1022"/>
      <c r="P16" s="1022"/>
      <c r="Q16" s="1392"/>
      <c r="R16" s="1393"/>
      <c r="S16" s="1393"/>
      <c r="T16" s="1393"/>
      <c r="U16" s="1393"/>
      <c r="V16" s="1393"/>
      <c r="W16" s="1393"/>
      <c r="X16" s="1393"/>
      <c r="Y16" s="1394"/>
    </row>
    <row r="17" spans="1:26" x14ac:dyDescent="0.3">
      <c r="A17" s="160">
        <f t="shared" si="2"/>
        <v>9</v>
      </c>
      <c r="B17" s="161" t="s">
        <v>161</v>
      </c>
      <c r="C17" s="162"/>
      <c r="D17" s="163"/>
      <c r="E17" s="396">
        <f>Page5!J12</f>
        <v>0</v>
      </c>
      <c r="F17" s="396">
        <f>Page5!K12</f>
        <v>0</v>
      </c>
      <c r="G17" s="435">
        <f t="shared" si="1"/>
        <v>0</v>
      </c>
      <c r="H17" s="160">
        <f t="shared" si="0"/>
        <v>9</v>
      </c>
      <c r="I17" s="1022"/>
      <c r="J17" s="1022"/>
      <c r="K17" s="1022"/>
      <c r="L17" s="1022"/>
      <c r="M17" s="1022"/>
      <c r="N17" s="1022"/>
      <c r="O17" s="1022"/>
      <c r="P17" s="1022"/>
      <c r="Q17" s="1392"/>
      <c r="R17" s="1393"/>
      <c r="S17" s="1393"/>
      <c r="T17" s="1393"/>
      <c r="U17" s="1393"/>
      <c r="V17" s="1393"/>
      <c r="W17" s="1393"/>
      <c r="X17" s="1393"/>
      <c r="Y17" s="1394"/>
    </row>
    <row r="18" spans="1:26" x14ac:dyDescent="0.3">
      <c r="A18" s="160">
        <f t="shared" si="2"/>
        <v>10</v>
      </c>
      <c r="B18" s="161" t="s">
        <v>424</v>
      </c>
      <c r="C18" s="162"/>
      <c r="D18" s="163"/>
      <c r="E18" s="396">
        <f>Page5!W48</f>
        <v>0</v>
      </c>
      <c r="F18" s="396">
        <f>Page5!AH10</f>
        <v>0</v>
      </c>
      <c r="G18" s="435">
        <f>IF(F18&gt;0,F18/$F$78,0)</f>
        <v>0</v>
      </c>
      <c r="H18" s="160">
        <f t="shared" si="0"/>
        <v>10</v>
      </c>
      <c r="I18" s="1022"/>
      <c r="J18" s="1022"/>
      <c r="K18" s="1022"/>
      <c r="L18" s="1022"/>
      <c r="M18" s="1022"/>
      <c r="N18" s="1022"/>
      <c r="O18" s="1022"/>
      <c r="P18" s="1022"/>
      <c r="Q18" s="1392"/>
      <c r="R18" s="1393"/>
      <c r="S18" s="1393"/>
      <c r="T18" s="1393"/>
      <c r="U18" s="1393"/>
      <c r="V18" s="1393"/>
      <c r="W18" s="1393"/>
      <c r="X18" s="1393"/>
      <c r="Y18" s="1394"/>
    </row>
    <row r="19" spans="1:26" x14ac:dyDescent="0.3">
      <c r="A19" s="160">
        <f t="shared" si="2"/>
        <v>11</v>
      </c>
      <c r="B19" s="161" t="s">
        <v>425</v>
      </c>
      <c r="C19" s="162"/>
      <c r="D19" s="163"/>
      <c r="E19" s="396">
        <f>Page5!M12</f>
        <v>0</v>
      </c>
      <c r="F19" s="396">
        <f>Page5!N12</f>
        <v>0</v>
      </c>
      <c r="G19" s="435">
        <f t="shared" si="1"/>
        <v>0</v>
      </c>
      <c r="H19" s="160">
        <f t="shared" si="0"/>
        <v>11</v>
      </c>
      <c r="I19" s="1022"/>
      <c r="J19" s="1022"/>
      <c r="K19" s="1022"/>
      <c r="L19" s="1022"/>
      <c r="M19" s="1022"/>
      <c r="N19" s="1022"/>
      <c r="O19" s="1022"/>
      <c r="P19" s="1022"/>
      <c r="Q19" s="1392"/>
      <c r="R19" s="1393"/>
      <c r="S19" s="1393"/>
      <c r="T19" s="1393"/>
      <c r="U19" s="1393"/>
      <c r="V19" s="1393"/>
      <c r="W19" s="1393"/>
      <c r="X19" s="1393"/>
      <c r="Y19" s="1394"/>
    </row>
    <row r="20" spans="1:26" x14ac:dyDescent="0.3">
      <c r="A20" s="160">
        <f t="shared" si="2"/>
        <v>12</v>
      </c>
      <c r="B20" s="164" t="s">
        <v>149</v>
      </c>
      <c r="C20" s="162"/>
      <c r="D20" s="163"/>
      <c r="E20" s="397">
        <f>SUM(E9:E19)</f>
        <v>0</v>
      </c>
      <c r="F20" s="397">
        <f>SUM(F9:F19)</f>
        <v>0</v>
      </c>
      <c r="G20" s="436">
        <f>SUM(G9:G19)</f>
        <v>0</v>
      </c>
      <c r="H20" s="160">
        <f t="shared" si="0"/>
        <v>12</v>
      </c>
      <c r="I20" s="1022"/>
      <c r="J20" s="1022"/>
      <c r="K20" s="1022"/>
      <c r="L20" s="1022"/>
      <c r="M20" s="1024"/>
      <c r="N20" s="1025"/>
      <c r="O20" s="1025"/>
      <c r="P20" s="1022"/>
      <c r="Q20" s="1392"/>
      <c r="R20" s="1393"/>
      <c r="S20" s="1393"/>
      <c r="T20" s="1393"/>
      <c r="U20" s="1393"/>
      <c r="V20" s="1393"/>
      <c r="W20" s="1393"/>
      <c r="X20" s="1393"/>
      <c r="Y20" s="1394"/>
    </row>
    <row r="21" spans="1:26" x14ac:dyDescent="0.3">
      <c r="A21" s="160">
        <f t="shared" si="2"/>
        <v>13</v>
      </c>
      <c r="B21" s="161" t="s">
        <v>261</v>
      </c>
      <c r="C21" s="162"/>
      <c r="D21" s="163"/>
      <c r="E21" s="396">
        <f>Page4!E18</f>
        <v>0</v>
      </c>
      <c r="F21" s="396">
        <f>ROUND(E21,2)*12</f>
        <v>0</v>
      </c>
      <c r="G21" s="435">
        <f t="shared" ref="G21:G24" si="3">IF(F21&gt;0,F21/$F$78,0)</f>
        <v>0</v>
      </c>
      <c r="H21" s="160">
        <f t="shared" si="0"/>
        <v>13</v>
      </c>
      <c r="I21" s="1022"/>
      <c r="J21" s="1022"/>
      <c r="K21" s="1022"/>
      <c r="L21" s="1022"/>
      <c r="M21" s="1024"/>
      <c r="N21" s="1025"/>
      <c r="O21" s="1025"/>
      <c r="P21" s="1022"/>
      <c r="Q21" s="1392"/>
      <c r="R21" s="1393"/>
      <c r="S21" s="1393"/>
      <c r="T21" s="1393"/>
      <c r="U21" s="1393"/>
      <c r="V21" s="1393"/>
      <c r="W21" s="1393"/>
      <c r="X21" s="1393"/>
      <c r="Y21" s="1394"/>
    </row>
    <row r="22" spans="1:26" x14ac:dyDescent="0.3">
      <c r="A22" s="160">
        <f t="shared" si="2"/>
        <v>14</v>
      </c>
      <c r="B22" s="1399" t="s">
        <v>308</v>
      </c>
      <c r="C22" s="1400"/>
      <c r="D22" s="1401"/>
      <c r="E22" s="396">
        <f>Page4!E20</f>
        <v>0</v>
      </c>
      <c r="F22" s="396">
        <f>ROUND(E22,2)*12</f>
        <v>0</v>
      </c>
      <c r="G22" s="435">
        <f t="shared" si="3"/>
        <v>0</v>
      </c>
      <c r="H22" s="160">
        <f t="shared" si="0"/>
        <v>14</v>
      </c>
      <c r="I22" s="1022"/>
      <c r="J22" s="1022"/>
      <c r="K22" s="1022"/>
      <c r="L22" s="1022"/>
      <c r="M22" s="1024"/>
      <c r="N22" s="1025"/>
      <c r="O22" s="1025"/>
      <c r="P22" s="1022"/>
      <c r="Q22" s="1392"/>
      <c r="R22" s="1393"/>
      <c r="S22" s="1393"/>
      <c r="T22" s="1393"/>
      <c r="U22" s="1393"/>
      <c r="V22" s="1393"/>
      <c r="W22" s="1393"/>
      <c r="X22" s="1393"/>
      <c r="Y22" s="1394"/>
    </row>
    <row r="23" spans="1:26" x14ac:dyDescent="0.3">
      <c r="A23" s="160">
        <f t="shared" si="2"/>
        <v>15</v>
      </c>
      <c r="B23" s="1402" t="s">
        <v>28</v>
      </c>
      <c r="C23" s="1403"/>
      <c r="D23" s="1404"/>
      <c r="E23" s="399"/>
      <c r="F23" s="396">
        <f>ROUND(E23,2)*12</f>
        <v>0</v>
      </c>
      <c r="G23" s="435">
        <f t="shared" si="3"/>
        <v>0</v>
      </c>
      <c r="H23" s="160">
        <f t="shared" si="0"/>
        <v>15</v>
      </c>
      <c r="I23" s="1022"/>
      <c r="J23" s="1022"/>
      <c r="K23" s="1022"/>
      <c r="L23" s="1022"/>
      <c r="M23" s="1024"/>
      <c r="N23" s="1025"/>
      <c r="O23" s="1025"/>
      <c r="P23" s="1022"/>
      <c r="Q23" s="1392"/>
      <c r="R23" s="1393"/>
      <c r="S23" s="1393"/>
      <c r="T23" s="1393"/>
      <c r="U23" s="1393"/>
      <c r="V23" s="1393"/>
      <c r="W23" s="1393"/>
      <c r="X23" s="1393"/>
      <c r="Y23" s="1394"/>
    </row>
    <row r="24" spans="1:26" x14ac:dyDescent="0.3">
      <c r="A24" s="160">
        <f t="shared" ref="A24:A25" si="4">A23+1</f>
        <v>16</v>
      </c>
      <c r="B24" s="1402" t="s">
        <v>28</v>
      </c>
      <c r="C24" s="1403"/>
      <c r="D24" s="1404"/>
      <c r="E24" s="399"/>
      <c r="F24" s="396">
        <f>ROUND(E24,2)*12</f>
        <v>0</v>
      </c>
      <c r="G24" s="435">
        <f t="shared" si="3"/>
        <v>0</v>
      </c>
      <c r="H24" s="160">
        <f t="shared" si="0"/>
        <v>16</v>
      </c>
      <c r="I24" s="1022"/>
      <c r="J24" s="1022"/>
      <c r="K24" s="1022"/>
      <c r="L24" s="1022"/>
      <c r="M24" s="1024"/>
      <c r="N24" s="1025"/>
      <c r="O24" s="1025"/>
      <c r="P24" s="1022"/>
      <c r="Q24" s="1392"/>
      <c r="R24" s="1393"/>
      <c r="S24" s="1393"/>
      <c r="T24" s="1393"/>
      <c r="U24" s="1393"/>
      <c r="V24" s="1393"/>
      <c r="W24" s="1393"/>
      <c r="X24" s="1393"/>
      <c r="Y24" s="1394"/>
    </row>
    <row r="25" spans="1:26" x14ac:dyDescent="0.3">
      <c r="A25" s="160">
        <f t="shared" si="4"/>
        <v>17</v>
      </c>
      <c r="B25" s="164" t="s">
        <v>150</v>
      </c>
      <c r="C25" s="162"/>
      <c r="D25" s="163"/>
      <c r="E25" s="398">
        <f>SUM(E20:E24)</f>
        <v>0</v>
      </c>
      <c r="F25" s="398">
        <f>SUM(F20:F24)</f>
        <v>0</v>
      </c>
      <c r="G25" s="437">
        <f>SUM(G20:G24)</f>
        <v>0</v>
      </c>
      <c r="H25" s="160">
        <f t="shared" si="0"/>
        <v>17</v>
      </c>
      <c r="I25" s="1022"/>
      <c r="J25" s="1022"/>
      <c r="K25" s="1022"/>
      <c r="L25" s="1022"/>
      <c r="M25" s="1024"/>
      <c r="N25" s="1026"/>
      <c r="O25" s="1026"/>
      <c r="P25" s="1022"/>
      <c r="Q25" s="1392"/>
      <c r="R25" s="1393"/>
      <c r="S25" s="1393"/>
      <c r="T25" s="1393"/>
      <c r="U25" s="1393"/>
      <c r="V25" s="1393"/>
      <c r="W25" s="1393"/>
      <c r="X25" s="1393"/>
      <c r="Y25" s="1394"/>
    </row>
    <row r="26" spans="1:26" ht="13.5" customHeight="1" x14ac:dyDescent="0.25">
      <c r="A26" s="175"/>
      <c r="B26" s="176"/>
      <c r="C26" s="176"/>
      <c r="D26" s="176"/>
      <c r="E26" s="473"/>
      <c r="F26" s="481"/>
      <c r="G26" s="178"/>
      <c r="H26" s="149" t="s">
        <v>36</v>
      </c>
      <c r="I26" s="1019"/>
      <c r="J26" s="1019"/>
      <c r="K26" s="1019"/>
      <c r="L26" s="1019"/>
      <c r="M26" s="1019"/>
      <c r="N26" s="1019"/>
      <c r="O26" s="1019"/>
      <c r="P26" s="1019"/>
      <c r="Q26" s="150" t="s">
        <v>30</v>
      </c>
      <c r="R26" s="152"/>
      <c r="S26" s="152"/>
      <c r="T26" s="152"/>
      <c r="U26" s="152"/>
      <c r="V26" s="152"/>
      <c r="W26" s="152"/>
      <c r="X26" s="152"/>
      <c r="Y26" s="153"/>
    </row>
    <row r="27" spans="1:26" ht="13.5" x14ac:dyDescent="0.25">
      <c r="A27" s="159"/>
      <c r="B27" s="165" t="s">
        <v>30</v>
      </c>
      <c r="C27" s="166"/>
      <c r="D27" s="166"/>
      <c r="E27" s="466" t="s">
        <v>0</v>
      </c>
      <c r="F27" s="466" t="s">
        <v>1</v>
      </c>
      <c r="G27" s="467" t="s">
        <v>33</v>
      </c>
      <c r="H27" s="155" t="s">
        <v>26</v>
      </c>
      <c r="I27" s="1027" t="s">
        <v>49</v>
      </c>
      <c r="J27" s="1027" t="s">
        <v>48</v>
      </c>
      <c r="K27" s="1027" t="s">
        <v>99</v>
      </c>
      <c r="L27" s="1027" t="s">
        <v>151</v>
      </c>
      <c r="M27" s="1027" t="s">
        <v>152</v>
      </c>
      <c r="N27" s="1027" t="s">
        <v>153</v>
      </c>
      <c r="O27" s="1027" t="s">
        <v>154</v>
      </c>
      <c r="P27" s="1027"/>
      <c r="Q27" s="1397" t="s">
        <v>29</v>
      </c>
      <c r="R27" s="1398"/>
      <c r="S27" s="157"/>
      <c r="T27" s="157"/>
      <c r="U27" s="157"/>
      <c r="V27" s="157"/>
      <c r="W27" s="157"/>
      <c r="X27" s="157"/>
      <c r="Y27" s="158"/>
    </row>
    <row r="28" spans="1:26" x14ac:dyDescent="0.3">
      <c r="A28" s="160">
        <f>A25+1</f>
        <v>18</v>
      </c>
      <c r="B28" s="169" t="s">
        <v>57</v>
      </c>
      <c r="C28" s="170"/>
      <c r="D28" s="170"/>
      <c r="E28" s="399">
        <v>0</v>
      </c>
      <c r="F28" s="400">
        <f>ROUND(E28,2)*12</f>
        <v>0</v>
      </c>
      <c r="G28" s="438">
        <f t="shared" ref="G28:G44" si="5">IF(F28&gt;0,F28/$F$78,0)</f>
        <v>0</v>
      </c>
      <c r="H28" s="160">
        <f>$A$28</f>
        <v>18</v>
      </c>
      <c r="I28" s="1022">
        <f>'LOCK_ME - Page9 - RATES'!H9</f>
        <v>250</v>
      </c>
      <c r="J28" s="1022">
        <f>'LOCK_ME - Page9 - RATES'!F9</f>
        <v>50</v>
      </c>
      <c r="K28" s="1022">
        <f>IF($J$3="Non-Residential",J28,I28*$J$1)</f>
        <v>50</v>
      </c>
      <c r="L28" s="1028">
        <v>0.85</v>
      </c>
      <c r="M28" s="1022">
        <f>K28*L28</f>
        <v>42.5</v>
      </c>
      <c r="N28" s="1025">
        <f>M28</f>
        <v>42.5</v>
      </c>
      <c r="O28" s="1025">
        <f>N28*12</f>
        <v>510</v>
      </c>
      <c r="P28" s="1022" t="s">
        <v>100</v>
      </c>
      <c r="Q28" s="1392"/>
      <c r="R28" s="1393"/>
      <c r="S28" s="1393"/>
      <c r="T28" s="1393"/>
      <c r="U28" s="1393"/>
      <c r="V28" s="1393"/>
      <c r="W28" s="1393"/>
      <c r="X28" s="1393"/>
      <c r="Y28" s="1394"/>
      <c r="Z28" s="173"/>
    </row>
    <row r="29" spans="1:26" x14ac:dyDescent="0.3">
      <c r="A29" s="160">
        <f t="shared" ref="A29:A45" si="6">A28+1</f>
        <v>19</v>
      </c>
      <c r="B29" s="1415" t="s">
        <v>367</v>
      </c>
      <c r="C29" s="1423"/>
      <c r="D29" s="1416"/>
      <c r="E29" s="399"/>
      <c r="F29" s="400">
        <f t="shared" ref="F29:F44" si="7">ROUND(E29,2)*12</f>
        <v>0</v>
      </c>
      <c r="G29" s="438">
        <f t="shared" si="5"/>
        <v>0</v>
      </c>
      <c r="H29" s="160">
        <f t="shared" ref="H29:H35" si="8">A29</f>
        <v>19</v>
      </c>
      <c r="I29" s="1022">
        <f>'LOCK_ME - Page9 - RATES'!H10</f>
        <v>20</v>
      </c>
      <c r="J29" s="1022">
        <f>'LOCK_ME - Page9 - RATES'!F10</f>
        <v>5</v>
      </c>
      <c r="K29" s="1022">
        <f>IF($J$3="Non-Residential",J29*$J$1,I29*$J$1)</f>
        <v>5</v>
      </c>
      <c r="L29" s="1028">
        <v>0.85</v>
      </c>
      <c r="M29" s="1022">
        <f t="shared" ref="M29:M40" si="9">K29*L29</f>
        <v>4.25</v>
      </c>
      <c r="N29" s="1025">
        <f>M29</f>
        <v>4.25</v>
      </c>
      <c r="O29" s="1025">
        <f t="shared" ref="O29:O40" si="10">N29*12</f>
        <v>51</v>
      </c>
      <c r="P29" s="1022" t="s">
        <v>100</v>
      </c>
      <c r="Q29" s="1395"/>
      <c r="R29" s="1395"/>
      <c r="S29" s="1395"/>
      <c r="T29" s="1395"/>
      <c r="U29" s="1395"/>
      <c r="V29" s="1395"/>
      <c r="W29" s="1395"/>
      <c r="X29" s="1395"/>
      <c r="Y29" s="1395"/>
    </row>
    <row r="30" spans="1:26" x14ac:dyDescent="0.3">
      <c r="A30" s="160">
        <f t="shared" si="6"/>
        <v>20</v>
      </c>
      <c r="B30" s="169" t="s">
        <v>58</v>
      </c>
      <c r="C30" s="170"/>
      <c r="D30" s="170"/>
      <c r="E30" s="399"/>
      <c r="F30" s="400">
        <f t="shared" si="7"/>
        <v>0</v>
      </c>
      <c r="G30" s="438">
        <f t="shared" si="5"/>
        <v>0</v>
      </c>
      <c r="H30" s="160">
        <f t="shared" si="8"/>
        <v>20</v>
      </c>
      <c r="I30" s="1022">
        <f>'LOCK_ME - Page9 - RATES'!H11</f>
        <v>300</v>
      </c>
      <c r="J30" s="1022">
        <f>'LOCK_ME - Page9 - RATES'!F11</f>
        <v>300</v>
      </c>
      <c r="K30" s="1115">
        <f>IF($J$3="Non-Residential",J30*J5,I30*J5)</f>
        <v>0</v>
      </c>
      <c r="L30" s="1028">
        <v>0.85</v>
      </c>
      <c r="M30" s="1115">
        <f t="shared" si="9"/>
        <v>0</v>
      </c>
      <c r="N30" s="1116">
        <f>M30/12</f>
        <v>0</v>
      </c>
      <c r="O30" s="1116">
        <f t="shared" si="10"/>
        <v>0</v>
      </c>
      <c r="P30" s="1115" t="s">
        <v>101</v>
      </c>
      <c r="Q30" s="1395"/>
      <c r="R30" s="1395"/>
      <c r="S30" s="1395"/>
      <c r="T30" s="1395"/>
      <c r="U30" s="1395"/>
      <c r="V30" s="1395"/>
      <c r="W30" s="1395"/>
      <c r="X30" s="1395"/>
      <c r="Y30" s="1395"/>
    </row>
    <row r="31" spans="1:26" x14ac:dyDescent="0.3">
      <c r="A31" s="160">
        <f t="shared" si="6"/>
        <v>21</v>
      </c>
      <c r="B31" s="169" t="s">
        <v>59</v>
      </c>
      <c r="C31" s="170"/>
      <c r="D31" s="170"/>
      <c r="E31" s="399"/>
      <c r="F31" s="400">
        <f t="shared" si="7"/>
        <v>0</v>
      </c>
      <c r="G31" s="438">
        <f t="shared" si="5"/>
        <v>0</v>
      </c>
      <c r="H31" s="160">
        <f t="shared" si="8"/>
        <v>21</v>
      </c>
      <c r="I31" s="1022">
        <f>'LOCK_ME - Page9 - RATES'!H12</f>
        <v>40</v>
      </c>
      <c r="J31" s="1022">
        <f>'LOCK_ME - Page9 - RATES'!F12</f>
        <v>40</v>
      </c>
      <c r="K31" s="1022">
        <f>IF($J$3="Non-Residential",J31,I31)</f>
        <v>40</v>
      </c>
      <c r="L31" s="1028">
        <v>0.85</v>
      </c>
      <c r="M31" s="1022">
        <f t="shared" si="9"/>
        <v>34</v>
      </c>
      <c r="N31" s="1025">
        <f t="shared" ref="N31:N34" si="11">M31</f>
        <v>34</v>
      </c>
      <c r="O31" s="1025">
        <f t="shared" si="10"/>
        <v>408</v>
      </c>
      <c r="P31" s="1022" t="s">
        <v>100</v>
      </c>
      <c r="Q31" s="1395"/>
      <c r="R31" s="1395"/>
      <c r="S31" s="1395"/>
      <c r="T31" s="1395"/>
      <c r="U31" s="1395"/>
      <c r="V31" s="1395"/>
      <c r="W31" s="1395"/>
      <c r="X31" s="1395"/>
      <c r="Y31" s="1395"/>
    </row>
    <row r="32" spans="1:26" x14ac:dyDescent="0.3">
      <c r="A32" s="160">
        <f t="shared" si="6"/>
        <v>22</v>
      </c>
      <c r="B32" s="169" t="s">
        <v>60</v>
      </c>
      <c r="C32" s="170"/>
      <c r="D32" s="170"/>
      <c r="E32" s="399">
        <v>0</v>
      </c>
      <c r="F32" s="400">
        <f t="shared" si="7"/>
        <v>0</v>
      </c>
      <c r="G32" s="438">
        <f t="shared" si="5"/>
        <v>0</v>
      </c>
      <c r="H32" s="160">
        <f t="shared" si="8"/>
        <v>22</v>
      </c>
      <c r="I32" s="1022">
        <f>'LOCK_ME - Page9 - RATES'!H13</f>
        <v>60</v>
      </c>
      <c r="J32" s="1022">
        <f>'LOCK_ME - Page9 - RATES'!F13</f>
        <v>40</v>
      </c>
      <c r="K32" s="1022">
        <f>IF($J$3="Non-Residential",J32*$J$5,I32*$J$5)</f>
        <v>0</v>
      </c>
      <c r="L32" s="1028">
        <v>0.85</v>
      </c>
      <c r="M32" s="1022">
        <f t="shared" si="9"/>
        <v>0</v>
      </c>
      <c r="N32" s="1025">
        <f t="shared" si="11"/>
        <v>0</v>
      </c>
      <c r="O32" s="1025">
        <f t="shared" si="10"/>
        <v>0</v>
      </c>
      <c r="P32" s="1022" t="s">
        <v>100</v>
      </c>
      <c r="Q32" s="1395"/>
      <c r="R32" s="1395"/>
      <c r="S32" s="1395"/>
      <c r="T32" s="1395"/>
      <c r="U32" s="1395"/>
      <c r="V32" s="1395"/>
      <c r="W32" s="1395"/>
      <c r="X32" s="1395"/>
      <c r="Y32" s="1395"/>
    </row>
    <row r="33" spans="1:25" x14ac:dyDescent="0.3">
      <c r="A33" s="160">
        <f t="shared" si="6"/>
        <v>23</v>
      </c>
      <c r="B33" s="169" t="s">
        <v>61</v>
      </c>
      <c r="C33" s="170"/>
      <c r="D33" s="170"/>
      <c r="E33" s="399"/>
      <c r="F33" s="400">
        <f t="shared" si="7"/>
        <v>0</v>
      </c>
      <c r="G33" s="438">
        <f t="shared" si="5"/>
        <v>0</v>
      </c>
      <c r="H33" s="160">
        <f t="shared" si="8"/>
        <v>23</v>
      </c>
      <c r="I33" s="1022">
        <f>'LOCK_ME - Page9 - RATES'!H14</f>
        <v>70</v>
      </c>
      <c r="J33" s="1022">
        <f>'LOCK_ME - Page9 - RATES'!F14</f>
        <v>0</v>
      </c>
      <c r="K33" s="1022">
        <f t="shared" ref="K33:K38" si="12">IF($J$3="Non-Residential",J33,I33)</f>
        <v>0</v>
      </c>
      <c r="L33" s="1028">
        <v>0.85</v>
      </c>
      <c r="M33" s="1022">
        <f t="shared" si="9"/>
        <v>0</v>
      </c>
      <c r="N33" s="1025">
        <f t="shared" si="11"/>
        <v>0</v>
      </c>
      <c r="O33" s="1025">
        <f t="shared" si="10"/>
        <v>0</v>
      </c>
      <c r="P33" s="1022" t="s">
        <v>100</v>
      </c>
      <c r="Q33" s="1395"/>
      <c r="R33" s="1395"/>
      <c r="S33" s="1395"/>
      <c r="T33" s="1395"/>
      <c r="U33" s="1395"/>
      <c r="V33" s="1395"/>
      <c r="W33" s="1395"/>
      <c r="X33" s="1395"/>
      <c r="Y33" s="1395"/>
    </row>
    <row r="34" spans="1:25" x14ac:dyDescent="0.3">
      <c r="A34" s="160">
        <f t="shared" si="6"/>
        <v>24</v>
      </c>
      <c r="B34" s="169" t="s">
        <v>62</v>
      </c>
      <c r="C34" s="170"/>
      <c r="D34" s="170"/>
      <c r="E34" s="399"/>
      <c r="F34" s="400">
        <f t="shared" si="7"/>
        <v>0</v>
      </c>
      <c r="G34" s="438">
        <f t="shared" si="5"/>
        <v>0</v>
      </c>
      <c r="H34" s="160">
        <f t="shared" si="8"/>
        <v>24</v>
      </c>
      <c r="I34" s="1022">
        <f>'LOCK_ME - Page9 - RATES'!H15</f>
        <v>45</v>
      </c>
      <c r="J34" s="1022">
        <f>'LOCK_ME - Page9 - RATES'!F15</f>
        <v>45</v>
      </c>
      <c r="K34" s="1022">
        <f t="shared" si="12"/>
        <v>45</v>
      </c>
      <c r="L34" s="1028">
        <v>0.85</v>
      </c>
      <c r="M34" s="1022">
        <f t="shared" si="9"/>
        <v>38.25</v>
      </c>
      <c r="N34" s="1025">
        <f t="shared" si="11"/>
        <v>38.25</v>
      </c>
      <c r="O34" s="1025">
        <f t="shared" si="10"/>
        <v>459</v>
      </c>
      <c r="P34" s="1022" t="s">
        <v>100</v>
      </c>
      <c r="Q34" s="1392"/>
      <c r="R34" s="1393"/>
      <c r="S34" s="1393"/>
      <c r="T34" s="1393"/>
      <c r="U34" s="1393"/>
      <c r="V34" s="1393"/>
      <c r="W34" s="1393"/>
      <c r="X34" s="1393"/>
      <c r="Y34" s="1394"/>
    </row>
    <row r="35" spans="1:25" x14ac:dyDescent="0.3">
      <c r="A35" s="160">
        <f t="shared" si="6"/>
        <v>25</v>
      </c>
      <c r="B35" s="1415" t="s">
        <v>63</v>
      </c>
      <c r="C35" s="1423"/>
      <c r="D35" s="1416"/>
      <c r="E35" s="399"/>
      <c r="F35" s="400">
        <f t="shared" si="7"/>
        <v>0</v>
      </c>
      <c r="G35" s="438">
        <f t="shared" si="5"/>
        <v>0</v>
      </c>
      <c r="H35" s="160">
        <f t="shared" si="8"/>
        <v>25</v>
      </c>
      <c r="I35" s="1022">
        <f>'LOCK_ME - Page9 - RATES'!F16*'LOCK_ME - Page9 - RATES'!F17*365</f>
        <v>12318.75</v>
      </c>
      <c r="J35" s="1022">
        <f>'LOCK_ME - Page9 - RATES'!H16*'LOCK_ME - Page9 - RATES'!H17*261</f>
        <v>8808.75</v>
      </c>
      <c r="K35" s="1115">
        <f t="shared" si="12"/>
        <v>8808.75</v>
      </c>
      <c r="L35" s="1028">
        <v>0.85</v>
      </c>
      <c r="M35" s="1115">
        <f>K35*L35</f>
        <v>7487.4375</v>
      </c>
      <c r="N35" s="1116">
        <f>M35/12</f>
        <v>623.953125</v>
      </c>
      <c r="O35" s="1116">
        <f t="shared" si="10"/>
        <v>7487.4375</v>
      </c>
      <c r="P35" s="1115" t="s">
        <v>101</v>
      </c>
      <c r="Q35" s="1392"/>
      <c r="R35" s="1393"/>
      <c r="S35" s="1393"/>
      <c r="T35" s="1393"/>
      <c r="U35" s="1393"/>
      <c r="V35" s="1393"/>
      <c r="W35" s="1393"/>
      <c r="X35" s="1393"/>
      <c r="Y35" s="1394"/>
    </row>
    <row r="36" spans="1:25" x14ac:dyDescent="0.3">
      <c r="A36" s="160">
        <f t="shared" si="6"/>
        <v>26</v>
      </c>
      <c r="B36" s="169" t="s">
        <v>64</v>
      </c>
      <c r="C36" s="170"/>
      <c r="D36" s="170"/>
      <c r="E36" s="399"/>
      <c r="F36" s="400">
        <f t="shared" si="7"/>
        <v>0</v>
      </c>
      <c r="G36" s="438">
        <f t="shared" si="5"/>
        <v>0</v>
      </c>
      <c r="H36" s="160">
        <f t="shared" ref="H36:H45" si="13">A36</f>
        <v>26</v>
      </c>
      <c r="I36" s="1022">
        <f>'LOCK_ME - Page9 - RATES'!H18</f>
        <v>350</v>
      </c>
      <c r="J36" s="1022">
        <f>'LOCK_ME - Page9 - RATES'!F18</f>
        <v>350</v>
      </c>
      <c r="K36" s="1022">
        <f t="shared" si="12"/>
        <v>350</v>
      </c>
      <c r="L36" s="1028">
        <v>0.85</v>
      </c>
      <c r="M36" s="1022">
        <f t="shared" si="9"/>
        <v>297.5</v>
      </c>
      <c r="N36" s="1025">
        <f t="shared" ref="N36:N37" si="14">M36</f>
        <v>297.5</v>
      </c>
      <c r="O36" s="1025">
        <f t="shared" si="10"/>
        <v>3570</v>
      </c>
      <c r="P36" s="1022" t="s">
        <v>100</v>
      </c>
      <c r="Q36" s="1392"/>
      <c r="R36" s="1393"/>
      <c r="S36" s="1393"/>
      <c r="T36" s="1393"/>
      <c r="U36" s="1393"/>
      <c r="V36" s="1393"/>
      <c r="W36" s="1393"/>
      <c r="X36" s="1393"/>
      <c r="Y36" s="1394"/>
    </row>
    <row r="37" spans="1:25" x14ac:dyDescent="0.3">
      <c r="A37" s="160">
        <f t="shared" si="6"/>
        <v>27</v>
      </c>
      <c r="B37" s="169" t="s">
        <v>65</v>
      </c>
      <c r="C37" s="170"/>
      <c r="D37" s="170"/>
      <c r="E37" s="399"/>
      <c r="F37" s="400">
        <f t="shared" si="7"/>
        <v>0</v>
      </c>
      <c r="G37" s="438">
        <f t="shared" si="5"/>
        <v>0</v>
      </c>
      <c r="H37" s="160">
        <f t="shared" si="13"/>
        <v>27</v>
      </c>
      <c r="I37" s="1022">
        <f>'LOCK_ME - Page9 - RATES'!H19</f>
        <v>150</v>
      </c>
      <c r="J37" s="1022">
        <f>'LOCK_ME - Page9 - RATES'!F19</f>
        <v>150</v>
      </c>
      <c r="K37" s="1022">
        <f t="shared" si="12"/>
        <v>150</v>
      </c>
      <c r="L37" s="1028">
        <v>0.85</v>
      </c>
      <c r="M37" s="1022">
        <f t="shared" si="9"/>
        <v>127.5</v>
      </c>
      <c r="N37" s="1025">
        <f t="shared" si="14"/>
        <v>127.5</v>
      </c>
      <c r="O37" s="1025">
        <f t="shared" si="10"/>
        <v>1530</v>
      </c>
      <c r="P37" s="1022" t="s">
        <v>100</v>
      </c>
      <c r="Q37" s="1395"/>
      <c r="R37" s="1395"/>
      <c r="S37" s="1395"/>
      <c r="T37" s="1395"/>
      <c r="U37" s="1395"/>
      <c r="V37" s="1395"/>
      <c r="W37" s="1395"/>
      <c r="X37" s="1395"/>
      <c r="Y37" s="1395"/>
    </row>
    <row r="38" spans="1:25" x14ac:dyDescent="0.3">
      <c r="A38" s="160">
        <f t="shared" si="6"/>
        <v>28</v>
      </c>
      <c r="B38" s="169" t="s">
        <v>66</v>
      </c>
      <c r="C38" s="170"/>
      <c r="D38" s="170"/>
      <c r="E38" s="399"/>
      <c r="F38" s="400">
        <f t="shared" si="7"/>
        <v>0</v>
      </c>
      <c r="G38" s="438">
        <f t="shared" si="5"/>
        <v>0</v>
      </c>
      <c r="H38" s="160">
        <f t="shared" si="13"/>
        <v>28</v>
      </c>
      <c r="I38" s="1022">
        <f>'LOCK_ME - Page9 - RATES'!H20</f>
        <v>2000</v>
      </c>
      <c r="J38" s="1022">
        <f>'LOCK_ME - Page9 - RATES'!F20</f>
        <v>2000</v>
      </c>
      <c r="K38" s="1115">
        <f t="shared" si="12"/>
        <v>2000</v>
      </c>
      <c r="L38" s="1028">
        <v>0.85</v>
      </c>
      <c r="M38" s="1115">
        <f t="shared" si="9"/>
        <v>1700</v>
      </c>
      <c r="N38" s="1116">
        <f>M38/12</f>
        <v>141.66666666666666</v>
      </c>
      <c r="O38" s="1116">
        <f t="shared" si="10"/>
        <v>1700</v>
      </c>
      <c r="P38" s="1115" t="s">
        <v>101</v>
      </c>
      <c r="Q38" s="1395"/>
      <c r="R38" s="1395"/>
      <c r="S38" s="1395"/>
      <c r="T38" s="1395"/>
      <c r="U38" s="1395"/>
      <c r="V38" s="1395"/>
      <c r="W38" s="1395"/>
      <c r="X38" s="1395"/>
      <c r="Y38" s="1395"/>
    </row>
    <row r="39" spans="1:25" x14ac:dyDescent="0.3">
      <c r="A39" s="160">
        <f t="shared" si="6"/>
        <v>29</v>
      </c>
      <c r="B39" s="169" t="s">
        <v>122</v>
      </c>
      <c r="C39" s="170"/>
      <c r="D39" s="170"/>
      <c r="E39" s="399"/>
      <c r="F39" s="400">
        <f t="shared" si="7"/>
        <v>0</v>
      </c>
      <c r="G39" s="438">
        <f t="shared" si="5"/>
        <v>0</v>
      </c>
      <c r="H39" s="160">
        <f t="shared" si="13"/>
        <v>29</v>
      </c>
      <c r="I39" s="1022">
        <f>'LOCK_ME - Page9 - RATES'!H21</f>
        <v>75</v>
      </c>
      <c r="J39" s="1022">
        <f>'LOCK_ME - Page9 - RATES'!F21</f>
        <v>75</v>
      </c>
      <c r="K39" s="1022">
        <f>IF($J$3="Non-Residential",J39*$J$1,I39*$J$1)</f>
        <v>75</v>
      </c>
      <c r="L39" s="1028">
        <v>0.85</v>
      </c>
      <c r="M39" s="1022">
        <f t="shared" si="9"/>
        <v>63.75</v>
      </c>
      <c r="N39" s="1025">
        <f t="shared" ref="N39:N40" si="15">M39</f>
        <v>63.75</v>
      </c>
      <c r="O39" s="1025">
        <f t="shared" si="10"/>
        <v>765</v>
      </c>
      <c r="P39" s="1022" t="s">
        <v>100</v>
      </c>
      <c r="Q39" s="1395"/>
      <c r="R39" s="1395"/>
      <c r="S39" s="1395"/>
      <c r="T39" s="1395"/>
      <c r="U39" s="1395"/>
      <c r="V39" s="1395"/>
      <c r="W39" s="1395"/>
      <c r="X39" s="1395"/>
      <c r="Y39" s="1395"/>
    </row>
    <row r="40" spans="1:25" x14ac:dyDescent="0.3">
      <c r="A40" s="160">
        <f t="shared" si="6"/>
        <v>30</v>
      </c>
      <c r="B40" s="169" t="s">
        <v>346</v>
      </c>
      <c r="C40" s="170"/>
      <c r="D40" s="170"/>
      <c r="E40" s="399"/>
      <c r="F40" s="400">
        <f t="shared" si="7"/>
        <v>0</v>
      </c>
      <c r="G40" s="438">
        <f t="shared" si="5"/>
        <v>0</v>
      </c>
      <c r="H40" s="160">
        <f t="shared" si="13"/>
        <v>30</v>
      </c>
      <c r="I40" s="1022">
        <f>'LOCK_ME - Page9 - RATES'!H22</f>
        <v>100</v>
      </c>
      <c r="J40" s="1022">
        <f>'LOCK_ME - Page9 - RATES'!F22</f>
        <v>50</v>
      </c>
      <c r="K40" s="1022">
        <f>IF($J$3="Non-Residential",J40,I40)</f>
        <v>50</v>
      </c>
      <c r="L40" s="1028">
        <v>0.85</v>
      </c>
      <c r="M40" s="1022">
        <f t="shared" si="9"/>
        <v>42.5</v>
      </c>
      <c r="N40" s="1025">
        <f t="shared" si="15"/>
        <v>42.5</v>
      </c>
      <c r="O40" s="1025">
        <f t="shared" si="10"/>
        <v>510</v>
      </c>
      <c r="P40" s="1022" t="s">
        <v>100</v>
      </c>
      <c r="Q40" s="1395"/>
      <c r="R40" s="1395"/>
      <c r="S40" s="1395"/>
      <c r="T40" s="1395"/>
      <c r="U40" s="1395"/>
      <c r="V40" s="1395"/>
      <c r="W40" s="1395"/>
      <c r="X40" s="1395"/>
      <c r="Y40" s="1395"/>
    </row>
    <row r="41" spans="1:25" x14ac:dyDescent="0.3">
      <c r="A41" s="160">
        <f t="shared" si="6"/>
        <v>31</v>
      </c>
      <c r="B41" s="1392" t="s">
        <v>28</v>
      </c>
      <c r="C41" s="1393"/>
      <c r="D41" s="1394"/>
      <c r="E41" s="399"/>
      <c r="F41" s="400">
        <f t="shared" si="7"/>
        <v>0</v>
      </c>
      <c r="G41" s="438">
        <f t="shared" si="5"/>
        <v>0</v>
      </c>
      <c r="H41" s="160">
        <f t="shared" si="13"/>
        <v>31</v>
      </c>
      <c r="I41" s="1022"/>
      <c r="J41" s="1022"/>
      <c r="K41" s="1022"/>
      <c r="L41" s="1022"/>
      <c r="M41" s="1022"/>
      <c r="N41" s="1022"/>
      <c r="O41" s="1022"/>
      <c r="P41" s="1022"/>
      <c r="Q41" s="1395" t="s">
        <v>255</v>
      </c>
      <c r="R41" s="1395"/>
      <c r="S41" s="1395"/>
      <c r="T41" s="1395"/>
      <c r="U41" s="1395"/>
      <c r="V41" s="1395"/>
      <c r="W41" s="1395"/>
      <c r="X41" s="1395"/>
      <c r="Y41" s="1395"/>
    </row>
    <row r="42" spans="1:25" x14ac:dyDescent="0.3">
      <c r="A42" s="160">
        <f t="shared" si="6"/>
        <v>32</v>
      </c>
      <c r="B42" s="1392" t="s">
        <v>28</v>
      </c>
      <c r="C42" s="1393"/>
      <c r="D42" s="1394"/>
      <c r="E42" s="399"/>
      <c r="F42" s="400">
        <f t="shared" si="7"/>
        <v>0</v>
      </c>
      <c r="G42" s="438">
        <f t="shared" si="5"/>
        <v>0</v>
      </c>
      <c r="H42" s="160">
        <f t="shared" si="13"/>
        <v>32</v>
      </c>
      <c r="I42" s="1022"/>
      <c r="J42" s="1022"/>
      <c r="K42" s="1022"/>
      <c r="L42" s="1022"/>
      <c r="M42" s="1022"/>
      <c r="N42" s="1022"/>
      <c r="O42" s="1022"/>
      <c r="P42" s="1022"/>
      <c r="Q42" s="1395" t="s">
        <v>255</v>
      </c>
      <c r="R42" s="1395"/>
      <c r="S42" s="1395"/>
      <c r="T42" s="1395"/>
      <c r="U42" s="1395"/>
      <c r="V42" s="1395"/>
      <c r="W42" s="1395"/>
      <c r="X42" s="1395"/>
      <c r="Y42" s="1395"/>
    </row>
    <row r="43" spans="1:25" x14ac:dyDescent="0.3">
      <c r="A43" s="160">
        <f t="shared" si="6"/>
        <v>33</v>
      </c>
      <c r="B43" s="1392" t="s">
        <v>28</v>
      </c>
      <c r="C43" s="1393"/>
      <c r="D43" s="1394"/>
      <c r="E43" s="399"/>
      <c r="F43" s="400">
        <f t="shared" si="7"/>
        <v>0</v>
      </c>
      <c r="G43" s="438">
        <f t="shared" si="5"/>
        <v>0</v>
      </c>
      <c r="H43" s="160">
        <f t="shared" si="13"/>
        <v>33</v>
      </c>
      <c r="I43" s="1022"/>
      <c r="J43" s="1022"/>
      <c r="K43" s="1022"/>
      <c r="L43" s="1022"/>
      <c r="M43" s="1022"/>
      <c r="N43" s="1022"/>
      <c r="O43" s="1022"/>
      <c r="P43" s="1022"/>
      <c r="Q43" s="1395" t="s">
        <v>255</v>
      </c>
      <c r="R43" s="1395"/>
      <c r="S43" s="1395"/>
      <c r="T43" s="1395"/>
      <c r="U43" s="1395"/>
      <c r="V43" s="1395"/>
      <c r="W43" s="1395"/>
      <c r="X43" s="1395"/>
      <c r="Y43" s="1395"/>
    </row>
    <row r="44" spans="1:25" x14ac:dyDescent="0.3">
      <c r="A44" s="160">
        <f t="shared" si="6"/>
        <v>34</v>
      </c>
      <c r="B44" s="1392" t="s">
        <v>28</v>
      </c>
      <c r="C44" s="1393"/>
      <c r="D44" s="1394"/>
      <c r="E44" s="399"/>
      <c r="F44" s="400">
        <f t="shared" si="7"/>
        <v>0</v>
      </c>
      <c r="G44" s="438">
        <f t="shared" si="5"/>
        <v>0</v>
      </c>
      <c r="H44" s="160">
        <f t="shared" si="13"/>
        <v>34</v>
      </c>
      <c r="I44" s="1022"/>
      <c r="J44" s="1022"/>
      <c r="K44" s="1022"/>
      <c r="L44" s="1022"/>
      <c r="M44" s="1022"/>
      <c r="N44" s="1022"/>
      <c r="O44" s="1022"/>
      <c r="P44" s="1022"/>
      <c r="Q44" s="1395" t="s">
        <v>255</v>
      </c>
      <c r="R44" s="1395"/>
      <c r="S44" s="1395"/>
      <c r="T44" s="1395"/>
      <c r="U44" s="1395"/>
      <c r="V44" s="1395"/>
      <c r="W44" s="1395"/>
      <c r="X44" s="1395"/>
      <c r="Y44" s="1395"/>
    </row>
    <row r="45" spans="1:25" x14ac:dyDescent="0.3">
      <c r="A45" s="160">
        <f t="shared" si="6"/>
        <v>35</v>
      </c>
      <c r="B45" s="164" t="s">
        <v>170</v>
      </c>
      <c r="C45" s="162"/>
      <c r="D45" s="162"/>
      <c r="E45" s="398">
        <f>SUM(E28:E44)</f>
        <v>0</v>
      </c>
      <c r="F45" s="398">
        <f>SUM(F28:F44)</f>
        <v>0</v>
      </c>
      <c r="G45" s="437">
        <f>SUM(G28:G44)</f>
        <v>0</v>
      </c>
      <c r="H45" s="160">
        <f t="shared" si="13"/>
        <v>35</v>
      </c>
      <c r="I45" s="1023"/>
      <c r="J45" s="1023"/>
      <c r="K45" s="1023"/>
      <c r="L45" s="1023"/>
      <c r="M45" s="1029"/>
      <c r="N45" s="1030">
        <f>SUM(N28:N44)</f>
        <v>1415.8697916666667</v>
      </c>
      <c r="O45" s="1030">
        <f>SUM(O28:O44)</f>
        <v>16990.4375</v>
      </c>
      <c r="P45" s="1023"/>
      <c r="Q45" s="1395"/>
      <c r="R45" s="1395"/>
      <c r="S45" s="1395"/>
      <c r="T45" s="1395"/>
      <c r="U45" s="1395"/>
      <c r="V45" s="1395"/>
      <c r="W45" s="1395"/>
      <c r="X45" s="1395"/>
      <c r="Y45" s="1395"/>
    </row>
    <row r="46" spans="1:25" x14ac:dyDescent="0.3">
      <c r="A46" s="147"/>
      <c r="B46" s="1430" t="s">
        <v>171</v>
      </c>
      <c r="C46" s="1458"/>
      <c r="D46" s="1459"/>
      <c r="E46" s="401">
        <f>E25+E45</f>
        <v>0</v>
      </c>
      <c r="F46" s="401">
        <f>F45+F25</f>
        <v>0</v>
      </c>
      <c r="G46" s="439">
        <f>G25+G45</f>
        <v>0</v>
      </c>
      <c r="H46" s="174"/>
      <c r="I46" s="1031"/>
      <c r="J46" s="1031"/>
      <c r="K46" s="1031"/>
      <c r="L46" s="1031"/>
      <c r="M46" s="1031"/>
      <c r="N46" s="1030"/>
      <c r="O46" s="1030"/>
      <c r="P46" s="1031"/>
    </row>
    <row r="47" spans="1:25" ht="13.5" customHeight="1" x14ac:dyDescent="0.25">
      <c r="A47" s="175"/>
      <c r="B47" s="176"/>
      <c r="C47" s="176"/>
      <c r="D47" s="176"/>
      <c r="E47" s="177"/>
      <c r="F47" s="177"/>
      <c r="G47" s="178"/>
      <c r="H47" s="149" t="s">
        <v>36</v>
      </c>
      <c r="I47" s="1019"/>
      <c r="J47" s="1019"/>
      <c r="K47" s="1019" t="s">
        <v>835</v>
      </c>
      <c r="L47" s="1019"/>
      <c r="M47" s="1019"/>
      <c r="N47" s="1019"/>
      <c r="O47" s="1019"/>
      <c r="P47" s="1019"/>
      <c r="Q47" s="179" t="s">
        <v>32</v>
      </c>
      <c r="R47" s="152"/>
      <c r="S47" s="152"/>
      <c r="T47" s="152"/>
      <c r="U47" s="152"/>
      <c r="V47" s="152"/>
      <c r="W47" s="152"/>
      <c r="X47" s="152"/>
      <c r="Y47" s="153"/>
    </row>
    <row r="48" spans="1:25" ht="13.5" x14ac:dyDescent="0.25">
      <c r="A48" s="175"/>
      <c r="B48" s="1405" t="s">
        <v>32</v>
      </c>
      <c r="C48" s="1407"/>
      <c r="D48" s="180" t="s">
        <v>2</v>
      </c>
      <c r="E48" s="466" t="s">
        <v>0</v>
      </c>
      <c r="F48" s="466" t="s">
        <v>1</v>
      </c>
      <c r="G48" s="181" t="s">
        <v>33</v>
      </c>
      <c r="H48" s="155" t="s">
        <v>26</v>
      </c>
      <c r="I48" s="1020"/>
      <c r="J48" s="1020"/>
      <c r="K48" s="1020" t="s">
        <v>99</v>
      </c>
      <c r="L48" s="1020"/>
      <c r="M48" s="1020"/>
      <c r="N48" s="1020"/>
      <c r="O48" s="1020"/>
      <c r="P48" s="1020"/>
      <c r="Q48" s="1397" t="s">
        <v>29</v>
      </c>
      <c r="R48" s="1398"/>
      <c r="S48" s="157"/>
      <c r="T48" s="157"/>
      <c r="U48" s="157"/>
      <c r="V48" s="157"/>
      <c r="W48" s="157"/>
      <c r="X48" s="157"/>
      <c r="Y48" s="158"/>
    </row>
    <row r="49" spans="1:25" s="182" customFormat="1" ht="14.25" customHeight="1" x14ac:dyDescent="0.3">
      <c r="A49" s="160">
        <f>A45+1</f>
        <v>36</v>
      </c>
      <c r="B49" s="1415" t="s">
        <v>120</v>
      </c>
      <c r="C49" s="1416"/>
      <c r="D49" s="345">
        <f>IF(J4="No",Page1!D62,0)</f>
        <v>0.09</v>
      </c>
      <c r="E49" s="400">
        <f>D49*E46</f>
        <v>0</v>
      </c>
      <c r="F49" s="400">
        <f>ROUND(E49,2)*12</f>
        <v>0</v>
      </c>
      <c r="G49" s="440">
        <f t="shared" ref="G49:G50" si="16">IF(F49&gt;0,F49/$F$78,0)</f>
        <v>0</v>
      </c>
      <c r="H49" s="160">
        <f>A49</f>
        <v>36</v>
      </c>
      <c r="I49" s="1028"/>
      <c r="J49" s="1028"/>
      <c r="K49" s="1028">
        <f>Page1!N62</f>
        <v>0.09</v>
      </c>
      <c r="L49" s="1028"/>
      <c r="M49" s="1028"/>
      <c r="N49" s="1028"/>
      <c r="O49" s="1028"/>
      <c r="P49" s="1022"/>
      <c r="Q49" s="1392"/>
      <c r="R49" s="1393"/>
      <c r="S49" s="1393"/>
      <c r="T49" s="1393"/>
      <c r="U49" s="1393"/>
      <c r="V49" s="1393"/>
      <c r="W49" s="1393"/>
      <c r="X49" s="1393"/>
      <c r="Y49" s="1394"/>
    </row>
    <row r="50" spans="1:25" s="182" customFormat="1" ht="14.25" customHeight="1" x14ac:dyDescent="0.3">
      <c r="A50" s="160">
        <f>A49+1</f>
        <v>37</v>
      </c>
      <c r="B50" s="1415" t="s">
        <v>815</v>
      </c>
      <c r="C50" s="1416"/>
      <c r="D50" s="345">
        <f>IF(J4="Yes",Page1!D64,0)</f>
        <v>0</v>
      </c>
      <c r="E50" s="400">
        <f>D50*E46</f>
        <v>0</v>
      </c>
      <c r="F50" s="400">
        <f>ROUND(E50,2)*12</f>
        <v>0</v>
      </c>
      <c r="G50" s="440">
        <f t="shared" si="16"/>
        <v>0</v>
      </c>
      <c r="H50" s="160">
        <f>A50</f>
        <v>37</v>
      </c>
      <c r="I50" s="1032"/>
      <c r="J50" s="1032"/>
      <c r="K50" s="1032"/>
      <c r="L50" s="1032"/>
      <c r="M50" s="1032"/>
      <c r="N50" s="1032"/>
      <c r="O50" s="1032"/>
      <c r="P50" s="1033"/>
      <c r="Q50" s="1392"/>
      <c r="R50" s="1393"/>
      <c r="S50" s="1393"/>
      <c r="T50" s="1393"/>
      <c r="U50" s="1393"/>
      <c r="V50" s="1393"/>
      <c r="W50" s="1393"/>
      <c r="X50" s="1393"/>
      <c r="Y50" s="1394"/>
    </row>
    <row r="51" spans="1:25" ht="13.5" customHeight="1" x14ac:dyDescent="0.3">
      <c r="A51" s="147"/>
      <c r="G51" s="183"/>
      <c r="H51" s="149" t="s">
        <v>36</v>
      </c>
      <c r="I51" s="1019"/>
      <c r="J51" s="1019"/>
      <c r="K51" s="1019"/>
      <c r="L51" s="1019"/>
      <c r="M51" s="1019"/>
      <c r="N51" s="1019"/>
      <c r="O51" s="1019"/>
      <c r="P51" s="1019"/>
      <c r="Q51" s="1417" t="s">
        <v>31</v>
      </c>
      <c r="R51" s="1418"/>
      <c r="S51" s="152"/>
      <c r="T51" s="152"/>
      <c r="U51" s="152"/>
      <c r="V51" s="152"/>
      <c r="W51" s="152"/>
      <c r="X51" s="152"/>
      <c r="Y51" s="153"/>
    </row>
    <row r="52" spans="1:25" x14ac:dyDescent="0.3">
      <c r="A52" s="147"/>
      <c r="B52" s="1421" t="s">
        <v>31</v>
      </c>
      <c r="C52" s="1456"/>
      <c r="D52" s="1457"/>
      <c r="E52" s="466" t="s">
        <v>0</v>
      </c>
      <c r="F52" s="466" t="s">
        <v>1</v>
      </c>
      <c r="G52" s="184" t="s">
        <v>33</v>
      </c>
      <c r="H52" s="155" t="s">
        <v>26</v>
      </c>
      <c r="I52" s="1020"/>
      <c r="J52" s="1020"/>
      <c r="K52" s="1020"/>
      <c r="L52" s="1020"/>
      <c r="M52" s="1020"/>
      <c r="N52" s="1020"/>
      <c r="O52" s="1020"/>
      <c r="P52" s="1020"/>
      <c r="Q52" s="1397" t="s">
        <v>29</v>
      </c>
      <c r="R52" s="1398"/>
      <c r="S52" s="157"/>
      <c r="T52" s="157"/>
      <c r="U52" s="157"/>
      <c r="V52" s="157"/>
      <c r="W52" s="157"/>
      <c r="X52" s="157"/>
      <c r="Y52" s="158"/>
    </row>
    <row r="53" spans="1:25" x14ac:dyDescent="0.3">
      <c r="A53" s="160">
        <f>A50+1</f>
        <v>38</v>
      </c>
      <c r="B53" s="1426" t="s">
        <v>185</v>
      </c>
      <c r="C53" s="1427"/>
      <c r="D53" s="779"/>
      <c r="E53" s="171"/>
      <c r="F53" s="171"/>
      <c r="G53" s="172"/>
      <c r="H53" s="160">
        <f t="shared" ref="H53:H71" si="17">A53</f>
        <v>38</v>
      </c>
      <c r="I53" s="1021"/>
      <c r="J53" s="1021"/>
      <c r="K53" s="1021"/>
      <c r="L53" s="1021"/>
      <c r="M53" s="1021"/>
      <c r="N53" s="1021"/>
      <c r="O53" s="1021"/>
      <c r="P53" s="1021"/>
      <c r="Q53" s="1424"/>
      <c r="R53" s="1425"/>
      <c r="S53" s="1425"/>
      <c r="T53" s="1425"/>
      <c r="U53" s="1425"/>
      <c r="V53" s="1425"/>
      <c r="W53" s="1425"/>
      <c r="X53" s="1425"/>
      <c r="Y53" s="1425"/>
    </row>
    <row r="54" spans="1:25" x14ac:dyDescent="0.3">
      <c r="A54" s="160">
        <f>A53+1</f>
        <v>39</v>
      </c>
      <c r="B54" s="1413" t="s">
        <v>697</v>
      </c>
      <c r="C54" s="1414"/>
      <c r="D54" s="701"/>
      <c r="E54" s="466"/>
      <c r="F54" s="171"/>
      <c r="G54" s="172"/>
      <c r="H54" s="160">
        <f t="shared" si="17"/>
        <v>39</v>
      </c>
      <c r="I54" s="1021"/>
      <c r="J54" s="1021"/>
      <c r="K54" s="1021"/>
      <c r="L54" s="1021"/>
      <c r="M54" s="1021"/>
      <c r="N54" s="1021"/>
      <c r="O54" s="1021"/>
      <c r="P54" s="1021"/>
      <c r="Q54" s="1395"/>
      <c r="R54" s="1395"/>
      <c r="S54" s="1395"/>
      <c r="T54" s="1395"/>
      <c r="U54" s="1395"/>
      <c r="V54" s="1395"/>
      <c r="W54" s="1395"/>
      <c r="X54" s="1395"/>
      <c r="Y54" s="1395"/>
    </row>
    <row r="55" spans="1:25" x14ac:dyDescent="0.3">
      <c r="A55" s="160">
        <f t="shared" ref="A55:A71" si="18">A54+1</f>
        <v>40</v>
      </c>
      <c r="B55" s="1389" t="s">
        <v>186</v>
      </c>
      <c r="C55" s="1390"/>
      <c r="D55" s="1391"/>
      <c r="E55" s="402"/>
      <c r="F55" s="403">
        <f>ROUND(E55,2)*12</f>
        <v>0</v>
      </c>
      <c r="G55" s="438">
        <f t="shared" ref="G55:G56" si="19">IF(F55&gt;0,F55/$F$78,0)</f>
        <v>0</v>
      </c>
      <c r="H55" s="160">
        <f t="shared" si="17"/>
        <v>40</v>
      </c>
      <c r="I55" s="1023"/>
      <c r="J55" s="1023"/>
      <c r="K55" s="1023"/>
      <c r="L55" s="1023"/>
      <c r="M55" s="1023"/>
      <c r="N55" s="1023"/>
      <c r="O55" s="1023"/>
      <c r="P55" s="1023"/>
      <c r="Q55" s="1395"/>
      <c r="R55" s="1395"/>
      <c r="S55" s="1395"/>
      <c r="T55" s="1395"/>
      <c r="U55" s="1395"/>
      <c r="V55" s="1395"/>
      <c r="W55" s="1395"/>
      <c r="X55" s="1395"/>
      <c r="Y55" s="1395"/>
    </row>
    <row r="56" spans="1:25" x14ac:dyDescent="0.3">
      <c r="A56" s="160">
        <f t="shared" si="18"/>
        <v>41</v>
      </c>
      <c r="B56" s="1389" t="s">
        <v>187</v>
      </c>
      <c r="C56" s="1390"/>
      <c r="D56" s="1391"/>
      <c r="E56" s="402"/>
      <c r="F56" s="403">
        <f>ROUND(E56,2)*12</f>
        <v>0</v>
      </c>
      <c r="G56" s="438">
        <f t="shared" si="19"/>
        <v>0</v>
      </c>
      <c r="H56" s="160">
        <f t="shared" si="17"/>
        <v>41</v>
      </c>
      <c r="I56" s="1023"/>
      <c r="J56" s="1023"/>
      <c r="K56" s="1023"/>
      <c r="L56" s="1023"/>
      <c r="M56" s="1023"/>
      <c r="N56" s="1023"/>
      <c r="O56" s="1023"/>
      <c r="P56" s="1023"/>
      <c r="Q56" s="1395"/>
      <c r="R56" s="1395"/>
      <c r="S56" s="1395"/>
      <c r="T56" s="1395"/>
      <c r="U56" s="1395"/>
      <c r="V56" s="1395"/>
      <c r="W56" s="1395"/>
      <c r="X56" s="1395"/>
      <c r="Y56" s="1395"/>
    </row>
    <row r="57" spans="1:25" x14ac:dyDescent="0.3">
      <c r="A57" s="160">
        <f t="shared" si="18"/>
        <v>42</v>
      </c>
      <c r="B57" s="1426" t="s">
        <v>188</v>
      </c>
      <c r="C57" s="1427"/>
      <c r="D57" s="779"/>
      <c r="E57" s="403"/>
      <c r="F57" s="403"/>
      <c r="G57" s="438"/>
      <c r="H57" s="160">
        <f t="shared" si="17"/>
        <v>42</v>
      </c>
      <c r="I57" s="1023"/>
      <c r="J57" s="1023"/>
      <c r="K57" s="1023"/>
      <c r="L57" s="1023"/>
      <c r="M57" s="1023"/>
      <c r="N57" s="1023"/>
      <c r="O57" s="1023"/>
      <c r="P57" s="1023"/>
      <c r="Q57" s="1395"/>
      <c r="R57" s="1395"/>
      <c r="S57" s="1395"/>
      <c r="T57" s="1395"/>
      <c r="U57" s="1395"/>
      <c r="V57" s="1395"/>
      <c r="W57" s="1395"/>
      <c r="X57" s="1395"/>
      <c r="Y57" s="1395"/>
    </row>
    <row r="58" spans="1:25" ht="13.9" customHeight="1" x14ac:dyDescent="0.3">
      <c r="A58" s="160">
        <f t="shared" si="18"/>
        <v>43</v>
      </c>
      <c r="B58" s="1413" t="s">
        <v>697</v>
      </c>
      <c r="C58" s="1414"/>
      <c r="D58" s="701"/>
      <c r="E58" s="171"/>
      <c r="F58" s="403"/>
      <c r="G58" s="438"/>
      <c r="H58" s="160">
        <f t="shared" si="17"/>
        <v>43</v>
      </c>
      <c r="I58" s="1023"/>
      <c r="J58" s="1023"/>
      <c r="K58" s="1023"/>
      <c r="L58" s="1023"/>
      <c r="M58" s="1023"/>
      <c r="N58" s="1023"/>
      <c r="O58" s="1023"/>
      <c r="P58" s="1023"/>
      <c r="Q58" s="1395"/>
      <c r="R58" s="1395"/>
      <c r="S58" s="1395"/>
      <c r="T58" s="1395"/>
      <c r="U58" s="1395"/>
      <c r="V58" s="1395"/>
      <c r="W58" s="1395"/>
      <c r="X58" s="1395"/>
      <c r="Y58" s="1395"/>
    </row>
    <row r="59" spans="1:25" x14ac:dyDescent="0.3">
      <c r="A59" s="160">
        <f t="shared" si="18"/>
        <v>44</v>
      </c>
      <c r="B59" s="1389" t="s">
        <v>189</v>
      </c>
      <c r="C59" s="1390"/>
      <c r="D59" s="1391"/>
      <c r="E59" s="402"/>
      <c r="F59" s="403">
        <f t="shared" ref="F59:F60" si="20">ROUND(E59,2)*12</f>
        <v>0</v>
      </c>
      <c r="G59" s="438">
        <f t="shared" ref="G59:G60" si="21">IF(F59&gt;0,F59/$F$78,0)</f>
        <v>0</v>
      </c>
      <c r="H59" s="160">
        <f t="shared" si="17"/>
        <v>44</v>
      </c>
      <c r="I59" s="1023"/>
      <c r="J59" s="1023"/>
      <c r="K59" s="1023"/>
      <c r="L59" s="1023"/>
      <c r="M59" s="1023"/>
      <c r="N59" s="1023"/>
      <c r="O59" s="1023"/>
      <c r="P59" s="1023"/>
      <c r="Q59" s="1395"/>
      <c r="R59" s="1395"/>
      <c r="S59" s="1395"/>
      <c r="T59" s="1395"/>
      <c r="U59" s="1395"/>
      <c r="V59" s="1395"/>
      <c r="W59" s="1395"/>
      <c r="X59" s="1395"/>
      <c r="Y59" s="1395"/>
    </row>
    <row r="60" spans="1:25" x14ac:dyDescent="0.3">
      <c r="A60" s="160">
        <f t="shared" si="18"/>
        <v>45</v>
      </c>
      <c r="B60" s="1389" t="s">
        <v>190</v>
      </c>
      <c r="C60" s="1390"/>
      <c r="D60" s="1391"/>
      <c r="E60" s="402"/>
      <c r="F60" s="403">
        <f t="shared" si="20"/>
        <v>0</v>
      </c>
      <c r="G60" s="438">
        <f t="shared" si="21"/>
        <v>0</v>
      </c>
      <c r="H60" s="160">
        <f t="shared" si="17"/>
        <v>45</v>
      </c>
      <c r="I60" s="1023"/>
      <c r="J60" s="1023"/>
      <c r="K60" s="1023"/>
      <c r="L60" s="1023"/>
      <c r="M60" s="1023"/>
      <c r="N60" s="1023"/>
      <c r="O60" s="1023"/>
      <c r="P60" s="1023"/>
      <c r="Q60" s="1395"/>
      <c r="R60" s="1395"/>
      <c r="S60" s="1395"/>
      <c r="T60" s="1395"/>
      <c r="U60" s="1395"/>
      <c r="V60" s="1395"/>
      <c r="W60" s="1395"/>
      <c r="X60" s="1395"/>
      <c r="Y60" s="1395"/>
    </row>
    <row r="61" spans="1:25" x14ac:dyDescent="0.3">
      <c r="A61" s="160">
        <f t="shared" si="18"/>
        <v>46</v>
      </c>
      <c r="B61" s="780" t="s">
        <v>191</v>
      </c>
      <c r="C61" s="781"/>
      <c r="D61" s="779"/>
      <c r="E61" s="403"/>
      <c r="F61" s="403"/>
      <c r="G61" s="438"/>
      <c r="H61" s="160">
        <f t="shared" si="17"/>
        <v>46</v>
      </c>
      <c r="I61" s="1023"/>
      <c r="J61" s="1023"/>
      <c r="K61" s="1023"/>
      <c r="L61" s="1023"/>
      <c r="M61" s="1023"/>
      <c r="N61" s="1023"/>
      <c r="O61" s="1023"/>
      <c r="P61" s="1023"/>
      <c r="Q61" s="1395"/>
      <c r="R61" s="1395"/>
      <c r="S61" s="1395"/>
      <c r="T61" s="1395"/>
      <c r="U61" s="1395"/>
      <c r="V61" s="1395"/>
      <c r="W61" s="1395"/>
      <c r="X61" s="1395"/>
      <c r="Y61" s="1395"/>
    </row>
    <row r="62" spans="1:25" x14ac:dyDescent="0.3">
      <c r="A62" s="160">
        <f>A61+1</f>
        <v>47</v>
      </c>
      <c r="B62" s="1389" t="s">
        <v>632</v>
      </c>
      <c r="C62" s="1390"/>
      <c r="D62" s="1391"/>
      <c r="E62" s="402"/>
      <c r="F62" s="403">
        <f t="shared" ref="F62:F71" si="22">ROUND(E62,2)*12</f>
        <v>0</v>
      </c>
      <c r="G62" s="438">
        <f t="shared" ref="G62:G71" si="23">IF(F62&gt;0,F62/$F$78,0)</f>
        <v>0</v>
      </c>
      <c r="H62" s="160">
        <f t="shared" si="17"/>
        <v>47</v>
      </c>
      <c r="I62" s="1023"/>
      <c r="J62" s="1023"/>
      <c r="K62" s="1023"/>
      <c r="L62" s="1023"/>
      <c r="M62" s="1023"/>
      <c r="N62" s="1023"/>
      <c r="O62" s="1023"/>
      <c r="P62" s="1023"/>
      <c r="Q62" s="1395"/>
      <c r="R62" s="1395"/>
      <c r="S62" s="1395"/>
      <c r="T62" s="1395"/>
      <c r="U62" s="1395"/>
      <c r="V62" s="1395"/>
      <c r="W62" s="1395"/>
      <c r="X62" s="1395"/>
      <c r="Y62" s="1395"/>
    </row>
    <row r="63" spans="1:25" x14ac:dyDescent="0.3">
      <c r="A63" s="160">
        <f t="shared" si="18"/>
        <v>48</v>
      </c>
      <c r="B63" s="1389" t="s">
        <v>634</v>
      </c>
      <c r="C63" s="1390"/>
      <c r="D63" s="1391"/>
      <c r="E63" s="402"/>
      <c r="F63" s="403">
        <f t="shared" si="22"/>
        <v>0</v>
      </c>
      <c r="G63" s="438">
        <f t="shared" si="23"/>
        <v>0</v>
      </c>
      <c r="H63" s="160">
        <f t="shared" si="17"/>
        <v>48</v>
      </c>
      <c r="I63" s="1023"/>
      <c r="J63" s="1023"/>
      <c r="K63" s="1023"/>
      <c r="L63" s="1023"/>
      <c r="M63" s="1023"/>
      <c r="N63" s="1023"/>
      <c r="O63" s="1023"/>
      <c r="P63" s="1023"/>
      <c r="Q63" s="1395"/>
      <c r="R63" s="1395"/>
      <c r="S63" s="1395"/>
      <c r="T63" s="1395"/>
      <c r="U63" s="1395"/>
      <c r="V63" s="1395"/>
      <c r="W63" s="1395"/>
      <c r="X63" s="1395"/>
      <c r="Y63" s="1395"/>
    </row>
    <row r="64" spans="1:25" x14ac:dyDescent="0.3">
      <c r="A64" s="160">
        <f t="shared" si="18"/>
        <v>49</v>
      </c>
      <c r="B64" s="1389" t="s">
        <v>631</v>
      </c>
      <c r="C64" s="1390"/>
      <c r="D64" s="1391"/>
      <c r="E64" s="402"/>
      <c r="F64" s="403">
        <f t="shared" si="22"/>
        <v>0</v>
      </c>
      <c r="G64" s="438">
        <f t="shared" si="23"/>
        <v>0</v>
      </c>
      <c r="H64" s="160">
        <f t="shared" si="17"/>
        <v>49</v>
      </c>
      <c r="I64" s="1023"/>
      <c r="J64" s="1023"/>
      <c r="K64" s="1023"/>
      <c r="L64" s="1023"/>
      <c r="M64" s="1023"/>
      <c r="N64" s="1023"/>
      <c r="O64" s="1023"/>
      <c r="P64" s="1023"/>
      <c r="Q64" s="1395"/>
      <c r="R64" s="1395"/>
      <c r="S64" s="1395"/>
      <c r="T64" s="1395"/>
      <c r="U64" s="1395"/>
      <c r="V64" s="1395"/>
      <c r="W64" s="1395"/>
      <c r="X64" s="1395"/>
      <c r="Y64" s="1395"/>
    </row>
    <row r="65" spans="1:25" x14ac:dyDescent="0.3">
      <c r="A65" s="160">
        <f t="shared" si="18"/>
        <v>50</v>
      </c>
      <c r="B65" s="1389" t="s">
        <v>635</v>
      </c>
      <c r="C65" s="1390"/>
      <c r="D65" s="1391"/>
      <c r="E65" s="402"/>
      <c r="F65" s="403">
        <f t="shared" si="22"/>
        <v>0</v>
      </c>
      <c r="G65" s="438">
        <f t="shared" si="23"/>
        <v>0</v>
      </c>
      <c r="H65" s="160">
        <f t="shared" si="17"/>
        <v>50</v>
      </c>
      <c r="I65" s="1023"/>
      <c r="J65" s="1023"/>
      <c r="K65" s="1023"/>
      <c r="L65" s="1023"/>
      <c r="M65" s="1023"/>
      <c r="N65" s="1023"/>
      <c r="O65" s="1023"/>
      <c r="P65" s="1023"/>
      <c r="Q65" s="1395"/>
      <c r="R65" s="1395"/>
      <c r="S65" s="1395"/>
      <c r="T65" s="1395"/>
      <c r="U65" s="1395"/>
      <c r="V65" s="1395"/>
      <c r="W65" s="1395"/>
      <c r="X65" s="1395"/>
      <c r="Y65" s="1395"/>
    </row>
    <row r="66" spans="1:25" x14ac:dyDescent="0.3">
      <c r="A66" s="160">
        <f t="shared" si="18"/>
        <v>51</v>
      </c>
      <c r="B66" s="1389" t="s">
        <v>633</v>
      </c>
      <c r="C66" s="1390"/>
      <c r="D66" s="1391"/>
      <c r="E66" s="402"/>
      <c r="F66" s="403">
        <f t="shared" si="22"/>
        <v>0</v>
      </c>
      <c r="G66" s="438">
        <f t="shared" si="23"/>
        <v>0</v>
      </c>
      <c r="H66" s="160">
        <f t="shared" si="17"/>
        <v>51</v>
      </c>
      <c r="I66" s="1023"/>
      <c r="J66" s="1023"/>
      <c r="K66" s="1023"/>
      <c r="L66" s="1023"/>
      <c r="M66" s="1023"/>
      <c r="N66" s="1023"/>
      <c r="O66" s="1023"/>
      <c r="P66" s="1023"/>
      <c r="Q66" s="1395"/>
      <c r="R66" s="1395"/>
      <c r="S66" s="1395"/>
      <c r="T66" s="1395"/>
      <c r="U66" s="1395"/>
      <c r="V66" s="1395"/>
      <c r="W66" s="1395"/>
      <c r="X66" s="1395"/>
      <c r="Y66" s="1395"/>
    </row>
    <row r="67" spans="1:25" x14ac:dyDescent="0.3">
      <c r="A67" s="160">
        <f t="shared" si="18"/>
        <v>52</v>
      </c>
      <c r="B67" s="1389" t="s">
        <v>630</v>
      </c>
      <c r="C67" s="1390"/>
      <c r="D67" s="1391"/>
      <c r="E67" s="402">
        <v>0</v>
      </c>
      <c r="F67" s="403">
        <f t="shared" si="22"/>
        <v>0</v>
      </c>
      <c r="G67" s="438">
        <f t="shared" si="23"/>
        <v>0</v>
      </c>
      <c r="H67" s="160">
        <f t="shared" si="17"/>
        <v>52</v>
      </c>
      <c r="I67" s="1023"/>
      <c r="J67" s="1023"/>
      <c r="K67" s="1023"/>
      <c r="L67" s="1023"/>
      <c r="M67" s="1023"/>
      <c r="N67" s="1023"/>
      <c r="O67" s="1023"/>
      <c r="P67" s="1023"/>
      <c r="Q67" s="1395"/>
      <c r="R67" s="1395"/>
      <c r="S67" s="1395"/>
      <c r="T67" s="1395"/>
      <c r="U67" s="1395"/>
      <c r="V67" s="1395"/>
      <c r="W67" s="1395"/>
      <c r="X67" s="1395"/>
      <c r="Y67" s="1395"/>
    </row>
    <row r="68" spans="1:25" x14ac:dyDescent="0.3">
      <c r="A68" s="160">
        <f t="shared" si="18"/>
        <v>53</v>
      </c>
      <c r="B68" s="1392" t="s">
        <v>28</v>
      </c>
      <c r="C68" s="1393"/>
      <c r="D68" s="1394"/>
      <c r="E68" s="399"/>
      <c r="F68" s="400">
        <f t="shared" si="22"/>
        <v>0</v>
      </c>
      <c r="G68" s="438">
        <f t="shared" si="23"/>
        <v>0</v>
      </c>
      <c r="H68" s="160">
        <f t="shared" si="17"/>
        <v>53</v>
      </c>
      <c r="I68" s="1023"/>
      <c r="J68" s="1023"/>
      <c r="K68" s="1023"/>
      <c r="L68" s="1023"/>
      <c r="M68" s="1023"/>
      <c r="N68" s="1023"/>
      <c r="O68" s="1023"/>
      <c r="P68" s="1023"/>
      <c r="Q68" s="1395" t="s">
        <v>255</v>
      </c>
      <c r="R68" s="1395"/>
      <c r="S68" s="1395"/>
      <c r="T68" s="1395"/>
      <c r="U68" s="1395"/>
      <c r="V68" s="1395"/>
      <c r="W68" s="1395"/>
      <c r="X68" s="1395"/>
      <c r="Y68" s="1395"/>
    </row>
    <row r="69" spans="1:25" x14ac:dyDescent="0.3">
      <c r="A69" s="160">
        <f t="shared" si="18"/>
        <v>54</v>
      </c>
      <c r="B69" s="1392" t="s">
        <v>28</v>
      </c>
      <c r="C69" s="1393"/>
      <c r="D69" s="1394"/>
      <c r="E69" s="399"/>
      <c r="F69" s="400">
        <f t="shared" si="22"/>
        <v>0</v>
      </c>
      <c r="G69" s="438">
        <f t="shared" si="23"/>
        <v>0</v>
      </c>
      <c r="H69" s="160">
        <f t="shared" si="17"/>
        <v>54</v>
      </c>
      <c r="I69" s="1023"/>
      <c r="J69" s="1023"/>
      <c r="K69" s="1023"/>
      <c r="L69" s="1023"/>
      <c r="M69" s="1023"/>
      <c r="N69" s="1023"/>
      <c r="O69" s="1023"/>
      <c r="P69" s="1023"/>
      <c r="Q69" s="1395" t="s">
        <v>255</v>
      </c>
      <c r="R69" s="1395"/>
      <c r="S69" s="1395"/>
      <c r="T69" s="1395"/>
      <c r="U69" s="1395"/>
      <c r="V69" s="1395"/>
      <c r="W69" s="1395"/>
      <c r="X69" s="1395"/>
      <c r="Y69" s="1395"/>
    </row>
    <row r="70" spans="1:25" x14ac:dyDescent="0.3">
      <c r="A70" s="160">
        <f t="shared" si="18"/>
        <v>55</v>
      </c>
      <c r="B70" s="1392" t="s">
        <v>28</v>
      </c>
      <c r="C70" s="1393"/>
      <c r="D70" s="1394"/>
      <c r="E70" s="399"/>
      <c r="F70" s="400">
        <f t="shared" si="22"/>
        <v>0</v>
      </c>
      <c r="G70" s="438">
        <f t="shared" si="23"/>
        <v>0</v>
      </c>
      <c r="H70" s="160">
        <f t="shared" si="17"/>
        <v>55</v>
      </c>
      <c r="I70" s="1023"/>
      <c r="J70" s="1023"/>
      <c r="K70" s="1023"/>
      <c r="L70" s="1023"/>
      <c r="M70" s="1023"/>
      <c r="N70" s="1023"/>
      <c r="O70" s="1023"/>
      <c r="P70" s="1023"/>
      <c r="Q70" s="1395" t="s">
        <v>255</v>
      </c>
      <c r="R70" s="1395"/>
      <c r="S70" s="1395"/>
      <c r="T70" s="1395"/>
      <c r="U70" s="1395"/>
      <c r="V70" s="1395"/>
      <c r="W70" s="1395"/>
      <c r="X70" s="1395"/>
      <c r="Y70" s="1395"/>
    </row>
    <row r="71" spans="1:25" x14ac:dyDescent="0.3">
      <c r="A71" s="160">
        <f t="shared" si="18"/>
        <v>56</v>
      </c>
      <c r="B71" s="1392" t="s">
        <v>28</v>
      </c>
      <c r="C71" s="1393"/>
      <c r="D71" s="1394"/>
      <c r="E71" s="399"/>
      <c r="F71" s="400">
        <f t="shared" si="22"/>
        <v>0</v>
      </c>
      <c r="G71" s="438">
        <f t="shared" si="23"/>
        <v>0</v>
      </c>
      <c r="H71" s="160">
        <f t="shared" si="17"/>
        <v>56</v>
      </c>
      <c r="I71" s="1023"/>
      <c r="J71" s="1023"/>
      <c r="K71" s="1023"/>
      <c r="L71" s="1023"/>
      <c r="M71" s="1023"/>
      <c r="N71" s="1023"/>
      <c r="O71" s="1023"/>
      <c r="P71" s="1023"/>
      <c r="Q71" s="1395" t="s">
        <v>255</v>
      </c>
      <c r="R71" s="1395"/>
      <c r="S71" s="1395"/>
      <c r="T71" s="1395"/>
      <c r="U71" s="1395"/>
      <c r="V71" s="1395"/>
      <c r="W71" s="1395"/>
      <c r="X71" s="1395"/>
      <c r="Y71" s="1395"/>
    </row>
    <row r="72" spans="1:25" ht="13.5" x14ac:dyDescent="0.25">
      <c r="B72" s="1429" t="s">
        <v>4</v>
      </c>
      <c r="C72" s="1430"/>
      <c r="D72" s="785"/>
      <c r="E72" s="401">
        <f>SUM(E53:E71)</f>
        <v>0</v>
      </c>
      <c r="F72" s="401">
        <f>SUM(F53:F71)</f>
        <v>0</v>
      </c>
      <c r="G72" s="439">
        <f>SUM(G53:G71)</f>
        <v>0</v>
      </c>
      <c r="H72" s="174"/>
      <c r="I72" s="1034"/>
      <c r="J72" s="1034"/>
      <c r="K72" s="1034"/>
      <c r="L72" s="1034"/>
      <c r="M72" s="1034"/>
      <c r="N72" s="1034"/>
      <c r="O72" s="1034"/>
      <c r="P72" s="1034"/>
    </row>
    <row r="73" spans="1:25" ht="13.5" x14ac:dyDescent="0.25">
      <c r="B73" s="186"/>
      <c r="C73" s="186"/>
      <c r="D73" s="186"/>
      <c r="E73" s="394"/>
      <c r="F73" s="394"/>
      <c r="G73" s="395"/>
      <c r="H73" s="149" t="s">
        <v>36</v>
      </c>
      <c r="I73" s="1019"/>
      <c r="J73" s="1019"/>
      <c r="K73" s="1019"/>
      <c r="L73" s="1019"/>
      <c r="M73" s="1019"/>
      <c r="N73" s="1019"/>
      <c r="O73" s="1019"/>
      <c r="P73" s="1019"/>
      <c r="Q73" s="786" t="s">
        <v>276</v>
      </c>
      <c r="R73" s="787"/>
      <c r="S73" s="152"/>
      <c r="T73" s="152"/>
      <c r="U73" s="152"/>
      <c r="V73" s="152"/>
      <c r="W73" s="152"/>
      <c r="X73" s="152"/>
      <c r="Y73" s="153"/>
    </row>
    <row r="74" spans="1:25" ht="13.5" x14ac:dyDescent="0.25">
      <c r="B74" s="1405" t="s">
        <v>276</v>
      </c>
      <c r="C74" s="1406"/>
      <c r="D74" s="1407"/>
      <c r="E74" s="466" t="s">
        <v>0</v>
      </c>
      <c r="F74" s="466" t="s">
        <v>1</v>
      </c>
      <c r="G74" s="184" t="s">
        <v>33</v>
      </c>
      <c r="H74" s="155" t="s">
        <v>26</v>
      </c>
      <c r="I74" s="1020"/>
      <c r="J74" s="1020"/>
      <c r="K74" s="1020"/>
      <c r="L74" s="1020"/>
      <c r="M74" s="1020"/>
      <c r="N74" s="1020"/>
      <c r="O74" s="1020"/>
      <c r="P74" s="1020"/>
      <c r="Q74" s="1397" t="s">
        <v>29</v>
      </c>
      <c r="R74" s="1398"/>
      <c r="S74" s="157"/>
      <c r="T74" s="157"/>
      <c r="U74" s="157"/>
      <c r="V74" s="157"/>
      <c r="W74" s="157"/>
      <c r="X74" s="157"/>
      <c r="Y74" s="158"/>
    </row>
    <row r="75" spans="1:25" x14ac:dyDescent="0.3">
      <c r="A75" s="160">
        <f>A71+1</f>
        <v>57</v>
      </c>
      <c r="B75" s="1392"/>
      <c r="C75" s="1393"/>
      <c r="D75" s="1394"/>
      <c r="E75" s="399">
        <v>0</v>
      </c>
      <c r="F75" s="400">
        <f t="shared" ref="F75:F76" si="24">ROUND(E75,2)*12</f>
        <v>0</v>
      </c>
      <c r="G75" s="438">
        <f t="shared" ref="G75:G76" si="25">IF(F75&gt;0,F75/$F$78,0)</f>
        <v>0</v>
      </c>
      <c r="H75" s="160">
        <f t="shared" ref="H75:H76" si="26">A75</f>
        <v>57</v>
      </c>
      <c r="I75" s="1023"/>
      <c r="J75" s="1023"/>
      <c r="K75" s="1023"/>
      <c r="L75" s="1023"/>
      <c r="M75" s="1023"/>
      <c r="N75" s="1023"/>
      <c r="O75" s="1023"/>
      <c r="P75" s="1023"/>
      <c r="Q75" s="1395"/>
      <c r="R75" s="1395"/>
      <c r="S75" s="1395"/>
      <c r="T75" s="1395"/>
      <c r="U75" s="1395"/>
      <c r="V75" s="1395"/>
      <c r="W75" s="1395"/>
      <c r="X75" s="1395"/>
      <c r="Y75" s="1395"/>
    </row>
    <row r="76" spans="1:25" x14ac:dyDescent="0.3">
      <c r="A76" s="160">
        <f t="shared" ref="A76" si="27">A75+1</f>
        <v>58</v>
      </c>
      <c r="B76" s="1392" t="s">
        <v>28</v>
      </c>
      <c r="C76" s="1393"/>
      <c r="D76" s="1394"/>
      <c r="E76" s="399"/>
      <c r="F76" s="400">
        <f t="shared" si="24"/>
        <v>0</v>
      </c>
      <c r="G76" s="438">
        <f t="shared" si="25"/>
        <v>0</v>
      </c>
      <c r="H76" s="160">
        <f t="shared" si="26"/>
        <v>58</v>
      </c>
      <c r="I76" s="1023"/>
      <c r="J76" s="1023"/>
      <c r="K76" s="1023"/>
      <c r="L76" s="1023"/>
      <c r="M76" s="1023"/>
      <c r="N76" s="1023"/>
      <c r="O76" s="1023"/>
      <c r="P76" s="1023"/>
      <c r="Q76" s="1395" t="s">
        <v>255</v>
      </c>
      <c r="R76" s="1395"/>
      <c r="S76" s="1395"/>
      <c r="T76" s="1395"/>
      <c r="U76" s="1395"/>
      <c r="V76" s="1395"/>
      <c r="W76" s="1395"/>
      <c r="X76" s="1395"/>
      <c r="Y76" s="1395"/>
    </row>
    <row r="77" spans="1:25" x14ac:dyDescent="0.3">
      <c r="A77" s="194"/>
      <c r="B77" s="1429" t="s">
        <v>339</v>
      </c>
      <c r="C77" s="1430"/>
      <c r="D77" s="785"/>
      <c r="E77" s="401">
        <f>SUM(E75:E76)</f>
        <v>0</v>
      </c>
      <c r="F77" s="401">
        <f>SUM(F75:F76)</f>
        <v>0</v>
      </c>
      <c r="G77" s="439">
        <f>SUM(G75:G76)</f>
        <v>0</v>
      </c>
      <c r="H77" s="174"/>
      <c r="I77" s="1034"/>
      <c r="J77" s="1034"/>
      <c r="K77" s="1034"/>
      <c r="L77" s="1034"/>
      <c r="M77" s="1034"/>
      <c r="N77" s="1034"/>
      <c r="O77" s="1034"/>
      <c r="P77" s="1034"/>
    </row>
    <row r="78" spans="1:25" ht="15.75" x14ac:dyDescent="0.25">
      <c r="B78" s="1411" t="s">
        <v>40</v>
      </c>
      <c r="C78" s="1412"/>
      <c r="D78" s="393"/>
      <c r="E78" s="404">
        <f>E46+E72+E49+E50+E77</f>
        <v>0</v>
      </c>
      <c r="F78" s="404">
        <f>F46+F49+F50+F72+F77</f>
        <v>0</v>
      </c>
      <c r="G78" s="441">
        <f>G46+G49+G72+G50+G77</f>
        <v>0</v>
      </c>
      <c r="H78" s="174"/>
      <c r="I78" s="1034"/>
      <c r="J78" s="1034"/>
      <c r="K78" s="1034"/>
      <c r="L78" s="1034"/>
      <c r="M78" s="1034"/>
      <c r="N78" s="1034"/>
      <c r="O78" s="1034"/>
      <c r="P78" s="1034"/>
    </row>
    <row r="79" spans="1:25" s="145" customFormat="1" x14ac:dyDescent="0.3">
      <c r="A79" s="185"/>
      <c r="B79" s="186"/>
      <c r="C79" s="186"/>
      <c r="D79" s="186"/>
      <c r="E79" s="187"/>
      <c r="F79" s="187"/>
      <c r="G79" s="188"/>
      <c r="H79" s="189"/>
      <c r="I79" s="1035"/>
      <c r="J79" s="1035"/>
      <c r="K79" s="1035"/>
      <c r="L79" s="1035"/>
      <c r="M79" s="1035"/>
      <c r="N79" s="1035"/>
      <c r="O79" s="1035"/>
      <c r="P79" s="1035"/>
      <c r="Q79" s="190"/>
      <c r="R79" s="190"/>
      <c r="S79" s="190"/>
      <c r="T79" s="190"/>
      <c r="U79" s="190"/>
      <c r="V79" s="190"/>
      <c r="W79" s="190"/>
      <c r="X79" s="190"/>
      <c r="Y79" s="190"/>
    </row>
    <row r="80" spans="1:25" ht="17.25" customHeight="1" x14ac:dyDescent="0.25">
      <c r="A80" s="148" t="s">
        <v>36</v>
      </c>
      <c r="B80" s="1419" t="s">
        <v>41</v>
      </c>
      <c r="C80" s="1419"/>
      <c r="D80" s="1419"/>
      <c r="E80" s="1419"/>
      <c r="F80" s="1419"/>
      <c r="G80" s="1419"/>
      <c r="H80" s="149" t="s">
        <v>36</v>
      </c>
      <c r="I80" s="1436"/>
      <c r="J80" s="1036"/>
      <c r="K80" s="1036"/>
      <c r="L80" s="1036"/>
      <c r="M80" s="1036"/>
      <c r="N80" s="1036"/>
      <c r="O80" s="1036"/>
      <c r="P80" s="1036"/>
      <c r="Q80" s="1418" t="s">
        <v>34</v>
      </c>
      <c r="R80" s="1418"/>
      <c r="S80" s="152"/>
      <c r="T80" s="152"/>
      <c r="U80" s="152"/>
      <c r="V80" s="152"/>
      <c r="W80" s="152"/>
      <c r="X80" s="152"/>
      <c r="Y80" s="153"/>
    </row>
    <row r="81" spans="1:25" s="192" customFormat="1" ht="14.25" customHeight="1" x14ac:dyDescent="0.25">
      <c r="A81" s="154" t="s">
        <v>26</v>
      </c>
      <c r="B81" s="1420" t="s">
        <v>455</v>
      </c>
      <c r="C81" s="1421"/>
      <c r="D81" s="782"/>
      <c r="E81" s="466" t="s">
        <v>0</v>
      </c>
      <c r="F81" s="466" t="s">
        <v>1</v>
      </c>
      <c r="G81" s="191" t="s">
        <v>45</v>
      </c>
      <c r="H81" s="155" t="s">
        <v>26</v>
      </c>
      <c r="I81" s="1437"/>
      <c r="J81" s="1037"/>
      <c r="K81" s="1037"/>
      <c r="L81" s="1037"/>
      <c r="M81" s="1037"/>
      <c r="N81" s="1037"/>
      <c r="O81" s="1037"/>
      <c r="P81" s="1037"/>
      <c r="Q81" s="1397" t="s">
        <v>29</v>
      </c>
      <c r="R81" s="1398"/>
      <c r="S81" s="157"/>
      <c r="T81" s="157"/>
      <c r="U81" s="157"/>
      <c r="V81" s="157"/>
      <c r="W81" s="157"/>
      <c r="X81" s="157"/>
      <c r="Y81" s="158"/>
    </row>
    <row r="82" spans="1:25" x14ac:dyDescent="0.3">
      <c r="A82" s="160">
        <f>A76+1</f>
        <v>59</v>
      </c>
      <c r="B82" s="1415" t="s">
        <v>142</v>
      </c>
      <c r="C82" s="1423"/>
      <c r="D82" s="1416"/>
      <c r="E82" s="399"/>
      <c r="F82" s="400">
        <f>ROUND(E82,2)*12</f>
        <v>0</v>
      </c>
      <c r="G82" s="438">
        <f t="shared" ref="G82:G88" si="28">IF(F82&gt;0,F82/$F$100,0)</f>
        <v>0</v>
      </c>
      <c r="H82" s="160">
        <f t="shared" ref="H82:H88" si="29">A82</f>
        <v>59</v>
      </c>
      <c r="I82" s="1038"/>
      <c r="J82" s="1039"/>
      <c r="K82" s="1039"/>
      <c r="L82" s="1039"/>
      <c r="M82" s="1039"/>
      <c r="N82" s="1039"/>
      <c r="O82" s="1039"/>
      <c r="P82" s="1039"/>
      <c r="Q82" s="1393"/>
      <c r="R82" s="1393"/>
      <c r="S82" s="1393"/>
      <c r="T82" s="1393"/>
      <c r="U82" s="1393"/>
      <c r="V82" s="1393"/>
      <c r="W82" s="1393"/>
      <c r="X82" s="1393"/>
      <c r="Y82" s="1394"/>
    </row>
    <row r="83" spans="1:25" s="76" customFormat="1" ht="13.5" x14ac:dyDescent="0.3">
      <c r="A83" s="98">
        <f t="shared" ref="A83:A90" si="30">A82+1</f>
        <v>60</v>
      </c>
      <c r="B83" s="1415" t="s">
        <v>143</v>
      </c>
      <c r="C83" s="1423"/>
      <c r="D83" s="1416"/>
      <c r="E83" s="405"/>
      <c r="F83" s="406">
        <f t="shared" ref="F83:F88" si="31">ROUND(E83,2)*12</f>
        <v>0</v>
      </c>
      <c r="G83" s="438">
        <f t="shared" si="28"/>
        <v>0</v>
      </c>
      <c r="H83" s="98">
        <f t="shared" si="29"/>
        <v>60</v>
      </c>
      <c r="I83" s="1040"/>
      <c r="J83" s="1041"/>
      <c r="K83" s="1041"/>
      <c r="L83" s="1041"/>
      <c r="M83" s="1041"/>
      <c r="N83" s="1041"/>
      <c r="O83" s="1041"/>
      <c r="P83" s="1041"/>
      <c r="Q83" s="1434"/>
      <c r="R83" s="1435"/>
      <c r="S83" s="1435"/>
      <c r="T83" s="1435"/>
      <c r="U83" s="1435"/>
      <c r="V83" s="1435"/>
      <c r="W83" s="1435"/>
      <c r="X83" s="1435"/>
      <c r="Y83" s="1435"/>
    </row>
    <row r="84" spans="1:25" x14ac:dyDescent="0.3">
      <c r="A84" s="160">
        <f t="shared" si="30"/>
        <v>61</v>
      </c>
      <c r="B84" s="1415" t="s">
        <v>3</v>
      </c>
      <c r="C84" s="1423"/>
      <c r="D84" s="1416"/>
      <c r="E84" s="402"/>
      <c r="F84" s="403">
        <f t="shared" si="31"/>
        <v>0</v>
      </c>
      <c r="G84" s="438">
        <f t="shared" si="28"/>
        <v>0</v>
      </c>
      <c r="H84" s="160">
        <f t="shared" si="29"/>
        <v>61</v>
      </c>
      <c r="I84" s="1042"/>
      <c r="J84" s="1042"/>
      <c r="K84" s="1042"/>
      <c r="L84" s="1042"/>
      <c r="M84" s="1042"/>
      <c r="N84" s="1042"/>
      <c r="O84" s="1042"/>
      <c r="P84" s="1042"/>
      <c r="Q84" s="1394"/>
      <c r="R84" s="1422"/>
      <c r="S84" s="1422"/>
      <c r="T84" s="1422"/>
      <c r="U84" s="1422"/>
      <c r="V84" s="1422"/>
      <c r="W84" s="1422"/>
      <c r="X84" s="1422"/>
      <c r="Y84" s="1422"/>
    </row>
    <row r="85" spans="1:25" x14ac:dyDescent="0.3">
      <c r="A85" s="160">
        <f t="shared" si="30"/>
        <v>62</v>
      </c>
      <c r="B85" s="169" t="s">
        <v>144</v>
      </c>
      <c r="C85" s="170"/>
      <c r="D85" s="170"/>
      <c r="E85" s="402"/>
      <c r="F85" s="403">
        <f t="shared" si="31"/>
        <v>0</v>
      </c>
      <c r="G85" s="438">
        <f>IF(F85&gt;0,F85/$F$100,0)</f>
        <v>0</v>
      </c>
      <c r="H85" s="160">
        <f t="shared" si="29"/>
        <v>62</v>
      </c>
      <c r="I85" s="1042"/>
      <c r="J85" s="1042"/>
      <c r="K85" s="1042"/>
      <c r="L85" s="1042"/>
      <c r="M85" s="1042"/>
      <c r="N85" s="1042"/>
      <c r="O85" s="1042"/>
      <c r="P85" s="1042"/>
      <c r="Q85" s="1463"/>
      <c r="R85" s="1422"/>
      <c r="S85" s="1422"/>
      <c r="T85" s="1422"/>
      <c r="U85" s="1422"/>
      <c r="V85" s="1422"/>
      <c r="W85" s="1422"/>
      <c r="X85" s="1422"/>
      <c r="Y85" s="1422"/>
    </row>
    <row r="86" spans="1:25" x14ac:dyDescent="0.3">
      <c r="A86" s="160">
        <f t="shared" si="30"/>
        <v>63</v>
      </c>
      <c r="B86" s="1415" t="s">
        <v>145</v>
      </c>
      <c r="C86" s="1423"/>
      <c r="D86" s="1416"/>
      <c r="E86" s="402"/>
      <c r="F86" s="403">
        <f t="shared" si="31"/>
        <v>0</v>
      </c>
      <c r="G86" s="438">
        <f t="shared" si="28"/>
        <v>0</v>
      </c>
      <c r="H86" s="160">
        <f t="shared" si="29"/>
        <v>63</v>
      </c>
      <c r="I86" s="1042"/>
      <c r="J86" s="1042"/>
      <c r="K86" s="1042"/>
      <c r="L86" s="1042"/>
      <c r="M86" s="1042"/>
      <c r="N86" s="1042"/>
      <c r="O86" s="1042"/>
      <c r="P86" s="1042"/>
      <c r="Q86" s="1394"/>
      <c r="R86" s="1422"/>
      <c r="S86" s="1422"/>
      <c r="T86" s="1422"/>
      <c r="U86" s="1422"/>
      <c r="V86" s="1422"/>
      <c r="W86" s="1422"/>
      <c r="X86" s="1422"/>
      <c r="Y86" s="1422"/>
    </row>
    <row r="87" spans="1:25" x14ac:dyDescent="0.3">
      <c r="A87" s="160">
        <f t="shared" si="30"/>
        <v>64</v>
      </c>
      <c r="B87" s="1392"/>
      <c r="C87" s="1393"/>
      <c r="D87" s="1394"/>
      <c r="E87" s="402"/>
      <c r="F87" s="403">
        <f t="shared" si="31"/>
        <v>0</v>
      </c>
      <c r="G87" s="438">
        <f t="shared" si="28"/>
        <v>0</v>
      </c>
      <c r="H87" s="160">
        <f>A87</f>
        <v>64</v>
      </c>
      <c r="I87" s="1042"/>
      <c r="J87" s="1042"/>
      <c r="K87" s="1042"/>
      <c r="L87" s="1042"/>
      <c r="M87" s="1042"/>
      <c r="N87" s="1042"/>
      <c r="O87" s="1042"/>
      <c r="P87" s="1042"/>
      <c r="Q87" s="1395" t="s">
        <v>255</v>
      </c>
      <c r="R87" s="1395"/>
      <c r="S87" s="1395"/>
      <c r="T87" s="1395"/>
      <c r="U87" s="1395"/>
      <c r="V87" s="1395"/>
      <c r="W87" s="1395"/>
      <c r="X87" s="1395"/>
      <c r="Y87" s="1395"/>
    </row>
    <row r="88" spans="1:25" x14ac:dyDescent="0.3">
      <c r="A88" s="160">
        <f t="shared" si="30"/>
        <v>65</v>
      </c>
      <c r="B88" s="1442"/>
      <c r="C88" s="1443"/>
      <c r="D88" s="1444"/>
      <c r="E88" s="402"/>
      <c r="F88" s="403">
        <f t="shared" si="31"/>
        <v>0</v>
      </c>
      <c r="G88" s="438">
        <f t="shared" si="28"/>
        <v>0</v>
      </c>
      <c r="H88" s="160">
        <f t="shared" si="29"/>
        <v>65</v>
      </c>
      <c r="I88" s="1042"/>
      <c r="J88" s="1042"/>
      <c r="K88" s="1042"/>
      <c r="L88" s="1042"/>
      <c r="M88" s="1042"/>
      <c r="N88" s="1042"/>
      <c r="O88" s="1042"/>
      <c r="P88" s="1042"/>
      <c r="Q88" s="1395" t="s">
        <v>255</v>
      </c>
      <c r="R88" s="1395"/>
      <c r="S88" s="1395"/>
      <c r="T88" s="1395"/>
      <c r="U88" s="1395"/>
      <c r="V88" s="1395"/>
      <c r="W88" s="1395"/>
      <c r="X88" s="1395"/>
      <c r="Y88" s="1395"/>
    </row>
    <row r="89" spans="1:25" x14ac:dyDescent="0.3">
      <c r="A89" s="160">
        <f t="shared" si="30"/>
        <v>66</v>
      </c>
      <c r="B89" s="1430" t="s">
        <v>456</v>
      </c>
      <c r="C89" s="1458"/>
      <c r="D89" s="1459"/>
      <c r="E89" s="401">
        <f>SUM(E82:E88)</f>
        <v>0</v>
      </c>
      <c r="F89" s="401">
        <f>SUM(F82:F88)</f>
        <v>0</v>
      </c>
      <c r="G89" s="439">
        <f>SUM(G82:G88)</f>
        <v>0</v>
      </c>
      <c r="H89" s="193"/>
      <c r="I89" s="1043"/>
      <c r="J89" s="1043"/>
      <c r="K89" s="1043"/>
      <c r="L89" s="1043"/>
      <c r="M89" s="1043"/>
      <c r="N89" s="1043"/>
      <c r="O89" s="1043"/>
      <c r="P89" s="1043"/>
    </row>
    <row r="90" spans="1:25" ht="17.25" x14ac:dyDescent="0.3">
      <c r="A90" s="160">
        <f t="shared" si="30"/>
        <v>67</v>
      </c>
      <c r="B90" s="1460" t="s">
        <v>457</v>
      </c>
      <c r="C90" s="1461"/>
      <c r="D90" s="1462"/>
      <c r="E90" s="407">
        <f>E78-E89</f>
        <v>0</v>
      </c>
      <c r="F90" s="407">
        <f>F78-F89</f>
        <v>0</v>
      </c>
      <c r="G90" s="442">
        <f>G78-G89</f>
        <v>0</v>
      </c>
      <c r="H90" s="195"/>
      <c r="I90" s="1044"/>
      <c r="J90" s="1044"/>
      <c r="K90" s="1044"/>
      <c r="L90" s="1044"/>
      <c r="M90" s="1044"/>
      <c r="N90" s="1044"/>
      <c r="O90" s="1044"/>
      <c r="P90" s="1044"/>
      <c r="Q90" s="196"/>
      <c r="R90" s="196"/>
      <c r="S90" s="196"/>
      <c r="T90" s="196"/>
      <c r="U90" s="196"/>
      <c r="V90" s="196"/>
      <c r="W90" s="196"/>
      <c r="X90" s="196"/>
      <c r="Y90" s="196"/>
    </row>
    <row r="91" spans="1:25" ht="13.5" x14ac:dyDescent="0.25">
      <c r="A91" s="175"/>
      <c r="B91" s="186"/>
      <c r="C91" s="186"/>
      <c r="D91" s="186"/>
      <c r="E91" s="394"/>
      <c r="F91" s="394"/>
      <c r="G91" s="395"/>
      <c r="H91" s="149" t="s">
        <v>36</v>
      </c>
      <c r="I91" s="1019"/>
      <c r="J91" s="1019"/>
      <c r="K91" s="1019"/>
      <c r="L91" s="1019"/>
      <c r="M91" s="1019"/>
      <c r="N91" s="1019"/>
      <c r="O91" s="1019"/>
      <c r="P91" s="1019"/>
      <c r="Q91" s="151" t="s">
        <v>842</v>
      </c>
      <c r="R91" s="151"/>
      <c r="S91" s="152"/>
      <c r="T91" s="152"/>
      <c r="U91" s="152"/>
      <c r="V91" s="152"/>
      <c r="W91" s="152"/>
      <c r="X91" s="152"/>
      <c r="Y91" s="153"/>
    </row>
    <row r="92" spans="1:25" ht="13.5" x14ac:dyDescent="0.25">
      <c r="A92" s="175"/>
      <c r="B92" s="1421" t="s">
        <v>842</v>
      </c>
      <c r="C92" s="1456"/>
      <c r="D92" s="1457"/>
      <c r="E92" s="466" t="s">
        <v>0</v>
      </c>
      <c r="F92" s="466" t="s">
        <v>1</v>
      </c>
      <c r="G92" s="571"/>
      <c r="H92" s="155" t="s">
        <v>26</v>
      </c>
      <c r="I92" s="1020"/>
      <c r="J92" s="1020"/>
      <c r="K92" s="1020"/>
      <c r="L92" s="1020"/>
      <c r="M92" s="1020"/>
      <c r="N92" s="1020"/>
      <c r="O92" s="1020"/>
      <c r="P92" s="1020"/>
      <c r="Q92" s="1397" t="s">
        <v>29</v>
      </c>
      <c r="R92" s="1398"/>
      <c r="S92" s="157"/>
      <c r="T92" s="157"/>
      <c r="U92" s="157"/>
      <c r="V92" s="157"/>
      <c r="W92" s="157"/>
      <c r="X92" s="157"/>
      <c r="Y92" s="158"/>
    </row>
    <row r="93" spans="1:25" x14ac:dyDescent="0.3">
      <c r="A93" s="160">
        <f>A90+1</f>
        <v>68</v>
      </c>
      <c r="B93" s="1431" t="s">
        <v>843</v>
      </c>
      <c r="C93" s="1432"/>
      <c r="D93" s="1433"/>
      <c r="E93" s="399"/>
      <c r="F93" s="400">
        <f t="shared" ref="F93:F97" si="32">ROUND(E93,2)*12</f>
        <v>0</v>
      </c>
      <c r="G93" s="572"/>
      <c r="H93" s="160">
        <f t="shared" ref="H93:H98" si="33">A93</f>
        <v>68</v>
      </c>
      <c r="I93" s="1042"/>
      <c r="J93" s="1042"/>
      <c r="K93" s="1042"/>
      <c r="L93" s="1042"/>
      <c r="M93" s="1042"/>
      <c r="N93" s="1042"/>
      <c r="O93" s="1042"/>
      <c r="P93" s="1042"/>
      <c r="Q93" s="1395" t="s">
        <v>255</v>
      </c>
      <c r="R93" s="1395"/>
      <c r="S93" s="1395"/>
      <c r="T93" s="1395"/>
      <c r="U93" s="1395"/>
      <c r="V93" s="1395"/>
      <c r="W93" s="1395"/>
      <c r="X93" s="1395"/>
      <c r="Y93" s="1395"/>
    </row>
    <row r="94" spans="1:25" x14ac:dyDescent="0.3">
      <c r="A94" s="160">
        <f>A93+1</f>
        <v>69</v>
      </c>
      <c r="B94" s="1431" t="s">
        <v>833</v>
      </c>
      <c r="C94" s="1432"/>
      <c r="D94" s="1433"/>
      <c r="E94" s="399"/>
      <c r="F94" s="400">
        <f t="shared" si="32"/>
        <v>0</v>
      </c>
      <c r="G94" s="572"/>
      <c r="H94" s="160">
        <f t="shared" si="33"/>
        <v>69</v>
      </c>
      <c r="I94" s="1042"/>
      <c r="J94" s="1042"/>
      <c r="K94" s="1042"/>
      <c r="L94" s="1042"/>
      <c r="M94" s="1042"/>
      <c r="N94" s="1042"/>
      <c r="O94" s="1042"/>
      <c r="P94" s="1042"/>
      <c r="Q94" s="1395" t="s">
        <v>255</v>
      </c>
      <c r="R94" s="1395"/>
      <c r="S94" s="1395"/>
      <c r="T94" s="1395"/>
      <c r="U94" s="1395"/>
      <c r="V94" s="1395"/>
      <c r="W94" s="1395"/>
      <c r="X94" s="1395"/>
      <c r="Y94" s="1395"/>
    </row>
    <row r="95" spans="1:25" ht="29.25" customHeight="1" x14ac:dyDescent="0.3">
      <c r="A95" s="160">
        <f t="shared" ref="A95:A98" si="34">A94+1</f>
        <v>70</v>
      </c>
      <c r="B95" s="1439" t="s">
        <v>838</v>
      </c>
      <c r="C95" s="1440"/>
      <c r="D95" s="1441"/>
      <c r="E95" s="399"/>
      <c r="F95" s="400">
        <f t="shared" si="32"/>
        <v>0</v>
      </c>
      <c r="G95" s="572"/>
      <c r="H95" s="160">
        <f t="shared" si="33"/>
        <v>70</v>
      </c>
      <c r="I95" s="1042"/>
      <c r="J95" s="1042"/>
      <c r="K95" s="1042"/>
      <c r="L95" s="1042"/>
      <c r="M95" s="1042"/>
      <c r="N95" s="1042"/>
      <c r="O95" s="1042"/>
      <c r="P95" s="1042"/>
      <c r="Q95" s="1395" t="s">
        <v>255</v>
      </c>
      <c r="R95" s="1395"/>
      <c r="S95" s="1395"/>
      <c r="T95" s="1395"/>
      <c r="U95" s="1395"/>
      <c r="V95" s="1395"/>
      <c r="W95" s="1395"/>
      <c r="X95" s="1395"/>
      <c r="Y95" s="1395"/>
    </row>
    <row r="96" spans="1:25" x14ac:dyDescent="0.3">
      <c r="A96" s="160">
        <f t="shared" si="34"/>
        <v>71</v>
      </c>
      <c r="B96" s="1271" t="str">
        <f>"Total Hrs : "&amp;Page2A!T8&amp;" , FTE'S=  "&amp;ROUND(Page2A!U8,2)</f>
        <v>Total Hrs : 0 , FTE'S=  0</v>
      </c>
      <c r="C96" s="1269"/>
      <c r="D96" s="1268"/>
      <c r="E96" s="399"/>
      <c r="F96" s="400">
        <f t="shared" si="32"/>
        <v>0</v>
      </c>
      <c r="G96" s="572"/>
      <c r="H96" s="160">
        <f t="shared" si="33"/>
        <v>71</v>
      </c>
      <c r="I96" s="1042"/>
      <c r="J96" s="1042"/>
      <c r="K96" s="1042"/>
      <c r="L96" s="1042"/>
      <c r="M96" s="1042"/>
      <c r="N96" s="1042"/>
      <c r="O96" s="1042"/>
      <c r="P96" s="1042"/>
      <c r="Q96" s="1395" t="s">
        <v>255</v>
      </c>
      <c r="R96" s="1395"/>
      <c r="S96" s="1395"/>
      <c r="T96" s="1395"/>
      <c r="U96" s="1395"/>
      <c r="V96" s="1395"/>
      <c r="W96" s="1395"/>
      <c r="X96" s="1395"/>
      <c r="Y96" s="1395"/>
    </row>
    <row r="97" spans="1:25" x14ac:dyDescent="0.3">
      <c r="A97" s="160">
        <f t="shared" si="34"/>
        <v>72</v>
      </c>
      <c r="B97" s="1442"/>
      <c r="C97" s="1443"/>
      <c r="D97" s="1444"/>
      <c r="E97" s="399"/>
      <c r="F97" s="400">
        <f t="shared" si="32"/>
        <v>0</v>
      </c>
      <c r="G97" s="572"/>
      <c r="H97" s="160">
        <f t="shared" si="33"/>
        <v>72</v>
      </c>
      <c r="I97" s="1042"/>
      <c r="J97" s="1042"/>
      <c r="K97" s="1042"/>
      <c r="L97" s="1042"/>
      <c r="M97" s="1042"/>
      <c r="N97" s="1042"/>
      <c r="O97" s="1042"/>
      <c r="P97" s="1042"/>
      <c r="Q97" s="1395" t="s">
        <v>255</v>
      </c>
      <c r="R97" s="1395"/>
      <c r="S97" s="1395"/>
      <c r="T97" s="1395"/>
      <c r="U97" s="1395"/>
      <c r="V97" s="1395"/>
      <c r="W97" s="1395"/>
      <c r="X97" s="1395"/>
      <c r="Y97" s="1395"/>
    </row>
    <row r="98" spans="1:25" x14ac:dyDescent="0.3">
      <c r="A98" s="160">
        <f t="shared" si="34"/>
        <v>73</v>
      </c>
      <c r="B98" s="1445" t="s">
        <v>844</v>
      </c>
      <c r="C98" s="1446"/>
      <c r="D98" s="1447"/>
      <c r="E98" s="1237">
        <f>SUM(E93:E97)</f>
        <v>0</v>
      </c>
      <c r="F98" s="1237">
        <f>SUM(F93:F97)</f>
        <v>0</v>
      </c>
      <c r="G98" s="572"/>
      <c r="H98" s="1438">
        <f t="shared" si="33"/>
        <v>73</v>
      </c>
      <c r="I98" s="1023"/>
      <c r="J98" s="1023"/>
      <c r="K98" s="1023"/>
      <c r="L98" s="1023"/>
      <c r="M98" s="1023"/>
      <c r="N98" s="1023"/>
      <c r="O98" s="1023"/>
      <c r="P98" s="1023"/>
      <c r="Q98" s="1428" t="s">
        <v>255</v>
      </c>
      <c r="R98" s="1428"/>
      <c r="S98" s="1428"/>
      <c r="T98" s="1428"/>
      <c r="U98" s="1428"/>
      <c r="V98" s="1428"/>
      <c r="W98" s="1428"/>
      <c r="X98" s="1428"/>
      <c r="Y98" s="1428"/>
    </row>
    <row r="99" spans="1:25" x14ac:dyDescent="0.3">
      <c r="A99" s="194"/>
      <c r="B99" s="1234"/>
      <c r="C99" s="1234"/>
      <c r="D99" s="1234"/>
      <c r="E99" s="1235"/>
      <c r="F99" s="1235"/>
      <c r="G99" s="572"/>
      <c r="H99" s="1438"/>
      <c r="I99" s="1236"/>
      <c r="J99" s="1236"/>
      <c r="K99" s="1236"/>
      <c r="L99" s="1236"/>
      <c r="M99" s="1236"/>
      <c r="N99" s="1236"/>
      <c r="O99" s="1236"/>
      <c r="P99" s="1236"/>
      <c r="Q99" s="1428"/>
      <c r="R99" s="1428"/>
      <c r="S99" s="1428"/>
      <c r="T99" s="1428"/>
      <c r="U99" s="1428"/>
      <c r="V99" s="1428"/>
      <c r="W99" s="1428"/>
      <c r="X99" s="1428"/>
      <c r="Y99" s="1428"/>
    </row>
    <row r="100" spans="1:25" ht="15.75" hidden="1" x14ac:dyDescent="0.25">
      <c r="A100" s="175"/>
      <c r="B100" s="1411" t="s">
        <v>458</v>
      </c>
      <c r="C100" s="1412"/>
      <c r="D100" s="393"/>
      <c r="E100" s="404">
        <f>E90+E98</f>
        <v>0</v>
      </c>
      <c r="F100" s="407">
        <f>F90+F98</f>
        <v>0</v>
      </c>
      <c r="G100" s="566"/>
      <c r="H100" s="174"/>
      <c r="I100" s="1034"/>
      <c r="J100" s="1034"/>
      <c r="K100" s="1034"/>
      <c r="L100" s="1034"/>
      <c r="M100" s="1034"/>
      <c r="N100" s="1034"/>
      <c r="O100" s="1034"/>
      <c r="P100" s="1034"/>
    </row>
    <row r="101" spans="1:25" s="145" customFormat="1" hidden="1" x14ac:dyDescent="0.3">
      <c r="A101" s="185"/>
      <c r="B101" s="186"/>
      <c r="C101" s="186"/>
      <c r="D101" s="186"/>
      <c r="E101" s="187"/>
      <c r="F101" s="187"/>
      <c r="G101" s="188"/>
      <c r="H101" s="189"/>
      <c r="I101" s="1035"/>
      <c r="J101" s="1035"/>
      <c r="K101" s="1035"/>
      <c r="L101" s="1035"/>
      <c r="M101" s="1035"/>
      <c r="N101" s="1035"/>
      <c r="O101" s="1035"/>
      <c r="P101" s="1035"/>
      <c r="Q101" s="190"/>
      <c r="R101" s="190"/>
      <c r="S101" s="190"/>
      <c r="T101" s="190"/>
      <c r="U101" s="190"/>
      <c r="V101" s="190"/>
      <c r="W101" s="190"/>
      <c r="X101" s="190"/>
      <c r="Y101" s="190"/>
    </row>
    <row r="102" spans="1:25" s="145" customFormat="1" ht="10.5" customHeight="1" x14ac:dyDescent="0.3">
      <c r="A102" s="185"/>
      <c r="B102" s="1449" t="s">
        <v>539</v>
      </c>
      <c r="C102" s="1450"/>
      <c r="D102" s="1450"/>
      <c r="E102" s="1450"/>
      <c r="F102" s="1451"/>
      <c r="G102" s="567"/>
      <c r="H102" s="189"/>
      <c r="I102" s="1035"/>
      <c r="J102" s="1035"/>
      <c r="K102" s="1035"/>
      <c r="L102" s="1035"/>
      <c r="M102" s="1035"/>
      <c r="N102" s="1035"/>
      <c r="O102" s="1035"/>
      <c r="P102" s="1035"/>
      <c r="Q102" s="190"/>
      <c r="R102" s="190"/>
      <c r="S102" s="190"/>
      <c r="T102" s="190"/>
      <c r="U102" s="190"/>
      <c r="V102" s="190"/>
      <c r="W102" s="190"/>
      <c r="X102" s="190"/>
      <c r="Y102" s="190"/>
    </row>
    <row r="103" spans="1:25" s="145" customFormat="1" ht="10.5" customHeight="1" x14ac:dyDescent="0.3">
      <c r="A103" s="185"/>
      <c r="B103" s="1452"/>
      <c r="C103" s="1453"/>
      <c r="D103" s="1453"/>
      <c r="E103" s="1453"/>
      <c r="F103" s="1454"/>
      <c r="G103" s="567"/>
      <c r="H103" s="189"/>
      <c r="I103" s="1035"/>
      <c r="J103" s="1035"/>
      <c r="K103" s="1035"/>
      <c r="L103" s="1035"/>
      <c r="M103" s="1035"/>
      <c r="N103" s="1035"/>
      <c r="O103" s="1035"/>
      <c r="P103" s="1035"/>
      <c r="Q103" s="190"/>
      <c r="R103" s="190"/>
      <c r="S103" s="190"/>
      <c r="T103" s="190"/>
      <c r="U103" s="190"/>
      <c r="V103" s="190"/>
      <c r="W103" s="190"/>
      <c r="X103" s="190"/>
      <c r="Y103" s="190"/>
    </row>
    <row r="104" spans="1:25" s="145" customFormat="1" x14ac:dyDescent="0.3">
      <c r="A104" s="185"/>
      <c r="B104" s="783"/>
      <c r="C104" s="784"/>
      <c r="D104" s="784"/>
      <c r="E104" s="466" t="s">
        <v>0</v>
      </c>
      <c r="F104" s="466" t="s">
        <v>1</v>
      </c>
      <c r="G104" s="567"/>
      <c r="H104" s="189"/>
      <c r="I104" s="1035"/>
      <c r="J104" s="1035"/>
      <c r="K104" s="1035"/>
      <c r="L104" s="1035"/>
      <c r="M104" s="1035"/>
      <c r="N104" s="1035"/>
      <c r="O104" s="1035"/>
      <c r="P104" s="1035"/>
      <c r="Q104" s="190"/>
      <c r="R104" s="190"/>
      <c r="S104" s="190"/>
      <c r="T104" s="190"/>
      <c r="U104" s="190"/>
      <c r="V104" s="190"/>
      <c r="W104" s="190"/>
      <c r="X104" s="190"/>
      <c r="Y104" s="190"/>
    </row>
    <row r="105" spans="1:25" s="145" customFormat="1" x14ac:dyDescent="0.3">
      <c r="A105" s="160">
        <f>A98+1</f>
        <v>74</v>
      </c>
      <c r="B105" s="1455" t="s">
        <v>798</v>
      </c>
      <c r="C105" s="1455"/>
      <c r="D105" s="1455"/>
      <c r="E105" s="841">
        <f>E29</f>
        <v>0</v>
      </c>
      <c r="F105" s="563">
        <f t="shared" ref="F105:F106" si="35">ROUND(E105,2)*12</f>
        <v>0</v>
      </c>
      <c r="G105" s="188"/>
      <c r="H105" s="189"/>
      <c r="I105" s="1035"/>
      <c r="J105" s="1035"/>
      <c r="K105" s="1035"/>
      <c r="L105" s="1035"/>
      <c r="M105" s="1035"/>
      <c r="N105" s="1035"/>
      <c r="O105" s="1035"/>
      <c r="P105" s="1035"/>
      <c r="Q105" s="190"/>
      <c r="R105" s="190"/>
      <c r="S105" s="190"/>
      <c r="T105" s="190"/>
      <c r="U105" s="190"/>
      <c r="V105" s="190"/>
      <c r="W105" s="190"/>
      <c r="X105" s="190"/>
      <c r="Y105" s="190"/>
    </row>
    <row r="106" spans="1:25" s="145" customFormat="1" x14ac:dyDescent="0.3">
      <c r="A106" s="160">
        <f>A105+1</f>
        <v>75</v>
      </c>
      <c r="B106" s="1455" t="s">
        <v>459</v>
      </c>
      <c r="C106" s="1455"/>
      <c r="D106" s="1455"/>
      <c r="E106" s="841">
        <f>E100-E105</f>
        <v>0</v>
      </c>
      <c r="F106" s="563">
        <f t="shared" si="35"/>
        <v>0</v>
      </c>
      <c r="G106" s="188"/>
      <c r="H106" s="189"/>
      <c r="I106" s="1035"/>
      <c r="J106" s="1035"/>
      <c r="K106" s="1035"/>
      <c r="L106" s="1035"/>
      <c r="M106" s="1035"/>
      <c r="N106" s="1035"/>
      <c r="O106" s="1035"/>
      <c r="P106" s="1035"/>
      <c r="Q106" s="190"/>
      <c r="R106" s="190"/>
      <c r="S106" s="190"/>
      <c r="T106" s="190"/>
      <c r="U106" s="190"/>
      <c r="V106" s="190"/>
      <c r="W106" s="190"/>
      <c r="X106" s="190"/>
      <c r="Y106" s="190"/>
    </row>
    <row r="107" spans="1:25" s="145" customFormat="1" ht="16.5" x14ac:dyDescent="0.3">
      <c r="A107" s="160">
        <f>A106+1</f>
        <v>76</v>
      </c>
      <c r="B107" s="1411" t="s">
        <v>458</v>
      </c>
      <c r="C107" s="1412"/>
      <c r="D107" s="393"/>
      <c r="E107" s="404">
        <f>E105+E106</f>
        <v>0</v>
      </c>
      <c r="F107" s="404">
        <f>F105+F106</f>
        <v>0</v>
      </c>
      <c r="G107" s="566"/>
      <c r="H107" s="189"/>
      <c r="I107" s="1035"/>
      <c r="J107" s="1035"/>
      <c r="K107" s="1035"/>
      <c r="L107" s="1035"/>
      <c r="M107" s="1035"/>
      <c r="N107" s="1035"/>
      <c r="O107" s="1035"/>
      <c r="P107" s="1035"/>
      <c r="Q107" s="190"/>
      <c r="R107" s="190"/>
      <c r="S107" s="190"/>
      <c r="T107" s="190"/>
      <c r="U107" s="190"/>
      <c r="V107" s="190"/>
      <c r="W107" s="190"/>
      <c r="X107" s="190"/>
      <c r="Y107" s="190"/>
    </row>
    <row r="108" spans="1:25" x14ac:dyDescent="0.3">
      <c r="A108" s="175"/>
      <c r="B108" s="568"/>
      <c r="C108" s="244"/>
      <c r="D108" s="244"/>
      <c r="E108" s="569"/>
      <c r="F108" s="570"/>
      <c r="G108" s="145"/>
    </row>
    <row r="109" spans="1:25" x14ac:dyDescent="0.3">
      <c r="A109" s="160">
        <f>A107+1</f>
        <v>77</v>
      </c>
      <c r="B109" s="1455" t="s">
        <v>540</v>
      </c>
      <c r="C109" s="1455"/>
      <c r="D109" s="1455"/>
      <c r="E109" s="564"/>
      <c r="F109" s="563">
        <f>ROUND(E109,2)*12</f>
        <v>0</v>
      </c>
      <c r="G109" s="188"/>
      <c r="R109" s="242"/>
    </row>
    <row r="110" spans="1:25" ht="16.5" x14ac:dyDescent="0.3">
      <c r="A110" s="160">
        <f>A109+1</f>
        <v>78</v>
      </c>
      <c r="B110" s="1448" t="s">
        <v>536</v>
      </c>
      <c r="C110" s="1448"/>
      <c r="D110" s="1448"/>
      <c r="E110" s="565">
        <f>E107-E109</f>
        <v>0</v>
      </c>
      <c r="F110" s="565">
        <f>F107-F109</f>
        <v>0</v>
      </c>
      <c r="G110" s="566"/>
    </row>
    <row r="113" spans="2:6" x14ac:dyDescent="0.3">
      <c r="B113" s="664"/>
      <c r="C113" s="664"/>
      <c r="D113" s="664"/>
      <c r="E113" s="665"/>
      <c r="F113" s="573"/>
    </row>
    <row r="114" spans="2:6" x14ac:dyDescent="0.3">
      <c r="B114" s="182" t="s">
        <v>467</v>
      </c>
    </row>
    <row r="116" spans="2:6" x14ac:dyDescent="0.3">
      <c r="B116" s="664"/>
    </row>
    <row r="117" spans="2:6" x14ac:dyDescent="0.3">
      <c r="B117" s="182" t="s">
        <v>468</v>
      </c>
    </row>
  </sheetData>
  <sheetProtection password="DCF0" sheet="1" objects="1" scenarios="1"/>
  <mergeCells count="151">
    <mergeCell ref="B71:D71"/>
    <mergeCell ref="Q80:R80"/>
    <mergeCell ref="Q39:Y39"/>
    <mergeCell ref="Q50:Y50"/>
    <mergeCell ref="Q66:Y66"/>
    <mergeCell ref="B41:D41"/>
    <mergeCell ref="B55:D55"/>
    <mergeCell ref="B56:D56"/>
    <mergeCell ref="Q44:Y44"/>
    <mergeCell ref="Q45:Y45"/>
    <mergeCell ref="Q41:Y41"/>
    <mergeCell ref="B66:D66"/>
    <mergeCell ref="B54:C54"/>
    <mergeCell ref="Q42:Y42"/>
    <mergeCell ref="B43:D43"/>
    <mergeCell ref="B44:D44"/>
    <mergeCell ref="B46:D46"/>
    <mergeCell ref="B65:D65"/>
    <mergeCell ref="B72:C72"/>
    <mergeCell ref="B42:D42"/>
    <mergeCell ref="B52:D52"/>
    <mergeCell ref="B74:D74"/>
    <mergeCell ref="Q74:R74"/>
    <mergeCell ref="B59:D59"/>
    <mergeCell ref="B110:D110"/>
    <mergeCell ref="B102:F103"/>
    <mergeCell ref="Q32:Y32"/>
    <mergeCell ref="B109:D109"/>
    <mergeCell ref="B53:C53"/>
    <mergeCell ref="B75:D75"/>
    <mergeCell ref="B76:D76"/>
    <mergeCell ref="B107:C107"/>
    <mergeCell ref="Q76:Y76"/>
    <mergeCell ref="B105:D105"/>
    <mergeCell ref="B106:D106"/>
    <mergeCell ref="Q71:Y71"/>
    <mergeCell ref="B92:D92"/>
    <mergeCell ref="B89:D89"/>
    <mergeCell ref="B90:D90"/>
    <mergeCell ref="B88:D88"/>
    <mergeCell ref="Q75:Y75"/>
    <mergeCell ref="B87:D87"/>
    <mergeCell ref="Q88:Y88"/>
    <mergeCell ref="Q85:Y85"/>
    <mergeCell ref="B35:D35"/>
    <mergeCell ref="Q38:Y38"/>
    <mergeCell ref="Q36:Y36"/>
    <mergeCell ref="Q37:Y37"/>
    <mergeCell ref="B82:D82"/>
    <mergeCell ref="B78:C78"/>
    <mergeCell ref="Q98:Y99"/>
    <mergeCell ref="B77:C77"/>
    <mergeCell ref="B93:D93"/>
    <mergeCell ref="B86:D86"/>
    <mergeCell ref="B83:D83"/>
    <mergeCell ref="Q87:Y87"/>
    <mergeCell ref="Q82:Y82"/>
    <mergeCell ref="Q83:Y83"/>
    <mergeCell ref="Q84:Y84"/>
    <mergeCell ref="I80:I81"/>
    <mergeCell ref="Q81:R81"/>
    <mergeCell ref="H98:H99"/>
    <mergeCell ref="Q95:Y95"/>
    <mergeCell ref="B94:D94"/>
    <mergeCell ref="B95:D95"/>
    <mergeCell ref="B97:D97"/>
    <mergeCell ref="Q96:Y96"/>
    <mergeCell ref="B98:D98"/>
    <mergeCell ref="B29:D29"/>
    <mergeCell ref="Q43:Y43"/>
    <mergeCell ref="B63:D63"/>
    <mergeCell ref="Q54:Y54"/>
    <mergeCell ref="Q58:Y58"/>
    <mergeCell ref="Q19:Y19"/>
    <mergeCell ref="Q30:Y30"/>
    <mergeCell ref="B60:D60"/>
    <mergeCell ref="Q68:Y68"/>
    <mergeCell ref="Q48:R48"/>
    <mergeCell ref="Q52:R52"/>
    <mergeCell ref="Q40:Y40"/>
    <mergeCell ref="Q59:Y59"/>
    <mergeCell ref="Q53:Y53"/>
    <mergeCell ref="Q55:Y55"/>
    <mergeCell ref="Q60:Y60"/>
    <mergeCell ref="Q61:Y61"/>
    <mergeCell ref="Q62:Y62"/>
    <mergeCell ref="Q63:Y63"/>
    <mergeCell ref="Q64:Y64"/>
    <mergeCell ref="Q65:Y65"/>
    <mergeCell ref="Q67:Y67"/>
    <mergeCell ref="B57:C57"/>
    <mergeCell ref="Q49:Y49"/>
    <mergeCell ref="Q18:Y18"/>
    <mergeCell ref="Q9:Y9"/>
    <mergeCell ref="Q20:Y20"/>
    <mergeCell ref="Q12:Y12"/>
    <mergeCell ref="Q31:Y31"/>
    <mergeCell ref="Q28:Y28"/>
    <mergeCell ref="Q16:Y16"/>
    <mergeCell ref="Q17:Y17"/>
    <mergeCell ref="Q22:Y22"/>
    <mergeCell ref="Q27:R27"/>
    <mergeCell ref="Q11:Y11"/>
    <mergeCell ref="Q33:Y33"/>
    <mergeCell ref="Q69:Y69"/>
    <mergeCell ref="Q70:Y70"/>
    <mergeCell ref="B100:C100"/>
    <mergeCell ref="B69:D69"/>
    <mergeCell ref="Q57:Y57"/>
    <mergeCell ref="B48:C48"/>
    <mergeCell ref="B64:D64"/>
    <mergeCell ref="B58:C58"/>
    <mergeCell ref="B49:C49"/>
    <mergeCell ref="B50:C50"/>
    <mergeCell ref="Q51:R51"/>
    <mergeCell ref="Q56:Y56"/>
    <mergeCell ref="B67:D67"/>
    <mergeCell ref="B68:D68"/>
    <mergeCell ref="B80:G80"/>
    <mergeCell ref="B81:C81"/>
    <mergeCell ref="B70:D70"/>
    <mergeCell ref="Q92:R92"/>
    <mergeCell ref="Q86:Y86"/>
    <mergeCell ref="B84:D84"/>
    <mergeCell ref="Q93:Y93"/>
    <mergeCell ref="Q94:Y94"/>
    <mergeCell ref="Q97:Y97"/>
    <mergeCell ref="C4:F4"/>
    <mergeCell ref="B62:D62"/>
    <mergeCell ref="Q25:Y25"/>
    <mergeCell ref="Q29:Y29"/>
    <mergeCell ref="Q35:Y35"/>
    <mergeCell ref="A1:G1"/>
    <mergeCell ref="Q7:R7"/>
    <mergeCell ref="B22:D22"/>
    <mergeCell ref="Q23:Y23"/>
    <mergeCell ref="Q24:Y24"/>
    <mergeCell ref="B23:D23"/>
    <mergeCell ref="B24:D24"/>
    <mergeCell ref="A2:G2"/>
    <mergeCell ref="A3:G3"/>
    <mergeCell ref="B7:D7"/>
    <mergeCell ref="B6:G6"/>
    <mergeCell ref="B8:G8"/>
    <mergeCell ref="Q13:Y13"/>
    <mergeCell ref="Q10:Y10"/>
    <mergeCell ref="Q14:Y14"/>
    <mergeCell ref="Q21:Y21"/>
    <mergeCell ref="C5:F5"/>
    <mergeCell ref="Q15:Y15"/>
    <mergeCell ref="Q34:Y34"/>
  </mergeCells>
  <phoneticPr fontId="0" type="noConversion"/>
  <conditionalFormatting sqref="E22:F24">
    <cfRule type="cellIs" dxfId="70" priority="25" operator="lessThan">
      <formula>0</formula>
    </cfRule>
  </conditionalFormatting>
  <conditionalFormatting sqref="E45">
    <cfRule type="cellIs" dxfId="69" priority="24" operator="greaterThan">
      <formula>$N$45</formula>
    </cfRule>
  </conditionalFormatting>
  <conditionalFormatting sqref="F45">
    <cfRule type="cellIs" dxfId="68" priority="23" operator="greaterThan">
      <formula>$O$45</formula>
    </cfRule>
  </conditionalFormatting>
  <conditionalFormatting sqref="E21:F21 E41:F44 E68:F71 E23:E24 E75:F76 E29 E93:F99">
    <cfRule type="cellIs" dxfId="67" priority="19" operator="lessThan">
      <formula>0</formula>
    </cfRule>
    <cfRule type="cellIs" dxfId="66" priority="20" operator="greaterThan">
      <formula>0</formula>
    </cfRule>
  </conditionalFormatting>
  <conditionalFormatting sqref="F23:F24">
    <cfRule type="cellIs" dxfId="65" priority="6" operator="greaterThan">
      <formula>0</formula>
    </cfRule>
  </conditionalFormatting>
  <conditionalFormatting sqref="D49">
    <cfRule type="cellIs" dxfId="64" priority="1" operator="greaterThan">
      <formula>$K$49</formula>
    </cfRule>
  </conditionalFormatting>
  <dataValidations count="5">
    <dataValidation type="whole" allowBlank="1" showInputMessage="1" showErrorMessage="1" sqref="E61">
      <formula1>0</formula1>
      <formula2>0</formula2>
    </dataValidation>
    <dataValidation type="whole" allowBlank="1" showErrorMessage="1" promptTitle="ERROR:" prompt="Please do not enter any values into this cell, you may enter your details in the lines below." sqref="E57">
      <formula1>0</formula1>
      <formula2>0</formula2>
    </dataValidation>
    <dataValidation type="decimal" operator="lessThanOrEqual" allowBlank="1" showInputMessage="1" showErrorMessage="1" error="The adjustment must be a &quot;reduction&quot; for Supervisor W&amp;B, thus you need to enter a &quot;negative&quot; number." sqref="E22">
      <formula1>0</formula1>
    </dataValidation>
    <dataValidation type="decimal" operator="lessThanOrEqual" allowBlank="1" showInputMessage="1" showErrorMessage="1" error="FGT Gap must be entered as a negative number." sqref="E98:E99 E93">
      <formula1>0</formula1>
    </dataValidation>
    <dataValidation type="list" allowBlank="1" showInputMessage="1" showErrorMessage="1" sqref="D58 D54">
      <formula1>"Owned Facility, Rented/Leased Facility, PRHC Facility"</formula1>
    </dataValidation>
  </dataValidations>
  <pageMargins left="0" right="0" top="0" bottom="0" header="0.3" footer="0.3"/>
  <pageSetup scale="66" fitToWidth="2" orientation="portrait" r:id="rId1"/>
  <headerFooter alignWithMargins="0">
    <oddFooter>&amp;L&amp;F  
Tab: FGT&amp;A&amp;CPrinted: &amp;D &amp;T&amp;RPage &amp;P of &amp;N</oddFooter>
  </headerFooter>
  <rowBreaks count="1" manualBreakCount="1">
    <brk id="78" max="6" man="1"/>
  </rowBreaks>
  <colBreaks count="1" manualBreakCount="1">
    <brk id="7" max="117" man="1"/>
  </colBreaks>
  <ignoredErrors>
    <ignoredError sqref="F46 G20"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M77"/>
  <sheetViews>
    <sheetView showGridLines="0" zoomScaleNormal="100" workbookViewId="0">
      <pane ySplit="3" topLeftCell="A4" activePane="bottomLeft" state="frozen"/>
      <selection activeCell="B4" sqref="B4"/>
      <selection pane="bottomLeft" activeCell="G7" sqref="G7"/>
    </sheetView>
  </sheetViews>
  <sheetFormatPr defaultColWidth="9.140625" defaultRowHeight="12.75" x14ac:dyDescent="0.2"/>
  <cols>
    <col min="1" max="1" width="9.140625" style="32"/>
    <col min="2" max="2" width="9.7109375" style="32" customWidth="1"/>
    <col min="3" max="3" width="15.5703125" style="32" customWidth="1"/>
    <col min="4" max="4" width="32.42578125" style="32" customWidth="1"/>
    <col min="5" max="5" width="16.85546875" style="32" customWidth="1"/>
    <col min="6" max="6" width="19.42578125" style="32" customWidth="1"/>
    <col min="7" max="7" width="19.85546875" style="32" customWidth="1"/>
    <col min="8" max="16384" width="9.140625" style="32"/>
  </cols>
  <sheetData>
    <row r="1" spans="1:8" s="138" customFormat="1" x14ac:dyDescent="0.2">
      <c r="A1" s="286"/>
      <c r="B1" s="216"/>
      <c r="C1" s="216"/>
      <c r="D1" s="1487" t="str">
        <f>Instructions!C2</f>
        <v>Funding Template Version of 1Apr13</v>
      </c>
      <c r="E1" s="1487"/>
      <c r="F1" s="216"/>
      <c r="G1" s="216"/>
    </row>
    <row r="2" spans="1:8" s="138" customFormat="1" ht="23.25" customHeight="1" x14ac:dyDescent="0.3">
      <c r="A2" s="1275" t="str">
        <f>Instructions!C3</f>
        <v>Funding Template - Union</v>
      </c>
      <c r="B2" s="1275"/>
      <c r="C2" s="1275"/>
      <c r="D2" s="1275"/>
      <c r="E2" s="1275"/>
      <c r="F2" s="1275"/>
      <c r="G2" s="1275"/>
    </row>
    <row r="3" spans="1:8" s="138" customFormat="1" ht="16.5" x14ac:dyDescent="0.2">
      <c r="A3" s="1466" t="s">
        <v>315</v>
      </c>
      <c r="B3" s="1466"/>
      <c r="C3" s="1466"/>
      <c r="D3" s="1466"/>
      <c r="E3" s="1466"/>
      <c r="F3" s="1466"/>
      <c r="G3" s="1466"/>
    </row>
    <row r="4" spans="1:8" s="138" customFormat="1" ht="18.600000000000001" customHeight="1" x14ac:dyDescent="0.3">
      <c r="A4" s="655"/>
      <c r="B4" s="141"/>
      <c r="C4" s="1344" t="str">
        <f>Page1!D7</f>
        <v>Burnaby Assocication for Community Inclusion</v>
      </c>
      <c r="D4" s="1344"/>
      <c r="E4" s="1344"/>
      <c r="F4" s="1344"/>
      <c r="G4" s="141"/>
    </row>
    <row r="5" spans="1:8" s="138" customFormat="1" ht="19.149999999999999" customHeight="1" x14ac:dyDescent="0.3">
      <c r="A5" s="655"/>
      <c r="B5" s="141"/>
      <c r="C5" s="1344">
        <f>Page1!D9</f>
        <v>0</v>
      </c>
      <c r="D5" s="1344"/>
      <c r="E5" s="1344"/>
      <c r="F5" s="1344"/>
      <c r="G5" s="141"/>
    </row>
    <row r="6" spans="1:8" s="139" customFormat="1" ht="13.5" x14ac:dyDescent="0.25">
      <c r="A6" s="247" t="s">
        <v>301</v>
      </c>
      <c r="B6" s="143"/>
      <c r="C6" s="143"/>
      <c r="D6" s="143"/>
      <c r="E6" s="144"/>
      <c r="F6" s="144"/>
      <c r="G6" s="143"/>
      <c r="H6" s="1"/>
    </row>
    <row r="7" spans="1:8" ht="17.25" x14ac:dyDescent="0.2">
      <c r="A7" s="146" t="s">
        <v>147</v>
      </c>
      <c r="B7" s="34"/>
      <c r="C7" s="34"/>
      <c r="D7" s="34"/>
      <c r="E7" s="34"/>
      <c r="F7" s="34"/>
      <c r="G7" s="34"/>
    </row>
    <row r="8" spans="1:8" ht="61.5" customHeight="1" x14ac:dyDescent="0.2">
      <c r="A8" s="1467" t="s">
        <v>260</v>
      </c>
      <c r="B8" s="1467"/>
      <c r="C8" s="1467"/>
      <c r="D8" s="1467"/>
      <c r="E8" s="1467"/>
      <c r="F8" s="1467"/>
      <c r="G8" s="1467"/>
    </row>
    <row r="9" spans="1:8" x14ac:dyDescent="0.2">
      <c r="A9" s="658"/>
      <c r="B9" s="658"/>
      <c r="C9" s="658"/>
      <c r="D9" s="658"/>
      <c r="E9" s="658"/>
      <c r="F9" s="658"/>
      <c r="G9" s="658"/>
    </row>
    <row r="10" spans="1:8" ht="43.9" customHeight="1" x14ac:dyDescent="0.2">
      <c r="A10" s="1469" t="s">
        <v>795</v>
      </c>
      <c r="B10" s="1469"/>
      <c r="C10" s="1469"/>
      <c r="D10" s="1469"/>
      <c r="E10" s="1469"/>
      <c r="F10" s="1469"/>
      <c r="G10" s="1469"/>
    </row>
    <row r="11" spans="1:8" ht="13.5" thickBot="1" x14ac:dyDescent="0.25">
      <c r="A11" s="1471" t="s">
        <v>778</v>
      </c>
      <c r="B11" s="1471"/>
      <c r="C11" s="886"/>
      <c r="D11" s="886"/>
      <c r="E11" s="886"/>
      <c r="F11" s="886"/>
      <c r="G11" s="886"/>
    </row>
    <row r="12" spans="1:8" x14ac:dyDescent="0.2">
      <c r="A12" s="1472"/>
      <c r="B12" s="1473"/>
      <c r="C12" s="1473"/>
      <c r="D12" s="1473"/>
      <c r="E12" s="1473"/>
      <c r="F12" s="1473"/>
      <c r="G12" s="1474"/>
    </row>
    <row r="13" spans="1:8" x14ac:dyDescent="0.2">
      <c r="A13" s="1475"/>
      <c r="B13" s="1476"/>
      <c r="C13" s="1476"/>
      <c r="D13" s="1476"/>
      <c r="E13" s="1476"/>
      <c r="F13" s="1476"/>
      <c r="G13" s="1477"/>
    </row>
    <row r="14" spans="1:8" x14ac:dyDescent="0.2">
      <c r="A14" s="1475"/>
      <c r="B14" s="1476"/>
      <c r="C14" s="1476"/>
      <c r="D14" s="1476"/>
      <c r="E14" s="1476"/>
      <c r="F14" s="1476"/>
      <c r="G14" s="1477"/>
    </row>
    <row r="15" spans="1:8" x14ac:dyDescent="0.2">
      <c r="A15" s="1475"/>
      <c r="B15" s="1476"/>
      <c r="C15" s="1476"/>
      <c r="D15" s="1476"/>
      <c r="E15" s="1476"/>
      <c r="F15" s="1476"/>
      <c r="G15" s="1477"/>
    </row>
    <row r="16" spans="1:8" ht="13.5" thickBot="1" x14ac:dyDescent="0.25">
      <c r="A16" s="1478"/>
      <c r="B16" s="1479"/>
      <c r="C16" s="1479"/>
      <c r="D16" s="1479"/>
      <c r="E16" s="1479"/>
      <c r="F16" s="1479"/>
      <c r="G16" s="1480"/>
    </row>
    <row r="17" spans="1:13" ht="13.9" customHeight="1" thickBot="1" x14ac:dyDescent="0.25">
      <c r="A17" s="887"/>
      <c r="B17" s="887"/>
      <c r="C17" s="887"/>
      <c r="D17" s="887"/>
      <c r="E17" s="887"/>
      <c r="F17" s="887"/>
      <c r="G17" s="1486" t="str">
        <f>IF(AND(NOT(F36=0),E18=0),"ERROR ALERT:  You are indicating below there is an adjustment.  Please ensure you take the TOTAL adjusments to cell E18 in order for it to properly populate Page 3.","")</f>
        <v/>
      </c>
      <c r="H17" s="1486"/>
      <c r="I17" s="1486"/>
      <c r="J17" s="1486"/>
      <c r="K17" s="1486"/>
      <c r="L17" s="1486"/>
      <c r="M17" s="1486"/>
    </row>
    <row r="18" spans="1:13" ht="13.9" customHeight="1" thickBot="1" x14ac:dyDescent="0.25">
      <c r="A18" s="358" t="s">
        <v>310</v>
      </c>
      <c r="B18" s="359"/>
      <c r="C18" s="359"/>
      <c r="D18" s="359"/>
      <c r="E18" s="537"/>
      <c r="F18" s="866" t="s">
        <v>762</v>
      </c>
      <c r="G18" s="1486"/>
      <c r="H18" s="1486"/>
      <c r="I18" s="1486"/>
      <c r="J18" s="1486"/>
      <c r="K18" s="1486"/>
      <c r="L18" s="1486"/>
      <c r="M18" s="1486"/>
    </row>
    <row r="19" spans="1:13" s="361" customFormat="1" ht="13.9" customHeight="1" thickBot="1" x14ac:dyDescent="0.25">
      <c r="A19" s="360"/>
      <c r="B19" s="359"/>
      <c r="C19" s="359"/>
      <c r="D19" s="359"/>
      <c r="E19" s="359"/>
      <c r="F19" s="858"/>
      <c r="G19" s="898"/>
      <c r="H19" s="898"/>
      <c r="I19" s="898"/>
      <c r="J19" s="898"/>
      <c r="K19" s="898"/>
    </row>
    <row r="20" spans="1:13" ht="13.9" customHeight="1" thickBot="1" x14ac:dyDescent="0.25">
      <c r="A20" s="70" t="s">
        <v>309</v>
      </c>
      <c r="B20" s="659"/>
      <c r="C20" s="659"/>
      <c r="D20" s="659"/>
      <c r="E20" s="537"/>
      <c r="F20" s="866" t="s">
        <v>796</v>
      </c>
      <c r="G20" s="1486" t="str">
        <f>IF(AND(NOT(F70=0),E20=0),"ERROR ALERT:  You are indicating below there is an adjustment.  Please ensure you take the TOTAL adjusments to cell E20 in order for it to properly populate Page 3.","")</f>
        <v/>
      </c>
      <c r="H20" s="1486"/>
      <c r="I20" s="1486"/>
      <c r="J20" s="1486"/>
      <c r="K20" s="1486"/>
      <c r="L20" s="1486"/>
      <c r="M20" s="1486"/>
    </row>
    <row r="21" spans="1:13" x14ac:dyDescent="0.2">
      <c r="A21" s="34"/>
      <c r="B21" s="34"/>
      <c r="C21" s="34"/>
      <c r="D21" s="34"/>
      <c r="E21" s="34"/>
      <c r="F21" s="34"/>
      <c r="G21" s="1486"/>
      <c r="H21" s="1486"/>
      <c r="I21" s="1486"/>
      <c r="J21" s="1486"/>
      <c r="K21" s="1486"/>
      <c r="L21" s="1486"/>
      <c r="M21" s="1486"/>
    </row>
    <row r="22" spans="1:13" x14ac:dyDescent="0.2">
      <c r="A22" s="268" t="s">
        <v>264</v>
      </c>
      <c r="B22" s="269"/>
      <c r="C22" s="269"/>
      <c r="D22" s="269"/>
      <c r="E22" s="269"/>
      <c r="F22" s="269"/>
      <c r="G22" s="270"/>
    </row>
    <row r="23" spans="1:13" x14ac:dyDescent="0.2">
      <c r="A23" s="271"/>
      <c r="B23" s="272"/>
      <c r="C23" s="272"/>
      <c r="D23" s="272"/>
      <c r="E23" s="272"/>
      <c r="F23" s="272"/>
      <c r="G23" s="245"/>
    </row>
    <row r="24" spans="1:13" x14ac:dyDescent="0.2">
      <c r="A24" s="362" t="s">
        <v>265</v>
      </c>
      <c r="B24" s="363"/>
      <c r="C24" s="363"/>
      <c r="D24" s="363"/>
      <c r="E24" s="248"/>
      <c r="F24" s="274" t="s">
        <v>269</v>
      </c>
      <c r="G24" s="245"/>
    </row>
    <row r="25" spans="1:13" x14ac:dyDescent="0.2">
      <c r="A25" s="362" t="s">
        <v>312</v>
      </c>
      <c r="B25" s="363"/>
      <c r="C25" s="363"/>
      <c r="D25" s="363"/>
      <c r="E25" s="248"/>
      <c r="F25" s="274" t="s">
        <v>269</v>
      </c>
      <c r="G25" s="245"/>
    </row>
    <row r="26" spans="1:13" x14ac:dyDescent="0.2">
      <c r="A26" s="362" t="s">
        <v>266</v>
      </c>
      <c r="B26" s="363"/>
      <c r="C26" s="363"/>
      <c r="D26" s="363"/>
      <c r="E26" s="275">
        <f>E24-E25</f>
        <v>0</v>
      </c>
      <c r="F26" s="274" t="s">
        <v>269</v>
      </c>
      <c r="G26" s="245"/>
    </row>
    <row r="27" spans="1:13" x14ac:dyDescent="0.2">
      <c r="A27" s="362" t="s">
        <v>313</v>
      </c>
      <c r="B27" s="363"/>
      <c r="C27" s="363"/>
      <c r="D27" s="363"/>
      <c r="E27" s="249"/>
      <c r="F27" s="274" t="s">
        <v>270</v>
      </c>
      <c r="G27" s="245"/>
    </row>
    <row r="28" spans="1:13" x14ac:dyDescent="0.2">
      <c r="A28" s="362" t="s">
        <v>267</v>
      </c>
      <c r="B28" s="363"/>
      <c r="C28" s="363"/>
      <c r="D28" s="363"/>
      <c r="E28" s="272"/>
      <c r="F28" s="275">
        <f>E26*E27*52.25/12</f>
        <v>0</v>
      </c>
      <c r="G28" s="276" t="s">
        <v>268</v>
      </c>
    </row>
    <row r="29" spans="1:13" x14ac:dyDescent="0.2">
      <c r="A29" s="362" t="s">
        <v>306</v>
      </c>
      <c r="B29" s="363"/>
      <c r="C29" s="363"/>
      <c r="D29" s="363"/>
      <c r="E29" s="277">
        <f>Page5!$I$44</f>
        <v>0</v>
      </c>
      <c r="F29" s="272"/>
      <c r="G29" s="276"/>
    </row>
    <row r="30" spans="1:13" x14ac:dyDescent="0.2">
      <c r="A30" s="362" t="s">
        <v>273</v>
      </c>
      <c r="B30" s="363"/>
      <c r="C30" s="363"/>
      <c r="D30" s="363"/>
      <c r="E30" s="272"/>
      <c r="F30" s="275">
        <f>F28*E29</f>
        <v>0</v>
      </c>
      <c r="G30" s="276" t="s">
        <v>268</v>
      </c>
    </row>
    <row r="31" spans="1:13" x14ac:dyDescent="0.2">
      <c r="A31" s="362" t="s">
        <v>427</v>
      </c>
      <c r="B31" s="363"/>
      <c r="C31" s="363"/>
      <c r="D31" s="363"/>
      <c r="E31" s="278">
        <f>Page5!$W$44</f>
        <v>6.201624E-2</v>
      </c>
      <c r="F31" s="272"/>
      <c r="G31" s="245"/>
    </row>
    <row r="32" spans="1:13" x14ac:dyDescent="0.2">
      <c r="A32" s="362" t="s">
        <v>428</v>
      </c>
      <c r="B32" s="363"/>
      <c r="C32" s="363"/>
      <c r="D32" s="363"/>
      <c r="E32" s="272"/>
      <c r="F32" s="903">
        <f>F28*E31</f>
        <v>0</v>
      </c>
      <c r="G32" s="276" t="s">
        <v>789</v>
      </c>
    </row>
    <row r="33" spans="1:13" x14ac:dyDescent="0.2">
      <c r="A33" s="362" t="s">
        <v>429</v>
      </c>
      <c r="B33" s="363"/>
      <c r="C33" s="363"/>
      <c r="D33" s="363"/>
      <c r="E33" s="278">
        <f>Page5!$L$42</f>
        <v>2.7649999999999997E-2</v>
      </c>
      <c r="F33" s="279"/>
      <c r="G33" s="276"/>
    </row>
    <row r="34" spans="1:13" x14ac:dyDescent="0.2">
      <c r="A34" s="362" t="s">
        <v>430</v>
      </c>
      <c r="B34" s="363"/>
      <c r="C34" s="363"/>
      <c r="D34" s="363"/>
      <c r="E34" s="272"/>
      <c r="F34" s="279">
        <f>E33*F28</f>
        <v>0</v>
      </c>
      <c r="G34" s="276" t="s">
        <v>268</v>
      </c>
    </row>
    <row r="35" spans="1:13" x14ac:dyDescent="0.2">
      <c r="A35" s="273"/>
      <c r="B35" s="272"/>
      <c r="C35" s="272"/>
      <c r="D35" s="272"/>
      <c r="E35" s="272"/>
      <c r="F35" s="279"/>
      <c r="G35" s="276"/>
    </row>
    <row r="36" spans="1:13" ht="13.5" thickBot="1" x14ac:dyDescent="0.25">
      <c r="A36" s="280" t="s">
        <v>271</v>
      </c>
      <c r="B36" s="272"/>
      <c r="C36" s="272"/>
      <c r="D36" s="272"/>
      <c r="E36" s="272"/>
      <c r="F36" s="281">
        <f>SUM(F28:F35)</f>
        <v>0</v>
      </c>
      <c r="G36" s="282" t="s">
        <v>268</v>
      </c>
    </row>
    <row r="37" spans="1:13" ht="13.5" thickTop="1" x14ac:dyDescent="0.2">
      <c r="A37" s="902" t="s">
        <v>790</v>
      </c>
      <c r="B37" s="283"/>
      <c r="C37" s="283"/>
      <c r="D37" s="283"/>
      <c r="E37" s="283"/>
      <c r="F37" s="284"/>
      <c r="G37" s="285"/>
    </row>
    <row r="38" spans="1:13" x14ac:dyDescent="0.2">
      <c r="A38" s="34"/>
      <c r="B38" s="34"/>
      <c r="C38" s="34"/>
      <c r="D38" s="34"/>
      <c r="E38" s="34"/>
      <c r="F38" s="34"/>
      <c r="G38" s="34"/>
    </row>
    <row r="39" spans="1:13" ht="17.25" x14ac:dyDescent="0.2">
      <c r="A39" s="146" t="s">
        <v>291</v>
      </c>
      <c r="B39" s="34"/>
      <c r="C39" s="34"/>
      <c r="D39" s="34"/>
      <c r="E39" s="34"/>
      <c r="F39" s="34"/>
      <c r="G39" s="34"/>
    </row>
    <row r="40" spans="1:13" ht="54" customHeight="1" x14ac:dyDescent="0.2">
      <c r="A40" s="1467" t="s">
        <v>817</v>
      </c>
      <c r="B40" s="1467"/>
      <c r="C40" s="1467"/>
      <c r="D40" s="1467"/>
      <c r="E40" s="1467"/>
      <c r="F40" s="1467"/>
      <c r="G40" s="1467"/>
    </row>
    <row r="41" spans="1:13" ht="45" customHeight="1" x14ac:dyDescent="0.2">
      <c r="A41" s="1467" t="s">
        <v>302</v>
      </c>
      <c r="B41" s="1467"/>
      <c r="C41" s="1467"/>
      <c r="D41" s="1467"/>
      <c r="E41" s="1467"/>
      <c r="F41" s="1467"/>
      <c r="G41" s="1467"/>
    </row>
    <row r="42" spans="1:13" ht="18" customHeight="1" x14ac:dyDescent="0.2">
      <c r="A42" s="1467" t="s">
        <v>290</v>
      </c>
      <c r="B42" s="1467"/>
      <c r="C42" s="1467"/>
      <c r="D42" s="1467"/>
      <c r="E42" s="1467"/>
      <c r="F42" s="1467"/>
      <c r="G42" s="1467"/>
    </row>
    <row r="43" spans="1:13" x14ac:dyDescent="0.2">
      <c r="A43" s="1470" t="s">
        <v>286</v>
      </c>
      <c r="B43" s="1470"/>
      <c r="C43" s="658"/>
      <c r="D43" s="658"/>
      <c r="E43" s="658"/>
      <c r="F43" s="658"/>
      <c r="G43" s="658"/>
    </row>
    <row r="44" spans="1:13" ht="30.6" customHeight="1" x14ac:dyDescent="0.2">
      <c r="A44" s="1467" t="s">
        <v>292</v>
      </c>
      <c r="B44" s="1467"/>
      <c r="C44" s="1467"/>
      <c r="D44" s="1467"/>
      <c r="E44" s="1467"/>
      <c r="F44" s="1467"/>
      <c r="G44" s="1467"/>
    </row>
    <row r="45" spans="1:13" x14ac:dyDescent="0.2">
      <c r="A45" s="1470" t="s">
        <v>287</v>
      </c>
      <c r="B45" s="1470"/>
      <c r="C45" s="658"/>
      <c r="D45" s="658"/>
      <c r="E45" s="658"/>
      <c r="F45" s="658"/>
      <c r="G45" s="658"/>
    </row>
    <row r="46" spans="1:13" ht="33" customHeight="1" x14ac:dyDescent="0.2">
      <c r="A46" s="1467" t="s">
        <v>303</v>
      </c>
      <c r="B46" s="1467"/>
      <c r="C46" s="1467"/>
      <c r="D46" s="1467"/>
      <c r="E46" s="1467"/>
      <c r="F46" s="1467"/>
      <c r="G46" s="1467"/>
    </row>
    <row r="47" spans="1:13" ht="90" customHeight="1" x14ac:dyDescent="0.2">
      <c r="A47" s="1468" t="s">
        <v>818</v>
      </c>
      <c r="B47" s="1468"/>
      <c r="C47" s="1468"/>
      <c r="D47" s="1468"/>
      <c r="E47" s="1468"/>
      <c r="F47" s="1468"/>
      <c r="G47" s="1468"/>
      <c r="H47" s="1206"/>
      <c r="I47" s="1207"/>
      <c r="J47" s="1207"/>
      <c r="K47" s="1207"/>
      <c r="L47" s="1207"/>
      <c r="M47" s="1207"/>
    </row>
    <row r="48" spans="1:13" ht="29.45" customHeight="1" x14ac:dyDescent="0.2">
      <c r="A48" s="1469" t="s">
        <v>797</v>
      </c>
      <c r="B48" s="1469"/>
      <c r="C48" s="1469"/>
      <c r="D48" s="1469"/>
      <c r="E48" s="1469"/>
      <c r="F48" s="1469"/>
      <c r="G48" s="1469"/>
    </row>
    <row r="49" spans="1:7" x14ac:dyDescent="0.2">
      <c r="A49" s="268" t="s">
        <v>293</v>
      </c>
      <c r="B49" s="269"/>
      <c r="C49" s="269"/>
      <c r="D49" s="269"/>
      <c r="E49" s="269"/>
      <c r="F49" s="269"/>
      <c r="G49" s="270"/>
    </row>
    <row r="50" spans="1:7" x14ac:dyDescent="0.2">
      <c r="A50" s="271"/>
      <c r="B50" s="272"/>
      <c r="C50" s="272"/>
      <c r="D50" s="272"/>
      <c r="E50" s="272"/>
      <c r="F50" s="272"/>
      <c r="G50" s="245"/>
    </row>
    <row r="51" spans="1:7" x14ac:dyDescent="0.2">
      <c r="A51" s="1481" t="s">
        <v>304</v>
      </c>
      <c r="B51" s="1482"/>
      <c r="C51" s="1482"/>
      <c r="D51" s="1482"/>
      <c r="E51" s="248"/>
      <c r="F51" s="274" t="s">
        <v>269</v>
      </c>
      <c r="G51" s="245"/>
    </row>
    <row r="52" spans="1:7" x14ac:dyDescent="0.2">
      <c r="A52" s="1481" t="s">
        <v>294</v>
      </c>
      <c r="B52" s="1482"/>
      <c r="C52" s="1482"/>
      <c r="D52" s="1482"/>
      <c r="E52" s="248"/>
      <c r="F52" s="274" t="s">
        <v>269</v>
      </c>
      <c r="G52" s="245"/>
    </row>
    <row r="53" spans="1:7" x14ac:dyDescent="0.2">
      <c r="A53" s="1481" t="s">
        <v>295</v>
      </c>
      <c r="B53" s="1482"/>
      <c r="C53" s="1482"/>
      <c r="D53" s="1482"/>
      <c r="E53" s="347">
        <f>E52-E51</f>
        <v>0</v>
      </c>
      <c r="F53" s="274" t="s">
        <v>269</v>
      </c>
      <c r="G53" s="245"/>
    </row>
    <row r="54" spans="1:7" x14ac:dyDescent="0.2">
      <c r="A54" s="1481" t="s">
        <v>305</v>
      </c>
      <c r="B54" s="1482"/>
      <c r="C54" s="1482"/>
      <c r="D54" s="1482"/>
      <c r="E54" s="346"/>
      <c r="F54" s="274" t="s">
        <v>270</v>
      </c>
      <c r="G54" s="245"/>
    </row>
    <row r="55" spans="1:7" x14ac:dyDescent="0.2">
      <c r="A55" s="1481" t="s">
        <v>296</v>
      </c>
      <c r="B55" s="1482"/>
      <c r="C55" s="1482"/>
      <c r="D55" s="1482"/>
      <c r="E55" s="272"/>
      <c r="F55" s="275">
        <f>E53*E54*52.25/12</f>
        <v>0</v>
      </c>
      <c r="G55" s="276" t="s">
        <v>268</v>
      </c>
    </row>
    <row r="56" spans="1:7" x14ac:dyDescent="0.2">
      <c r="A56" s="1481" t="s">
        <v>306</v>
      </c>
      <c r="B56" s="1482"/>
      <c r="C56" s="1482"/>
      <c r="D56" s="1482"/>
      <c r="E56" s="277">
        <f>Page5!$I$44</f>
        <v>0</v>
      </c>
      <c r="F56" s="272"/>
      <c r="G56" s="276"/>
    </row>
    <row r="57" spans="1:7" x14ac:dyDescent="0.2">
      <c r="A57" s="1481" t="s">
        <v>297</v>
      </c>
      <c r="B57" s="1482"/>
      <c r="C57" s="1482"/>
      <c r="D57" s="1482"/>
      <c r="E57" s="272"/>
      <c r="F57" s="275">
        <f>F55*E56</f>
        <v>0</v>
      </c>
      <c r="G57" s="276" t="s">
        <v>268</v>
      </c>
    </row>
    <row r="58" spans="1:7" x14ac:dyDescent="0.2">
      <c r="A58" s="1481" t="s">
        <v>427</v>
      </c>
      <c r="B58" s="1482"/>
      <c r="C58" s="1482"/>
      <c r="D58" s="1482"/>
      <c r="E58" s="278">
        <f>Page5!$W$44</f>
        <v>6.201624E-2</v>
      </c>
      <c r="F58" s="272"/>
      <c r="G58" s="245"/>
    </row>
    <row r="59" spans="1:7" x14ac:dyDescent="0.2">
      <c r="A59" s="1481" t="s">
        <v>431</v>
      </c>
      <c r="B59" s="1482"/>
      <c r="C59" s="1482"/>
      <c r="D59" s="1482"/>
      <c r="E59" s="272"/>
      <c r="F59" s="903">
        <f>F55*E58</f>
        <v>0</v>
      </c>
      <c r="G59" s="276" t="s">
        <v>789</v>
      </c>
    </row>
    <row r="60" spans="1:7" x14ac:dyDescent="0.2">
      <c r="A60" s="1481" t="s">
        <v>429</v>
      </c>
      <c r="B60" s="1482"/>
      <c r="C60" s="1482"/>
      <c r="D60" s="1482"/>
      <c r="E60" s="278">
        <f>Page5!$L$42</f>
        <v>2.7649999999999997E-2</v>
      </c>
      <c r="F60" s="279"/>
      <c r="G60" s="276"/>
    </row>
    <row r="61" spans="1:7" x14ac:dyDescent="0.2">
      <c r="A61" s="1481" t="s">
        <v>432</v>
      </c>
      <c r="B61" s="1482"/>
      <c r="C61" s="1482"/>
      <c r="D61" s="1482"/>
      <c r="E61" s="272"/>
      <c r="F61" s="279">
        <f>F55*E60</f>
        <v>0</v>
      </c>
      <c r="G61" s="276" t="s">
        <v>268</v>
      </c>
    </row>
    <row r="62" spans="1:7" x14ac:dyDescent="0.2">
      <c r="A62" s="1481" t="s">
        <v>272</v>
      </c>
      <c r="B62" s="1482"/>
      <c r="C62" s="1482"/>
      <c r="D62" s="1482"/>
      <c r="E62" s="278">
        <f>Page5!$O$14</f>
        <v>0</v>
      </c>
      <c r="F62" s="279"/>
      <c r="G62" s="276"/>
    </row>
    <row r="63" spans="1:7" x14ac:dyDescent="0.2">
      <c r="A63" s="1481" t="s">
        <v>307</v>
      </c>
      <c r="B63" s="1482"/>
      <c r="C63" s="1482"/>
      <c r="D63" s="1482"/>
      <c r="E63" s="408">
        <v>1</v>
      </c>
      <c r="F63" s="279"/>
      <c r="G63" s="276"/>
    </row>
    <row r="64" spans="1:7" x14ac:dyDescent="0.2">
      <c r="A64" s="1481" t="s">
        <v>298</v>
      </c>
      <c r="B64" s="1482"/>
      <c r="C64" s="1482"/>
      <c r="D64" s="1482"/>
      <c r="E64" s="272"/>
      <c r="F64" s="279">
        <f>F55*E62*E63</f>
        <v>0</v>
      </c>
      <c r="G64" s="276" t="s">
        <v>268</v>
      </c>
    </row>
    <row r="65" spans="1:7" x14ac:dyDescent="0.2">
      <c r="A65" s="1481" t="s">
        <v>94</v>
      </c>
      <c r="B65" s="1482"/>
      <c r="C65" s="1482"/>
      <c r="D65" s="1482"/>
      <c r="E65" s="278">
        <f>Page5!$S$45</f>
        <v>0</v>
      </c>
      <c r="F65" s="279"/>
      <c r="G65" s="276"/>
    </row>
    <row r="66" spans="1:7" x14ac:dyDescent="0.2">
      <c r="A66" s="1481" t="s">
        <v>299</v>
      </c>
      <c r="B66" s="1482"/>
      <c r="C66" s="1482"/>
      <c r="D66" s="1482"/>
      <c r="E66" s="272"/>
      <c r="F66" s="279">
        <f>F64*E65</f>
        <v>0</v>
      </c>
      <c r="G66" s="276" t="s">
        <v>268</v>
      </c>
    </row>
    <row r="67" spans="1:7" x14ac:dyDescent="0.2">
      <c r="A67" s="1241" t="s">
        <v>787</v>
      </c>
      <c r="B67" s="1242"/>
      <c r="C67" s="1242"/>
      <c r="D67" s="1242"/>
      <c r="E67" s="1243">
        <f>Page5!$W$44</f>
        <v>6.201624E-2</v>
      </c>
      <c r="F67" s="1244"/>
      <c r="G67" s="1245"/>
    </row>
    <row r="68" spans="1:7" x14ac:dyDescent="0.2">
      <c r="A68" s="1484" t="s">
        <v>788</v>
      </c>
      <c r="B68" s="1485"/>
      <c r="C68" s="1485"/>
      <c r="D68" s="1485"/>
      <c r="E68" s="254"/>
      <c r="F68" s="924">
        <f>F64*E67</f>
        <v>0</v>
      </c>
      <c r="G68" s="1245" t="s">
        <v>789</v>
      </c>
    </row>
    <row r="69" spans="1:7" x14ac:dyDescent="0.2">
      <c r="A69" s="273"/>
      <c r="B69" s="272"/>
      <c r="C69" s="272"/>
      <c r="D69" s="272"/>
      <c r="E69" s="272"/>
      <c r="F69" s="279"/>
      <c r="G69" s="276"/>
    </row>
    <row r="70" spans="1:7" ht="13.5" thickBot="1" x14ac:dyDescent="0.25">
      <c r="A70" s="280" t="s">
        <v>300</v>
      </c>
      <c r="B70" s="272"/>
      <c r="C70" s="272"/>
      <c r="D70" s="272"/>
      <c r="E70" s="272"/>
      <c r="F70" s="281">
        <f>SUM(F55:F69)</f>
        <v>0</v>
      </c>
      <c r="G70" s="282" t="s">
        <v>268</v>
      </c>
    </row>
    <row r="71" spans="1:7" ht="13.5" thickTop="1" x14ac:dyDescent="0.2">
      <c r="A71" s="902" t="s">
        <v>790</v>
      </c>
      <c r="B71" s="283"/>
      <c r="C71" s="283"/>
      <c r="D71" s="283"/>
      <c r="E71" s="283"/>
      <c r="F71" s="284"/>
      <c r="G71" s="285"/>
    </row>
    <row r="72" spans="1:7" x14ac:dyDescent="0.2">
      <c r="A72" s="34"/>
      <c r="B72" s="34"/>
      <c r="C72" s="34"/>
      <c r="D72" s="34"/>
      <c r="E72" s="34"/>
      <c r="F72" s="34"/>
      <c r="G72" s="34"/>
    </row>
    <row r="73" spans="1:7" ht="75.75" customHeight="1" x14ac:dyDescent="0.2">
      <c r="A73" s="1483" t="s">
        <v>802</v>
      </c>
      <c r="B73" s="1483"/>
      <c r="C73" s="1483"/>
      <c r="D73" s="1483"/>
      <c r="E73" s="1483"/>
      <c r="F73" s="1483"/>
      <c r="G73" s="1483"/>
    </row>
    <row r="74" spans="1:7" x14ac:dyDescent="0.2">
      <c r="A74" s="364" t="s">
        <v>311</v>
      </c>
      <c r="B74" s="34"/>
      <c r="C74" s="34"/>
      <c r="D74" s="34"/>
      <c r="E74" s="34"/>
      <c r="F74" s="34"/>
      <c r="G74" s="34"/>
    </row>
    <row r="75" spans="1:7" ht="29.25" customHeight="1" x14ac:dyDescent="0.2">
      <c r="A75" s="1464" t="s">
        <v>803</v>
      </c>
      <c r="B75" s="1465"/>
      <c r="C75" s="1465"/>
      <c r="D75" s="1465"/>
      <c r="E75" s="1465"/>
      <c r="F75" s="1465"/>
      <c r="G75" s="1465"/>
    </row>
    <row r="76" spans="1:7" x14ac:dyDescent="0.2">
      <c r="A76" s="38" t="s">
        <v>350</v>
      </c>
      <c r="B76" s="34"/>
      <c r="C76" s="34"/>
      <c r="D76" s="34"/>
      <c r="E76" s="34"/>
      <c r="F76" s="34"/>
      <c r="G76" s="34"/>
    </row>
    <row r="77" spans="1:7" x14ac:dyDescent="0.2">
      <c r="A77" s="34"/>
      <c r="B77" s="34"/>
      <c r="C77" s="34"/>
      <c r="D77" s="34"/>
      <c r="E77" s="34"/>
      <c r="F77" s="34"/>
      <c r="G77" s="34"/>
    </row>
  </sheetData>
  <sheetProtection password="DCF0" sheet="1" objects="1" scenarios="1" formatCells="0" formatColumns="0" formatRows="0" insertColumns="0" insertRows="0" insertHyperlinks="0" deleteColumns="0" deleteRows="0" sort="0" autoFilter="0" pivotTables="0"/>
  <mergeCells count="39">
    <mergeCell ref="G17:M18"/>
    <mergeCell ref="G20:M21"/>
    <mergeCell ref="D1:E1"/>
    <mergeCell ref="A56:D56"/>
    <mergeCell ref="A57:D57"/>
    <mergeCell ref="A58:D58"/>
    <mergeCell ref="A59:D59"/>
    <mergeCell ref="A55:D55"/>
    <mergeCell ref="A41:G41"/>
    <mergeCell ref="A42:G42"/>
    <mergeCell ref="A53:D53"/>
    <mergeCell ref="A54:D54"/>
    <mergeCell ref="A51:D51"/>
    <mergeCell ref="A52:D52"/>
    <mergeCell ref="A60:D60"/>
    <mergeCell ref="A61:D61"/>
    <mergeCell ref="A73:G73"/>
    <mergeCell ref="A62:D62"/>
    <mergeCell ref="A63:D63"/>
    <mergeCell ref="A64:D64"/>
    <mergeCell ref="A65:D65"/>
    <mergeCell ref="A66:D66"/>
    <mergeCell ref="A68:D68"/>
    <mergeCell ref="A75:G75"/>
    <mergeCell ref="A2:G2"/>
    <mergeCell ref="A3:G3"/>
    <mergeCell ref="A8:G8"/>
    <mergeCell ref="A46:G46"/>
    <mergeCell ref="A47:G47"/>
    <mergeCell ref="A48:G48"/>
    <mergeCell ref="C4:F4"/>
    <mergeCell ref="A10:G10"/>
    <mergeCell ref="A40:G40"/>
    <mergeCell ref="A43:B43"/>
    <mergeCell ref="A44:G44"/>
    <mergeCell ref="A45:B45"/>
    <mergeCell ref="A11:B11"/>
    <mergeCell ref="A12:G16"/>
    <mergeCell ref="C5:F5"/>
  </mergeCells>
  <dataValidations count="1">
    <dataValidation type="decimal" operator="lessThanOrEqual" allowBlank="1" showInputMessage="1" showErrorMessage="1" error="The adjustment must be a &quot;reduction&quot; for Supervisor / Senior Worker W&amp;B, thus you need to enter a &quot;negative&quot; number." sqref="E20">
      <formula1>0</formula1>
    </dataValidation>
  </dataValidations>
  <pageMargins left="0.70866141732283472" right="0.70866141732283472" top="0.55118110236220474" bottom="0.74803149606299213" header="0.31496062992125984" footer="0.31496062992125984"/>
  <pageSetup paperSize="5" scale="68" orientation="portrait" r:id="rId1"/>
  <headerFooter>
    <oddFooter>&amp;L&amp;F  
Tab: FGT&amp;A&amp;CPrinted: &amp;D &amp;T&amp;RPage &amp;P of &amp;N</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J62"/>
  <sheetViews>
    <sheetView showGridLines="0" topLeftCell="L1" zoomScaleNormal="100" workbookViewId="0">
      <pane ySplit="9" topLeftCell="A10" activePane="bottomLeft" state="frozen"/>
      <selection activeCell="B4" sqref="B4"/>
      <selection pane="bottomLeft" activeCell="W37" sqref="W37"/>
    </sheetView>
  </sheetViews>
  <sheetFormatPr defaultColWidth="9.140625" defaultRowHeight="13.5" outlineLevelCol="1" x14ac:dyDescent="0.2"/>
  <cols>
    <col min="1" max="1" width="3.7109375" style="81" customWidth="1"/>
    <col min="2" max="2" width="21.28515625" style="76" customWidth="1"/>
    <col min="3" max="3" width="7.42578125" style="76" customWidth="1"/>
    <col min="4" max="4" width="8.28515625" style="76" customWidth="1"/>
    <col min="5" max="5" width="6.42578125" style="76" customWidth="1"/>
    <col min="6" max="6" width="9.28515625" style="76" customWidth="1"/>
    <col min="7" max="8" width="15.7109375" style="76" customWidth="1"/>
    <col min="9" max="9" width="9" style="76" customWidth="1"/>
    <col min="10" max="11" width="15.7109375" style="76" customWidth="1"/>
    <col min="12" max="12" width="8.85546875" style="76" customWidth="1"/>
    <col min="13" max="14" width="15.7109375" style="76" customWidth="1"/>
    <col min="15" max="16" width="11.28515625" style="76" customWidth="1"/>
    <col min="17" max="18" width="15.7109375" style="76" customWidth="1"/>
    <col min="19" max="19" width="11.42578125" style="76" customWidth="1"/>
    <col min="20" max="21" width="15.7109375" style="76" customWidth="1"/>
    <col min="22" max="22" width="8.7109375" style="76" customWidth="1"/>
    <col min="23" max="24" width="16.7109375" style="76" customWidth="1"/>
    <col min="25" max="26" width="15.7109375" style="76" customWidth="1"/>
    <col min="27" max="27" width="2.85546875" style="977" hidden="1" customWidth="1" outlineLevel="1"/>
    <col min="28" max="28" width="28" style="983" hidden="1" customWidth="1" outlineLevel="1"/>
    <col min="29" max="29" width="23" style="983" hidden="1" customWidth="1" outlineLevel="1"/>
    <col min="30" max="30" width="16.7109375" style="983" hidden="1" customWidth="1" outlineLevel="1"/>
    <col min="31" max="31" width="4.5703125" style="983" hidden="1" customWidth="1" outlineLevel="1"/>
    <col min="32" max="35" width="16.7109375" style="984" hidden="1" customWidth="1" outlineLevel="1"/>
    <col min="36" max="36" width="9.140625" style="76" collapsed="1"/>
    <col min="37" max="16384" width="9.140625" style="76"/>
  </cols>
  <sheetData>
    <row r="1" spans="1:35" s="75" customFormat="1" ht="12.75" x14ac:dyDescent="0.2">
      <c r="A1" s="1510" t="str">
        <f>Instructions!C2</f>
        <v>Funding Template Version of 1Apr13</v>
      </c>
      <c r="B1" s="1510"/>
      <c r="C1" s="1510"/>
      <c r="D1" s="1510"/>
      <c r="E1" s="1510"/>
      <c r="F1" s="1510"/>
      <c r="G1" s="1510"/>
      <c r="H1" s="1510"/>
      <c r="I1" s="1510"/>
      <c r="J1" s="1510"/>
      <c r="K1" s="1510"/>
      <c r="L1" s="1510"/>
      <c r="M1" s="1510"/>
      <c r="N1" s="1510"/>
      <c r="O1" s="1510"/>
      <c r="P1" s="1510"/>
      <c r="Q1" s="1510"/>
      <c r="R1" s="1510"/>
      <c r="S1" s="1510"/>
      <c r="T1" s="1510"/>
      <c r="U1" s="1510"/>
      <c r="V1" s="1510"/>
      <c r="W1" s="1510"/>
      <c r="X1" s="1510"/>
      <c r="Y1" s="1510"/>
      <c r="Z1" s="1510"/>
      <c r="AA1" s="929"/>
      <c r="AB1" s="928" t="s">
        <v>108</v>
      </c>
      <c r="AC1" s="928" t="str">
        <f>Page1!N1</f>
        <v>Union</v>
      </c>
      <c r="AD1" s="928"/>
      <c r="AE1" s="928"/>
      <c r="AF1" s="930"/>
      <c r="AG1" s="930"/>
      <c r="AH1" s="930"/>
      <c r="AI1" s="930"/>
    </row>
    <row r="2" spans="1:35" s="75" customFormat="1" ht="20.25" x14ac:dyDescent="0.2">
      <c r="A2" s="1511" t="str">
        <f>Instructions!C3</f>
        <v>Funding Template - Union</v>
      </c>
      <c r="B2" s="1511"/>
      <c r="C2" s="1511"/>
      <c r="D2" s="1511"/>
      <c r="E2" s="1511"/>
      <c r="F2" s="1511"/>
      <c r="G2" s="1511"/>
      <c r="H2" s="1511"/>
      <c r="I2" s="1511"/>
      <c r="J2" s="1511"/>
      <c r="K2" s="1511"/>
      <c r="L2" s="1511"/>
      <c r="M2" s="1511"/>
      <c r="N2" s="1511"/>
      <c r="O2" s="1511"/>
      <c r="P2" s="1511"/>
      <c r="Q2" s="1511"/>
      <c r="R2" s="1511"/>
      <c r="S2" s="1511"/>
      <c r="T2" s="1511"/>
      <c r="U2" s="1511"/>
      <c r="V2" s="1511"/>
      <c r="W2" s="1511"/>
      <c r="X2" s="1511"/>
      <c r="Y2" s="1511"/>
      <c r="Z2" s="1511"/>
      <c r="AA2" s="931"/>
      <c r="AB2" s="928" t="s">
        <v>90</v>
      </c>
      <c r="AC2" s="928" t="str">
        <f>Page1!J13</f>
        <v>Non-Residential</v>
      </c>
      <c r="AD2" s="928"/>
      <c r="AE2" s="928"/>
      <c r="AF2" s="930"/>
      <c r="AG2" s="930"/>
      <c r="AH2" s="930"/>
      <c r="AI2" s="930"/>
    </row>
    <row r="3" spans="1:35" s="75" customFormat="1" ht="15.75" customHeight="1" x14ac:dyDescent="0.2">
      <c r="A3" s="1466" t="s">
        <v>316</v>
      </c>
      <c r="B3" s="1466"/>
      <c r="C3" s="1466"/>
      <c r="D3" s="1466"/>
      <c r="E3" s="1466"/>
      <c r="F3" s="1466"/>
      <c r="G3" s="1466"/>
      <c r="H3" s="1466"/>
      <c r="I3" s="1466"/>
      <c r="J3" s="1466"/>
      <c r="K3" s="1466"/>
      <c r="L3" s="1466"/>
      <c r="M3" s="1466"/>
      <c r="N3" s="1466"/>
      <c r="O3" s="1466"/>
      <c r="P3" s="1466"/>
      <c r="Q3" s="1466"/>
      <c r="R3" s="1466"/>
      <c r="S3" s="1466"/>
      <c r="T3" s="1466"/>
      <c r="U3" s="1466"/>
      <c r="V3" s="1466"/>
      <c r="W3" s="1466"/>
      <c r="X3" s="1466"/>
      <c r="Y3" s="1466"/>
      <c r="Z3" s="1466"/>
      <c r="AA3" s="932"/>
      <c r="AB3" s="928"/>
      <c r="AC3" s="928"/>
      <c r="AD3" s="928"/>
      <c r="AE3" s="928"/>
      <c r="AF3" s="930"/>
      <c r="AG3" s="930"/>
      <c r="AH3" s="930"/>
      <c r="AI3" s="930"/>
    </row>
    <row r="4" spans="1:35" s="77" customFormat="1" ht="16.5" customHeight="1" x14ac:dyDescent="0.2">
      <c r="A4" s="1512" t="s">
        <v>146</v>
      </c>
      <c r="B4" s="1512"/>
      <c r="C4" s="1512"/>
      <c r="D4" s="1512"/>
      <c r="E4" s="1512"/>
      <c r="F4" s="1512"/>
      <c r="G4" s="1512"/>
      <c r="H4" s="1512"/>
      <c r="I4" s="1512"/>
      <c r="J4" s="1512"/>
      <c r="K4" s="1512"/>
      <c r="L4" s="1512"/>
      <c r="M4" s="1512"/>
      <c r="N4" s="1512"/>
      <c r="O4" s="1512"/>
      <c r="P4" s="1512"/>
      <c r="Q4" s="1512"/>
      <c r="R4" s="1512"/>
      <c r="S4" s="1512"/>
      <c r="T4" s="1512"/>
      <c r="U4" s="1512"/>
      <c r="V4" s="1512"/>
      <c r="W4" s="1512"/>
      <c r="X4" s="1512"/>
      <c r="Y4" s="1512"/>
      <c r="Z4" s="1512"/>
      <c r="AA4" s="933"/>
      <c r="AB4" s="1516" t="s">
        <v>116</v>
      </c>
      <c r="AC4" s="1513" t="str">
        <f>CONCATENATE(AC1,AC2)</f>
        <v>UnionNon-Residential</v>
      </c>
      <c r="AD4" s="934"/>
      <c r="AE4" s="934"/>
      <c r="AF4" s="935"/>
      <c r="AG4" s="935"/>
      <c r="AH4" s="935"/>
      <c r="AI4" s="935"/>
    </row>
    <row r="5" spans="1:35" s="79" customFormat="1" ht="12.75" customHeight="1" x14ac:dyDescent="0.2">
      <c r="A5" s="78"/>
      <c r="F5" s="1515" t="str">
        <f>Page1!D7</f>
        <v>Burnaby Assocication for Community Inclusion</v>
      </c>
      <c r="G5" s="1515"/>
      <c r="H5" s="1515"/>
      <c r="I5" s="1515"/>
      <c r="S5" s="1515">
        <f>Page1!D9</f>
        <v>0</v>
      </c>
      <c r="T5" s="1515"/>
      <c r="U5" s="1515"/>
      <c r="V5" s="1515"/>
      <c r="AA5" s="936"/>
      <c r="AB5" s="1517"/>
      <c r="AC5" s="1514"/>
      <c r="AD5" s="937"/>
      <c r="AE5" s="937"/>
      <c r="AF5" s="938"/>
      <c r="AG5" s="938"/>
      <c r="AH5" s="938"/>
      <c r="AI5" s="938"/>
    </row>
    <row r="6" spans="1:35" s="79" customFormat="1" ht="15.75" x14ac:dyDescent="0.2">
      <c r="A6" s="78"/>
      <c r="B6" s="80" t="s">
        <v>96</v>
      </c>
      <c r="I6" s="491"/>
      <c r="J6" s="492"/>
      <c r="K6" s="492"/>
      <c r="L6" s="492"/>
      <c r="M6" s="492"/>
      <c r="N6" s="492"/>
      <c r="AA6" s="936"/>
      <c r="AB6" s="939"/>
      <c r="AC6" s="939"/>
      <c r="AD6" s="939"/>
      <c r="AE6" s="939"/>
      <c r="AF6" s="940"/>
      <c r="AG6" s="940"/>
      <c r="AH6" s="940"/>
      <c r="AI6" s="940"/>
    </row>
    <row r="7" spans="1:35" ht="15.75" x14ac:dyDescent="0.2">
      <c r="B7" s="82"/>
      <c r="C7" s="83"/>
      <c r="D7" s="84"/>
      <c r="E7" s="85"/>
      <c r="F7" s="1500" t="s">
        <v>75</v>
      </c>
      <c r="G7" s="1501"/>
      <c r="H7" s="1502"/>
      <c r="I7" s="1503" t="s">
        <v>159</v>
      </c>
      <c r="J7" s="1504"/>
      <c r="K7" s="1505"/>
      <c r="L7" s="1500" t="s">
        <v>114</v>
      </c>
      <c r="M7" s="1501"/>
      <c r="N7" s="1502"/>
      <c r="O7" s="1503" t="s">
        <v>234</v>
      </c>
      <c r="P7" s="1504"/>
      <c r="Q7" s="1504"/>
      <c r="R7" s="1505"/>
      <c r="S7" s="1500" t="s">
        <v>235</v>
      </c>
      <c r="T7" s="1501"/>
      <c r="U7" s="1502"/>
      <c r="V7" s="1503" t="s">
        <v>55</v>
      </c>
      <c r="W7" s="1504"/>
      <c r="X7" s="1505"/>
      <c r="Y7" s="1500" t="s">
        <v>136</v>
      </c>
      <c r="Z7" s="1502"/>
      <c r="AA7" s="941"/>
      <c r="AB7" s="942"/>
      <c r="AC7" s="942"/>
      <c r="AD7" s="942"/>
      <c r="AE7" s="942"/>
      <c r="AF7" s="1499" t="s">
        <v>792</v>
      </c>
      <c r="AG7" s="1499"/>
      <c r="AH7" s="1499" t="s">
        <v>793</v>
      </c>
      <c r="AI7" s="1499"/>
    </row>
    <row r="8" spans="1:35" s="88" customFormat="1" x14ac:dyDescent="0.2">
      <c r="A8" s="86" t="s">
        <v>36</v>
      </c>
      <c r="B8" s="1488" t="s">
        <v>11</v>
      </c>
      <c r="C8" s="87"/>
      <c r="D8" s="11" t="s">
        <v>165</v>
      </c>
      <c r="E8" s="12"/>
      <c r="F8" s="13" t="s">
        <v>6</v>
      </c>
      <c r="G8" s="14" t="s">
        <v>0</v>
      </c>
      <c r="H8" s="15" t="s">
        <v>1</v>
      </c>
      <c r="I8" s="16" t="s">
        <v>76</v>
      </c>
      <c r="J8" s="17" t="s">
        <v>0</v>
      </c>
      <c r="K8" s="18" t="s">
        <v>1</v>
      </c>
      <c r="L8" s="13" t="s">
        <v>114</v>
      </c>
      <c r="M8" s="14" t="s">
        <v>0</v>
      </c>
      <c r="N8" s="15" t="s">
        <v>1</v>
      </c>
      <c r="O8" s="16" t="s">
        <v>236</v>
      </c>
      <c r="P8" s="17" t="s">
        <v>236</v>
      </c>
      <c r="Q8" s="17" t="s">
        <v>0</v>
      </c>
      <c r="R8" s="17" t="s">
        <v>1</v>
      </c>
      <c r="S8" s="13" t="s">
        <v>236</v>
      </c>
      <c r="T8" s="14" t="s">
        <v>0</v>
      </c>
      <c r="U8" s="15" t="s">
        <v>1</v>
      </c>
      <c r="V8" s="16" t="s">
        <v>55</v>
      </c>
      <c r="W8" s="1508" t="s">
        <v>799</v>
      </c>
      <c r="X8" s="1506" t="s">
        <v>800</v>
      </c>
      <c r="Y8" s="13" t="s">
        <v>0</v>
      </c>
      <c r="Z8" s="15" t="s">
        <v>1</v>
      </c>
      <c r="AA8" s="943"/>
      <c r="AB8" s="944"/>
      <c r="AC8" s="944"/>
      <c r="AD8" s="945"/>
      <c r="AE8" s="945"/>
      <c r="AF8" s="946" t="s">
        <v>104</v>
      </c>
      <c r="AG8" s="946" t="s">
        <v>236</v>
      </c>
      <c r="AH8" s="946" t="s">
        <v>104</v>
      </c>
      <c r="AI8" s="946" t="s">
        <v>236</v>
      </c>
    </row>
    <row r="9" spans="1:35" s="90" customFormat="1" x14ac:dyDescent="0.2">
      <c r="A9" s="89"/>
      <c r="B9" s="1488"/>
      <c r="C9" s="465" t="s">
        <v>9</v>
      </c>
      <c r="D9" s="11" t="s">
        <v>44</v>
      </c>
      <c r="E9" s="12" t="s">
        <v>27</v>
      </c>
      <c r="F9" s="13" t="s">
        <v>7</v>
      </c>
      <c r="G9" s="14" t="s">
        <v>8</v>
      </c>
      <c r="H9" s="15" t="s">
        <v>8</v>
      </c>
      <c r="I9" s="16" t="s">
        <v>2</v>
      </c>
      <c r="J9" s="17" t="s">
        <v>8</v>
      </c>
      <c r="K9" s="18" t="s">
        <v>8</v>
      </c>
      <c r="L9" s="13" t="s">
        <v>2</v>
      </c>
      <c r="M9" s="14" t="s">
        <v>8</v>
      </c>
      <c r="N9" s="15" t="s">
        <v>8</v>
      </c>
      <c r="O9" s="16" t="s">
        <v>237</v>
      </c>
      <c r="P9" s="17" t="s">
        <v>2</v>
      </c>
      <c r="Q9" s="17" t="s">
        <v>8</v>
      </c>
      <c r="R9" s="17" t="s">
        <v>8</v>
      </c>
      <c r="S9" s="13" t="s">
        <v>238</v>
      </c>
      <c r="T9" s="14" t="s">
        <v>8</v>
      </c>
      <c r="U9" s="15" t="s">
        <v>8</v>
      </c>
      <c r="V9" s="16" t="s">
        <v>2</v>
      </c>
      <c r="W9" s="1509"/>
      <c r="X9" s="1507"/>
      <c r="Y9" s="13" t="s">
        <v>8</v>
      </c>
      <c r="Z9" s="15" t="s">
        <v>8</v>
      </c>
      <c r="AA9" s="943"/>
      <c r="AB9" s="947" t="s">
        <v>124</v>
      </c>
      <c r="AC9" s="947"/>
      <c r="AD9" s="943"/>
      <c r="AE9" s="943"/>
      <c r="AF9" s="948" t="s">
        <v>85</v>
      </c>
      <c r="AG9" s="948" t="s">
        <v>85</v>
      </c>
      <c r="AH9" s="948" t="s">
        <v>85</v>
      </c>
      <c r="AI9" s="948" t="s">
        <v>85</v>
      </c>
    </row>
    <row r="10" spans="1:35" s="88" customFormat="1" x14ac:dyDescent="0.2">
      <c r="A10" s="91" t="s">
        <v>194</v>
      </c>
      <c r="B10" s="30" t="s">
        <v>245</v>
      </c>
      <c r="C10" s="457">
        <f>$C$36/8</f>
        <v>0</v>
      </c>
      <c r="D10" s="450">
        <f>Page1!J11*C10</f>
        <v>0</v>
      </c>
      <c r="E10" s="31" t="s">
        <v>247</v>
      </c>
      <c r="F10" s="114">
        <f>IF(NOT(C10=0),VLOOKUP($AB10,'LOCK_ME - Page10 - Lookups'!$G$85:$N$85,8,FALSE),0)</f>
        <v>0</v>
      </c>
      <c r="G10" s="409">
        <f>(D10*F10)*52.25/12</f>
        <v>0</v>
      </c>
      <c r="H10" s="410">
        <f>ROUND(G10,2)*12</f>
        <v>0</v>
      </c>
      <c r="I10" s="94">
        <f>IF(C10&gt;0,I44,0)</f>
        <v>0</v>
      </c>
      <c r="J10" s="413">
        <f>G10*I10</f>
        <v>0</v>
      </c>
      <c r="K10" s="414">
        <f>ROUND(J10,2)*12</f>
        <v>0</v>
      </c>
      <c r="L10" s="97">
        <f>IF(C10&gt;0,L42,0)</f>
        <v>0</v>
      </c>
      <c r="M10" s="409">
        <f>L10*G10</f>
        <v>0</v>
      </c>
      <c r="N10" s="410">
        <f>ROUND(M10,2)*12</f>
        <v>0</v>
      </c>
      <c r="O10" s="94"/>
      <c r="P10" s="906"/>
      <c r="Q10" s="95"/>
      <c r="R10" s="96"/>
      <c r="S10" s="97"/>
      <c r="T10" s="92"/>
      <c r="U10" s="93"/>
      <c r="V10" s="94">
        <f>IF(C10&gt;0,W44,0)</f>
        <v>0</v>
      </c>
      <c r="W10" s="413">
        <f>(G10+Q10)*V10</f>
        <v>0</v>
      </c>
      <c r="X10" s="414">
        <f>ROUND(W10,2)*12</f>
        <v>0</v>
      </c>
      <c r="Y10" s="114">
        <f>G10+J10+W10+M10+Q10+T10</f>
        <v>0</v>
      </c>
      <c r="Z10" s="410">
        <f>H10+K10+X10+N10+R10+U10</f>
        <v>0</v>
      </c>
      <c r="AA10" s="949"/>
      <c r="AB10" s="950" t="s">
        <v>246</v>
      </c>
      <c r="AC10" s="951"/>
      <c r="AD10" s="952"/>
      <c r="AE10" s="952"/>
      <c r="AF10" s="953">
        <f>G10*V10</f>
        <v>0</v>
      </c>
      <c r="AG10" s="953">
        <f>Q10*V10</f>
        <v>0</v>
      </c>
      <c r="AH10" s="953">
        <f>ROUND(AF10,2)*12</f>
        <v>0</v>
      </c>
      <c r="AI10" s="953">
        <f>ROUND(AG10,2)*12</f>
        <v>0</v>
      </c>
    </row>
    <row r="11" spans="1:35" s="88" customFormat="1" x14ac:dyDescent="0.2">
      <c r="A11" s="98"/>
      <c r="B11" s="19"/>
      <c r="C11" s="99"/>
      <c r="D11" s="451"/>
      <c r="E11" s="20"/>
      <c r="F11" s="21"/>
      <c r="G11" s="411"/>
      <c r="H11" s="412"/>
      <c r="I11" s="101"/>
      <c r="J11" s="415"/>
      <c r="K11" s="416"/>
      <c r="L11" s="104"/>
      <c r="M11" s="411"/>
      <c r="N11" s="417"/>
      <c r="O11" s="101"/>
      <c r="P11" s="106"/>
      <c r="Q11" s="102"/>
      <c r="R11" s="103"/>
      <c r="S11" s="107"/>
      <c r="T11" s="100"/>
      <c r="U11" s="105"/>
      <c r="V11" s="101"/>
      <c r="W11" s="415"/>
      <c r="X11" s="416"/>
      <c r="Y11" s="115"/>
      <c r="Z11" s="417"/>
      <c r="AA11" s="949"/>
      <c r="AB11" s="950"/>
      <c r="AC11" s="954"/>
      <c r="AD11" s="952"/>
      <c r="AE11" s="952"/>
      <c r="AF11" s="955"/>
      <c r="AG11" s="955"/>
      <c r="AH11" s="955"/>
      <c r="AI11" s="955"/>
    </row>
    <row r="12" spans="1:35" s="88" customFormat="1" x14ac:dyDescent="0.2">
      <c r="A12" s="1496" t="s">
        <v>97</v>
      </c>
      <c r="B12" s="1497"/>
      <c r="C12" s="22">
        <f>SUM(C10:C11)</f>
        <v>0</v>
      </c>
      <c r="D12" s="452">
        <f>SUM(D10:D11)</f>
        <v>0</v>
      </c>
      <c r="E12" s="23"/>
      <c r="F12" s="24"/>
      <c r="G12" s="24">
        <f>SUM(G10:G11)</f>
        <v>0</v>
      </c>
      <c r="H12" s="24">
        <f>SUM(H10:H11)</f>
        <v>0</v>
      </c>
      <c r="I12" s="25"/>
      <c r="J12" s="24">
        <f t="shared" ref="J12:K12" si="0">SUM(J10:J11)</f>
        <v>0</v>
      </c>
      <c r="K12" s="24">
        <f t="shared" si="0"/>
        <v>0</v>
      </c>
      <c r="L12" s="25"/>
      <c r="M12" s="24">
        <f t="shared" ref="M12:N12" si="1">SUM(M10:M11)</f>
        <v>0</v>
      </c>
      <c r="N12" s="24">
        <f t="shared" si="1"/>
        <v>0</v>
      </c>
      <c r="O12" s="25"/>
      <c r="P12" s="25"/>
      <c r="Q12" s="25"/>
      <c r="R12" s="25"/>
      <c r="S12" s="25"/>
      <c r="T12" s="25"/>
      <c r="U12" s="26"/>
      <c r="V12" s="25"/>
      <c r="W12" s="24">
        <f t="shared" ref="W12:X12" si="2">SUM(W10:W11)</f>
        <v>0</v>
      </c>
      <c r="X12" s="24">
        <f t="shared" si="2"/>
        <v>0</v>
      </c>
      <c r="Y12" s="24">
        <f>SUM(Y10:Y11)</f>
        <v>0</v>
      </c>
      <c r="Z12" s="24">
        <f>SUM(Z10:Z11)</f>
        <v>0</v>
      </c>
      <c r="AA12" s="956"/>
      <c r="AB12" s="957"/>
      <c r="AC12" s="957"/>
      <c r="AD12" s="958"/>
      <c r="AE12" s="958"/>
      <c r="AF12" s="959"/>
      <c r="AG12" s="959"/>
      <c r="AH12" s="959"/>
      <c r="AI12" s="959"/>
    </row>
    <row r="13" spans="1:35" s="79" customFormat="1" ht="15.75" x14ac:dyDescent="0.2">
      <c r="A13" s="108"/>
      <c r="B13" s="80" t="s">
        <v>127</v>
      </c>
      <c r="D13" s="453"/>
      <c r="G13" s="348"/>
      <c r="L13" s="492"/>
      <c r="M13" s="492"/>
      <c r="N13" s="492"/>
      <c r="V13" s="1246"/>
      <c r="W13" s="492"/>
      <c r="X13" s="492"/>
      <c r="Y13" s="492"/>
      <c r="AA13" s="936"/>
      <c r="AB13" s="948" t="s">
        <v>124</v>
      </c>
      <c r="AC13" s="960" t="s">
        <v>370</v>
      </c>
      <c r="AD13" s="960" t="s">
        <v>685</v>
      </c>
      <c r="AE13" s="961"/>
      <c r="AF13" s="962" t="s">
        <v>791</v>
      </c>
      <c r="AG13" s="962" t="s">
        <v>801</v>
      </c>
      <c r="AH13" s="962" t="s">
        <v>791</v>
      </c>
      <c r="AI13" s="962" t="s">
        <v>801</v>
      </c>
    </row>
    <row r="14" spans="1:35" s="88" customFormat="1" ht="27" customHeight="1" x14ac:dyDescent="0.2">
      <c r="A14" s="109">
        <v>1</v>
      </c>
      <c r="B14" s="8">
        <f>Page2A!B10</f>
        <v>0</v>
      </c>
      <c r="C14" s="458">
        <f>Page2A!U10</f>
        <v>0</v>
      </c>
      <c r="D14" s="454">
        <f>Page2A!T11</f>
        <v>0</v>
      </c>
      <c r="E14" s="27">
        <f>Page2A!W10</f>
        <v>0</v>
      </c>
      <c r="F14" s="110">
        <f>IF(NOT(C14=0),VLOOKUP($AB14,'LOCK_ME - Page10 - Lookups'!$G$48:$N$81,8,FALSE),0)</f>
        <v>0</v>
      </c>
      <c r="G14" s="418">
        <f t="shared" ref="G14" si="3">(D14*F14)*52.25/12</f>
        <v>0</v>
      </c>
      <c r="H14" s="418">
        <f>ROUND(G14,2)*12</f>
        <v>0</v>
      </c>
      <c r="I14" s="111">
        <f t="shared" ref="I14:I35" si="4">IF($F14&gt;0,IF(($AC14=1),$S$45,$I$44),0)</f>
        <v>0</v>
      </c>
      <c r="J14" s="419">
        <f>G14*I14</f>
        <v>0</v>
      </c>
      <c r="K14" s="420">
        <f t="shared" ref="K14:K35" si="5">ROUND(J14,2)*12</f>
        <v>0</v>
      </c>
      <c r="L14" s="112">
        <f t="shared" ref="L14:L35" si="6">IF($F14&gt;0,IF(($AC14=1),0,$L$42),0)</f>
        <v>0</v>
      </c>
      <c r="M14" s="418">
        <f t="shared" ref="M14:M35" si="7">G14*L14</f>
        <v>0</v>
      </c>
      <c r="N14" s="421">
        <f t="shared" ref="N14:N35" si="8">ROUND(M14,2)*12</f>
        <v>0</v>
      </c>
      <c r="O14" s="111">
        <f>IF($F14&gt;0,IF($AC14=1,0,VLOOKUP($AC$4,'LOCK_ME - Page10 - Lookups'!$D$89:$J$91,6,FALSE)),0)</f>
        <v>0</v>
      </c>
      <c r="P14" s="907">
        <f>Page2A!V10</f>
        <v>0</v>
      </c>
      <c r="Q14" s="419">
        <f t="shared" ref="Q14:Q35" si="9">G14*O14*P14</f>
        <v>0</v>
      </c>
      <c r="R14" s="419">
        <f t="shared" ref="R14:R35" si="10">ROUND(Q14,2)*12</f>
        <v>0</v>
      </c>
      <c r="S14" s="112">
        <f t="shared" ref="S14:S35" si="11">IF($F14&gt;0,IF($AC14=1,0,$S$45),0)</f>
        <v>0</v>
      </c>
      <c r="T14" s="418">
        <f>Q14*S14</f>
        <v>0</v>
      </c>
      <c r="U14" s="421">
        <f t="shared" ref="U14:U35" si="12">ROUND(T14,2)*12</f>
        <v>0</v>
      </c>
      <c r="V14" s="111">
        <f>IF($F14&gt;0,$W$44,0)</f>
        <v>0</v>
      </c>
      <c r="W14" s="419">
        <f>(G14+Q14)*V14</f>
        <v>0</v>
      </c>
      <c r="X14" s="420">
        <f t="shared" ref="X14:X35" si="13">ROUND(W14,2)*12</f>
        <v>0</v>
      </c>
      <c r="Y14" s="110">
        <f t="shared" ref="Y14:Y35" si="14">G14+J14+W14+M14+Q14+T14</f>
        <v>0</v>
      </c>
      <c r="Z14" s="421">
        <f t="shared" ref="Z14:Z35" si="15">H14+K14+X14+N14+R14+U14</f>
        <v>0</v>
      </c>
      <c r="AA14" s="949"/>
      <c r="AB14" s="950" t="str">
        <f>CONCATENATE(,B14,E14)</f>
        <v>00</v>
      </c>
      <c r="AC14" s="963">
        <f>Page2A!AD10</f>
        <v>0</v>
      </c>
      <c r="AD14" s="963">
        <f>IF(NOT($C14=0),VLOOKUP($B14,'LOCK_ME - Page10 - Lookups'!$B$10:$G$43,6,FALSE),0)</f>
        <v>0</v>
      </c>
      <c r="AE14" s="964"/>
      <c r="AF14" s="965">
        <f t="shared" ref="AF14:AF35" si="16">G14*V14</f>
        <v>0</v>
      </c>
      <c r="AG14" s="965">
        <f t="shared" ref="AG14:AG35" si="17">Q14*V14</f>
        <v>0</v>
      </c>
      <c r="AH14" s="965">
        <f t="shared" ref="AH14:AH35" si="18">ROUND(AF14,2)*12</f>
        <v>0</v>
      </c>
      <c r="AI14" s="965">
        <f t="shared" ref="AI14:AI35" si="19">ROUND(AG14,2)*12</f>
        <v>0</v>
      </c>
    </row>
    <row r="15" spans="1:35" s="88" customFormat="1" ht="27" customHeight="1" x14ac:dyDescent="0.2">
      <c r="A15" s="113">
        <f>A14+1</f>
        <v>2</v>
      </c>
      <c r="B15" s="9">
        <f>Page2A!B12</f>
        <v>0</v>
      </c>
      <c r="C15" s="457">
        <f>Page2A!U12</f>
        <v>0</v>
      </c>
      <c r="D15" s="450">
        <f>Page2A!T13</f>
        <v>0</v>
      </c>
      <c r="E15" s="28">
        <f>Page2A!W12</f>
        <v>0</v>
      </c>
      <c r="F15" s="114">
        <f>IF(NOT(C15=0),VLOOKUP($AB15,'LOCK_ME - Page10 - Lookups'!$G$48:$N$81,8,FALSE),0)</f>
        <v>0</v>
      </c>
      <c r="G15" s="422">
        <f>(D15*F15)*52.25/12</f>
        <v>0</v>
      </c>
      <c r="H15" s="422">
        <f t="shared" ref="H15:H35" si="20">ROUND(G15,2)*12</f>
        <v>0</v>
      </c>
      <c r="I15" s="94">
        <f t="shared" si="4"/>
        <v>0</v>
      </c>
      <c r="J15" s="426">
        <f t="shared" ref="J15:J35" si="21">G15*I15</f>
        <v>0</v>
      </c>
      <c r="K15" s="427">
        <f t="shared" si="5"/>
        <v>0</v>
      </c>
      <c r="L15" s="97">
        <f t="shared" si="6"/>
        <v>0</v>
      </c>
      <c r="M15" s="422">
        <f t="shared" si="7"/>
        <v>0</v>
      </c>
      <c r="N15" s="424">
        <f t="shared" si="8"/>
        <v>0</v>
      </c>
      <c r="O15" s="94">
        <f>IF($F15&gt;0,IF($AC15=1,0,VLOOKUP($AC$4,'LOCK_ME - Page10 - Lookups'!$D$89:$J$91,6,FALSE)),0)</f>
        <v>0</v>
      </c>
      <c r="P15" s="906">
        <f>Page2A!V12</f>
        <v>0</v>
      </c>
      <c r="Q15" s="426">
        <f t="shared" si="9"/>
        <v>0</v>
      </c>
      <c r="R15" s="426">
        <f t="shared" si="10"/>
        <v>0</v>
      </c>
      <c r="S15" s="97">
        <f t="shared" si="11"/>
        <v>0</v>
      </c>
      <c r="T15" s="422">
        <f t="shared" ref="T15:T35" si="22">Q15*S15</f>
        <v>0</v>
      </c>
      <c r="U15" s="424">
        <f t="shared" si="12"/>
        <v>0</v>
      </c>
      <c r="V15" s="94">
        <f t="shared" ref="V15:V35" si="23">IF($F15&gt;0,$W$44,0)</f>
        <v>0</v>
      </c>
      <c r="W15" s="426">
        <f t="shared" ref="W15:W35" si="24">(G15+Q15)*V15</f>
        <v>0</v>
      </c>
      <c r="X15" s="427">
        <f t="shared" si="13"/>
        <v>0</v>
      </c>
      <c r="Y15" s="554">
        <f t="shared" si="14"/>
        <v>0</v>
      </c>
      <c r="Z15" s="424">
        <f t="shared" si="15"/>
        <v>0</v>
      </c>
      <c r="AA15" s="966"/>
      <c r="AB15" s="950" t="str">
        <f t="shared" ref="AB15:AB35" si="25">CONCATENATE(,B15,E15)</f>
        <v>00</v>
      </c>
      <c r="AC15" s="963">
        <f>Page2A!AD12</f>
        <v>0</v>
      </c>
      <c r="AD15" s="963">
        <f>IF(NOT($C15=0),VLOOKUP($B15,'LOCK_ME - Page10 - Lookups'!$B$10:$G$43,6,FALSE),0)</f>
        <v>0</v>
      </c>
      <c r="AE15" s="964"/>
      <c r="AF15" s="965">
        <f t="shared" si="16"/>
        <v>0</v>
      </c>
      <c r="AG15" s="965">
        <f t="shared" si="17"/>
        <v>0</v>
      </c>
      <c r="AH15" s="965">
        <f t="shared" si="18"/>
        <v>0</v>
      </c>
      <c r="AI15" s="965">
        <f t="shared" si="19"/>
        <v>0</v>
      </c>
    </row>
    <row r="16" spans="1:35" s="88" customFormat="1" ht="27" customHeight="1" x14ac:dyDescent="0.2">
      <c r="A16" s="113">
        <f t="shared" ref="A16:A35" si="26">A15+1</f>
        <v>3</v>
      </c>
      <c r="B16" s="9">
        <f>Page2A!B14</f>
        <v>0</v>
      </c>
      <c r="C16" s="457">
        <f>Page2A!U14</f>
        <v>0</v>
      </c>
      <c r="D16" s="450">
        <f>Page2A!T15</f>
        <v>0</v>
      </c>
      <c r="E16" s="28">
        <f>Page2A!W14</f>
        <v>0</v>
      </c>
      <c r="F16" s="114">
        <f>IF(NOT(C16=0),VLOOKUP($AB16,'LOCK_ME - Page10 - Lookups'!$G$48:$N$81,8,FALSE),0)</f>
        <v>0</v>
      </c>
      <c r="G16" s="422">
        <f t="shared" ref="G16:G35" si="27">(D16*F16)*52.25/12</f>
        <v>0</v>
      </c>
      <c r="H16" s="422">
        <f t="shared" si="20"/>
        <v>0</v>
      </c>
      <c r="I16" s="94">
        <f t="shared" si="4"/>
        <v>0</v>
      </c>
      <c r="J16" s="426">
        <f t="shared" si="21"/>
        <v>0</v>
      </c>
      <c r="K16" s="427">
        <f t="shared" si="5"/>
        <v>0</v>
      </c>
      <c r="L16" s="97">
        <f t="shared" si="6"/>
        <v>0</v>
      </c>
      <c r="M16" s="422">
        <f t="shared" si="7"/>
        <v>0</v>
      </c>
      <c r="N16" s="424">
        <f t="shared" si="8"/>
        <v>0</v>
      </c>
      <c r="O16" s="94">
        <f>IF($F16&gt;0,IF($AC16=1,0,VLOOKUP($AC$4,'LOCK_ME - Page10 - Lookups'!$D$89:$J$91,6,FALSE)),0)</f>
        <v>0</v>
      </c>
      <c r="P16" s="906">
        <f>Page2A!V14</f>
        <v>0</v>
      </c>
      <c r="Q16" s="426">
        <f t="shared" si="9"/>
        <v>0</v>
      </c>
      <c r="R16" s="426">
        <f t="shared" si="10"/>
        <v>0</v>
      </c>
      <c r="S16" s="97">
        <f t="shared" si="11"/>
        <v>0</v>
      </c>
      <c r="T16" s="422">
        <f t="shared" si="22"/>
        <v>0</v>
      </c>
      <c r="U16" s="424">
        <f t="shared" si="12"/>
        <v>0</v>
      </c>
      <c r="V16" s="94">
        <f t="shared" si="23"/>
        <v>0</v>
      </c>
      <c r="W16" s="426">
        <f t="shared" si="24"/>
        <v>0</v>
      </c>
      <c r="X16" s="427">
        <f t="shared" si="13"/>
        <v>0</v>
      </c>
      <c r="Y16" s="554">
        <f t="shared" si="14"/>
        <v>0</v>
      </c>
      <c r="Z16" s="424">
        <f t="shared" si="15"/>
        <v>0</v>
      </c>
      <c r="AA16" s="966"/>
      <c r="AB16" s="950" t="str">
        <f t="shared" si="25"/>
        <v>00</v>
      </c>
      <c r="AC16" s="963">
        <f>Page2A!AD14</f>
        <v>0</v>
      </c>
      <c r="AD16" s="963">
        <f>IF(NOT($C16=0),VLOOKUP($B16,'LOCK_ME - Page10 - Lookups'!$B$10:$G$43,6,FALSE),0)</f>
        <v>0</v>
      </c>
      <c r="AE16" s="964"/>
      <c r="AF16" s="965">
        <f t="shared" si="16"/>
        <v>0</v>
      </c>
      <c r="AG16" s="965">
        <f t="shared" si="17"/>
        <v>0</v>
      </c>
      <c r="AH16" s="965">
        <f t="shared" si="18"/>
        <v>0</v>
      </c>
      <c r="AI16" s="965">
        <f t="shared" si="19"/>
        <v>0</v>
      </c>
    </row>
    <row r="17" spans="1:35" s="88" customFormat="1" ht="27" customHeight="1" x14ac:dyDescent="0.2">
      <c r="A17" s="113">
        <f t="shared" si="26"/>
        <v>4</v>
      </c>
      <c r="B17" s="9">
        <f>Page2A!B16</f>
        <v>0</v>
      </c>
      <c r="C17" s="457">
        <f>Page2A!U16</f>
        <v>0</v>
      </c>
      <c r="D17" s="450">
        <f>Page2A!T17</f>
        <v>0</v>
      </c>
      <c r="E17" s="28">
        <f>Page2A!W16</f>
        <v>0</v>
      </c>
      <c r="F17" s="114">
        <f>IF(NOT(C17=0),VLOOKUP($AB17,'LOCK_ME - Page10 - Lookups'!$G$48:$N$81,8,FALSE),0)</f>
        <v>0</v>
      </c>
      <c r="G17" s="422">
        <f t="shared" si="27"/>
        <v>0</v>
      </c>
      <c r="H17" s="422">
        <f t="shared" si="20"/>
        <v>0</v>
      </c>
      <c r="I17" s="94">
        <f t="shared" si="4"/>
        <v>0</v>
      </c>
      <c r="J17" s="426">
        <f>G17*I17</f>
        <v>0</v>
      </c>
      <c r="K17" s="427">
        <f t="shared" si="5"/>
        <v>0</v>
      </c>
      <c r="L17" s="97">
        <f t="shared" si="6"/>
        <v>0</v>
      </c>
      <c r="M17" s="422">
        <f t="shared" si="7"/>
        <v>0</v>
      </c>
      <c r="N17" s="424">
        <f t="shared" si="8"/>
        <v>0</v>
      </c>
      <c r="O17" s="94">
        <f>IF($F17&gt;0,IF($AC17=1,0,VLOOKUP($AC$4,'LOCK_ME - Page10 - Lookups'!$D$89:$J$91,6,FALSE)),0)</f>
        <v>0</v>
      </c>
      <c r="P17" s="906">
        <f>Page2A!V16</f>
        <v>0</v>
      </c>
      <c r="Q17" s="426">
        <f t="shared" si="9"/>
        <v>0</v>
      </c>
      <c r="R17" s="426">
        <f t="shared" si="10"/>
        <v>0</v>
      </c>
      <c r="S17" s="97">
        <f t="shared" si="11"/>
        <v>0</v>
      </c>
      <c r="T17" s="422">
        <f t="shared" si="22"/>
        <v>0</v>
      </c>
      <c r="U17" s="424">
        <f t="shared" si="12"/>
        <v>0</v>
      </c>
      <c r="V17" s="94">
        <f t="shared" si="23"/>
        <v>0</v>
      </c>
      <c r="W17" s="426">
        <f t="shared" si="24"/>
        <v>0</v>
      </c>
      <c r="X17" s="427">
        <f t="shared" si="13"/>
        <v>0</v>
      </c>
      <c r="Y17" s="554">
        <f t="shared" si="14"/>
        <v>0</v>
      </c>
      <c r="Z17" s="424">
        <f t="shared" si="15"/>
        <v>0</v>
      </c>
      <c r="AA17" s="966"/>
      <c r="AB17" s="950" t="str">
        <f t="shared" si="25"/>
        <v>00</v>
      </c>
      <c r="AC17" s="963">
        <f>Page2A!AD16</f>
        <v>0</v>
      </c>
      <c r="AD17" s="963">
        <f>IF(NOT($C17=0),VLOOKUP($B17,'LOCK_ME - Page10 - Lookups'!$B$10:$G$43,6,FALSE),0)</f>
        <v>0</v>
      </c>
      <c r="AE17" s="964"/>
      <c r="AF17" s="965">
        <f t="shared" si="16"/>
        <v>0</v>
      </c>
      <c r="AG17" s="965">
        <f t="shared" si="17"/>
        <v>0</v>
      </c>
      <c r="AH17" s="965">
        <f t="shared" si="18"/>
        <v>0</v>
      </c>
      <c r="AI17" s="965">
        <f t="shared" si="19"/>
        <v>0</v>
      </c>
    </row>
    <row r="18" spans="1:35" s="88" customFormat="1" ht="27" customHeight="1" x14ac:dyDescent="0.2">
      <c r="A18" s="113">
        <f t="shared" si="26"/>
        <v>5</v>
      </c>
      <c r="B18" s="9">
        <f>Page2A!B18</f>
        <v>0</v>
      </c>
      <c r="C18" s="457">
        <f>Page2A!U18</f>
        <v>0</v>
      </c>
      <c r="D18" s="450">
        <f>Page2A!T19</f>
        <v>0</v>
      </c>
      <c r="E18" s="28">
        <f>Page2A!W18</f>
        <v>0</v>
      </c>
      <c r="F18" s="114">
        <f>IF(NOT(C18=0),VLOOKUP($AB18,'LOCK_ME - Page10 - Lookups'!$G$48:$N$81,8,FALSE),0)</f>
        <v>0</v>
      </c>
      <c r="G18" s="422">
        <f t="shared" si="27"/>
        <v>0</v>
      </c>
      <c r="H18" s="422">
        <f t="shared" si="20"/>
        <v>0</v>
      </c>
      <c r="I18" s="94">
        <f t="shared" si="4"/>
        <v>0</v>
      </c>
      <c r="J18" s="426">
        <f t="shared" si="21"/>
        <v>0</v>
      </c>
      <c r="K18" s="427">
        <f t="shared" si="5"/>
        <v>0</v>
      </c>
      <c r="L18" s="97">
        <f t="shared" si="6"/>
        <v>0</v>
      </c>
      <c r="M18" s="422">
        <f t="shared" si="7"/>
        <v>0</v>
      </c>
      <c r="N18" s="424">
        <f t="shared" si="8"/>
        <v>0</v>
      </c>
      <c r="O18" s="94">
        <f>IF($F18&gt;0,IF($AC18=1,0,VLOOKUP($AC$4,'LOCK_ME - Page10 - Lookups'!$D$89:$J$91,6,FALSE)),0)</f>
        <v>0</v>
      </c>
      <c r="P18" s="906">
        <f>Page2A!V18</f>
        <v>0</v>
      </c>
      <c r="Q18" s="426">
        <f t="shared" si="9"/>
        <v>0</v>
      </c>
      <c r="R18" s="426">
        <f t="shared" si="10"/>
        <v>0</v>
      </c>
      <c r="S18" s="97">
        <f t="shared" si="11"/>
        <v>0</v>
      </c>
      <c r="T18" s="422">
        <f t="shared" si="22"/>
        <v>0</v>
      </c>
      <c r="U18" s="424">
        <f t="shared" si="12"/>
        <v>0</v>
      </c>
      <c r="V18" s="94">
        <f t="shared" si="23"/>
        <v>0</v>
      </c>
      <c r="W18" s="426">
        <f>(G18+Q18)*V18</f>
        <v>0</v>
      </c>
      <c r="X18" s="427">
        <f t="shared" si="13"/>
        <v>0</v>
      </c>
      <c r="Y18" s="554">
        <f t="shared" si="14"/>
        <v>0</v>
      </c>
      <c r="Z18" s="424">
        <f t="shared" si="15"/>
        <v>0</v>
      </c>
      <c r="AA18" s="966"/>
      <c r="AB18" s="950" t="str">
        <f t="shared" si="25"/>
        <v>00</v>
      </c>
      <c r="AC18" s="963">
        <f>Page2A!AD18</f>
        <v>0</v>
      </c>
      <c r="AD18" s="963">
        <f>IF(NOT($C18=0),VLOOKUP($B18,'LOCK_ME - Page10 - Lookups'!$B$10:$G$43,6,FALSE),0)</f>
        <v>0</v>
      </c>
      <c r="AE18" s="964"/>
      <c r="AF18" s="965">
        <f t="shared" si="16"/>
        <v>0</v>
      </c>
      <c r="AG18" s="965">
        <f t="shared" si="17"/>
        <v>0</v>
      </c>
      <c r="AH18" s="965">
        <f t="shared" si="18"/>
        <v>0</v>
      </c>
      <c r="AI18" s="965">
        <f t="shared" si="19"/>
        <v>0</v>
      </c>
    </row>
    <row r="19" spans="1:35" s="88" customFormat="1" ht="27" customHeight="1" x14ac:dyDescent="0.2">
      <c r="A19" s="113">
        <f t="shared" si="26"/>
        <v>6</v>
      </c>
      <c r="B19" s="9">
        <f>Page2A!B20</f>
        <v>0</v>
      </c>
      <c r="C19" s="457">
        <f>Page2A!U20</f>
        <v>0</v>
      </c>
      <c r="D19" s="450">
        <f>Page2A!T21</f>
        <v>0</v>
      </c>
      <c r="E19" s="28">
        <f>Page2A!W20</f>
        <v>0</v>
      </c>
      <c r="F19" s="114">
        <f>IF(NOT(C19=0),VLOOKUP($AB19,'LOCK_ME - Page10 - Lookups'!$G$48:$N$81,8,FALSE),0)</f>
        <v>0</v>
      </c>
      <c r="G19" s="422">
        <f t="shared" si="27"/>
        <v>0</v>
      </c>
      <c r="H19" s="422">
        <f t="shared" si="20"/>
        <v>0</v>
      </c>
      <c r="I19" s="94">
        <f t="shared" si="4"/>
        <v>0</v>
      </c>
      <c r="J19" s="426">
        <f t="shared" si="21"/>
        <v>0</v>
      </c>
      <c r="K19" s="427">
        <f t="shared" si="5"/>
        <v>0</v>
      </c>
      <c r="L19" s="97">
        <f t="shared" si="6"/>
        <v>0</v>
      </c>
      <c r="M19" s="422">
        <f t="shared" si="7"/>
        <v>0</v>
      </c>
      <c r="N19" s="424">
        <f t="shared" si="8"/>
        <v>0</v>
      </c>
      <c r="O19" s="94">
        <f>IF($F19&gt;0,IF($AC19=1,0,VLOOKUP($AC$4,'LOCK_ME - Page10 - Lookups'!$D$89:$J$91,6,FALSE)),0)</f>
        <v>0</v>
      </c>
      <c r="P19" s="906">
        <f>Page2A!V20</f>
        <v>0</v>
      </c>
      <c r="Q19" s="426">
        <f t="shared" si="9"/>
        <v>0</v>
      </c>
      <c r="R19" s="426">
        <f t="shared" si="10"/>
        <v>0</v>
      </c>
      <c r="S19" s="97">
        <f t="shared" si="11"/>
        <v>0</v>
      </c>
      <c r="T19" s="422">
        <f t="shared" si="22"/>
        <v>0</v>
      </c>
      <c r="U19" s="424">
        <f t="shared" si="12"/>
        <v>0</v>
      </c>
      <c r="V19" s="94">
        <f t="shared" si="23"/>
        <v>0</v>
      </c>
      <c r="W19" s="426">
        <f t="shared" si="24"/>
        <v>0</v>
      </c>
      <c r="X19" s="427">
        <f t="shared" si="13"/>
        <v>0</v>
      </c>
      <c r="Y19" s="554">
        <f t="shared" si="14"/>
        <v>0</v>
      </c>
      <c r="Z19" s="424">
        <f t="shared" si="15"/>
        <v>0</v>
      </c>
      <c r="AA19" s="966"/>
      <c r="AB19" s="950" t="str">
        <f t="shared" si="25"/>
        <v>00</v>
      </c>
      <c r="AC19" s="963">
        <f>Page2A!AD20</f>
        <v>0</v>
      </c>
      <c r="AD19" s="963">
        <f>IF(NOT($C19=0),VLOOKUP($B19,'LOCK_ME - Page10 - Lookups'!$B$10:$G$43,6,FALSE),0)</f>
        <v>0</v>
      </c>
      <c r="AE19" s="964"/>
      <c r="AF19" s="965">
        <f t="shared" si="16"/>
        <v>0</v>
      </c>
      <c r="AG19" s="965">
        <f t="shared" si="17"/>
        <v>0</v>
      </c>
      <c r="AH19" s="965">
        <f t="shared" si="18"/>
        <v>0</v>
      </c>
      <c r="AI19" s="965">
        <f t="shared" si="19"/>
        <v>0</v>
      </c>
    </row>
    <row r="20" spans="1:35" s="88" customFormat="1" ht="27" customHeight="1" x14ac:dyDescent="0.2">
      <c r="A20" s="113">
        <f t="shared" si="26"/>
        <v>7</v>
      </c>
      <c r="B20" s="9">
        <f>Page2A!B22</f>
        <v>0</v>
      </c>
      <c r="C20" s="457">
        <f>Page2A!U22</f>
        <v>0</v>
      </c>
      <c r="D20" s="450">
        <f>Page2A!T23</f>
        <v>0</v>
      </c>
      <c r="E20" s="28">
        <f>Page2A!W22</f>
        <v>0</v>
      </c>
      <c r="F20" s="114">
        <f>IF(NOT(C20=0),VLOOKUP($AB20,'LOCK_ME - Page10 - Lookups'!$G$48:$N$81,8,FALSE),0)</f>
        <v>0</v>
      </c>
      <c r="G20" s="422">
        <f t="shared" si="27"/>
        <v>0</v>
      </c>
      <c r="H20" s="422">
        <f t="shared" si="20"/>
        <v>0</v>
      </c>
      <c r="I20" s="94">
        <f t="shared" si="4"/>
        <v>0</v>
      </c>
      <c r="J20" s="426">
        <f t="shared" si="21"/>
        <v>0</v>
      </c>
      <c r="K20" s="427">
        <f t="shared" si="5"/>
        <v>0</v>
      </c>
      <c r="L20" s="97">
        <f t="shared" si="6"/>
        <v>0</v>
      </c>
      <c r="M20" s="422">
        <f t="shared" si="7"/>
        <v>0</v>
      </c>
      <c r="N20" s="424">
        <f t="shared" si="8"/>
        <v>0</v>
      </c>
      <c r="O20" s="94">
        <f>IF($F20&gt;0,IF($AC20=1,0,VLOOKUP($AC$4,'LOCK_ME - Page10 - Lookups'!$D$89:$J$91,6,FALSE)),0)</f>
        <v>0</v>
      </c>
      <c r="P20" s="906">
        <f>Page2A!V22</f>
        <v>0</v>
      </c>
      <c r="Q20" s="426">
        <f t="shared" si="9"/>
        <v>0</v>
      </c>
      <c r="R20" s="426">
        <f t="shared" si="10"/>
        <v>0</v>
      </c>
      <c r="S20" s="97">
        <f t="shared" si="11"/>
        <v>0</v>
      </c>
      <c r="T20" s="422">
        <f>Q20*S20</f>
        <v>0</v>
      </c>
      <c r="U20" s="424">
        <f t="shared" si="12"/>
        <v>0</v>
      </c>
      <c r="V20" s="94">
        <f t="shared" si="23"/>
        <v>0</v>
      </c>
      <c r="W20" s="426">
        <f t="shared" si="24"/>
        <v>0</v>
      </c>
      <c r="X20" s="427">
        <f t="shared" si="13"/>
        <v>0</v>
      </c>
      <c r="Y20" s="554">
        <f t="shared" si="14"/>
        <v>0</v>
      </c>
      <c r="Z20" s="424">
        <f t="shared" si="15"/>
        <v>0</v>
      </c>
      <c r="AA20" s="966"/>
      <c r="AB20" s="950" t="str">
        <f t="shared" si="25"/>
        <v>00</v>
      </c>
      <c r="AC20" s="963">
        <f>Page2A!AD22</f>
        <v>0</v>
      </c>
      <c r="AD20" s="963">
        <f>IF(NOT($C20=0),VLOOKUP($B20,'LOCK_ME - Page10 - Lookups'!$B$10:$G$43,6,FALSE),0)</f>
        <v>0</v>
      </c>
      <c r="AE20" s="964"/>
      <c r="AF20" s="965">
        <f t="shared" si="16"/>
        <v>0</v>
      </c>
      <c r="AG20" s="965">
        <f t="shared" si="17"/>
        <v>0</v>
      </c>
      <c r="AH20" s="965">
        <f t="shared" si="18"/>
        <v>0</v>
      </c>
      <c r="AI20" s="965">
        <f t="shared" si="19"/>
        <v>0</v>
      </c>
    </row>
    <row r="21" spans="1:35" s="88" customFormat="1" ht="27" customHeight="1" x14ac:dyDescent="0.2">
      <c r="A21" s="113">
        <f t="shared" si="26"/>
        <v>8</v>
      </c>
      <c r="B21" s="9">
        <f>Page2A!B24</f>
        <v>0</v>
      </c>
      <c r="C21" s="457">
        <f>Page2A!U24</f>
        <v>0</v>
      </c>
      <c r="D21" s="450">
        <f>Page2A!T25</f>
        <v>0</v>
      </c>
      <c r="E21" s="28">
        <f>Page2A!W24</f>
        <v>0</v>
      </c>
      <c r="F21" s="114">
        <f>IF(NOT(C21=0),VLOOKUP($AB21,'LOCK_ME - Page10 - Lookups'!$G$48:$N$81,8,FALSE),0)</f>
        <v>0</v>
      </c>
      <c r="G21" s="422">
        <f t="shared" si="27"/>
        <v>0</v>
      </c>
      <c r="H21" s="422">
        <f t="shared" si="20"/>
        <v>0</v>
      </c>
      <c r="I21" s="94">
        <f t="shared" si="4"/>
        <v>0</v>
      </c>
      <c r="J21" s="426">
        <f t="shared" si="21"/>
        <v>0</v>
      </c>
      <c r="K21" s="427">
        <f t="shared" si="5"/>
        <v>0</v>
      </c>
      <c r="L21" s="97">
        <f t="shared" si="6"/>
        <v>0</v>
      </c>
      <c r="M21" s="422">
        <f t="shared" si="7"/>
        <v>0</v>
      </c>
      <c r="N21" s="424">
        <f t="shared" si="8"/>
        <v>0</v>
      </c>
      <c r="O21" s="94">
        <f>IF($F21&gt;0,IF($AC21=1,0,VLOOKUP($AC$4,'LOCK_ME - Page10 - Lookups'!$D$89:$J$91,6,FALSE)),0)</f>
        <v>0</v>
      </c>
      <c r="P21" s="906">
        <f>Page2A!V24</f>
        <v>0</v>
      </c>
      <c r="Q21" s="426">
        <f t="shared" si="9"/>
        <v>0</v>
      </c>
      <c r="R21" s="426">
        <f t="shared" si="10"/>
        <v>0</v>
      </c>
      <c r="S21" s="97">
        <f t="shared" si="11"/>
        <v>0</v>
      </c>
      <c r="T21" s="422">
        <f t="shared" si="22"/>
        <v>0</v>
      </c>
      <c r="U21" s="424">
        <f t="shared" si="12"/>
        <v>0</v>
      </c>
      <c r="V21" s="94">
        <f t="shared" si="23"/>
        <v>0</v>
      </c>
      <c r="W21" s="426">
        <f t="shared" si="24"/>
        <v>0</v>
      </c>
      <c r="X21" s="427">
        <f t="shared" si="13"/>
        <v>0</v>
      </c>
      <c r="Y21" s="554">
        <f t="shared" si="14"/>
        <v>0</v>
      </c>
      <c r="Z21" s="424">
        <f t="shared" si="15"/>
        <v>0</v>
      </c>
      <c r="AA21" s="966"/>
      <c r="AB21" s="950" t="str">
        <f t="shared" si="25"/>
        <v>00</v>
      </c>
      <c r="AC21" s="963">
        <f>Page2A!AD24</f>
        <v>0</v>
      </c>
      <c r="AD21" s="963">
        <f>IF(NOT($C21=0),VLOOKUP($B21,'LOCK_ME - Page10 - Lookups'!$B$10:$G$43,6,FALSE),0)</f>
        <v>0</v>
      </c>
      <c r="AE21" s="964"/>
      <c r="AF21" s="965">
        <f t="shared" si="16"/>
        <v>0</v>
      </c>
      <c r="AG21" s="965">
        <f t="shared" si="17"/>
        <v>0</v>
      </c>
      <c r="AH21" s="965">
        <f t="shared" si="18"/>
        <v>0</v>
      </c>
      <c r="AI21" s="965">
        <f t="shared" si="19"/>
        <v>0</v>
      </c>
    </row>
    <row r="22" spans="1:35" s="88" customFormat="1" ht="27" customHeight="1" x14ac:dyDescent="0.2">
      <c r="A22" s="113">
        <f t="shared" si="26"/>
        <v>9</v>
      </c>
      <c r="B22" s="9">
        <f>Page2A!B26</f>
        <v>0</v>
      </c>
      <c r="C22" s="457">
        <f>Page2A!U26</f>
        <v>0</v>
      </c>
      <c r="D22" s="450">
        <f>Page2A!T27</f>
        <v>0</v>
      </c>
      <c r="E22" s="28">
        <f>Page2A!W26</f>
        <v>0</v>
      </c>
      <c r="F22" s="114">
        <f>IF(NOT(C22=0),VLOOKUP($AB22,'LOCK_ME - Page10 - Lookups'!$G$48:$N$81,8,FALSE),0)</f>
        <v>0</v>
      </c>
      <c r="G22" s="422">
        <f t="shared" si="27"/>
        <v>0</v>
      </c>
      <c r="H22" s="422">
        <f t="shared" si="20"/>
        <v>0</v>
      </c>
      <c r="I22" s="94">
        <f t="shared" si="4"/>
        <v>0</v>
      </c>
      <c r="J22" s="426">
        <f t="shared" si="21"/>
        <v>0</v>
      </c>
      <c r="K22" s="427">
        <f t="shared" si="5"/>
        <v>0</v>
      </c>
      <c r="L22" s="97">
        <f t="shared" si="6"/>
        <v>0</v>
      </c>
      <c r="M22" s="422">
        <f t="shared" si="7"/>
        <v>0</v>
      </c>
      <c r="N22" s="424">
        <f t="shared" si="8"/>
        <v>0</v>
      </c>
      <c r="O22" s="94">
        <f>IF($F22&gt;0,IF($AC22=1,0,VLOOKUP($AC$4,'LOCK_ME - Page10 - Lookups'!$D$89:$J$91,6,FALSE)),0)</f>
        <v>0</v>
      </c>
      <c r="P22" s="906">
        <f>Page2A!V26</f>
        <v>0</v>
      </c>
      <c r="Q22" s="426">
        <f t="shared" si="9"/>
        <v>0</v>
      </c>
      <c r="R22" s="426">
        <f t="shared" si="10"/>
        <v>0</v>
      </c>
      <c r="S22" s="97">
        <f t="shared" si="11"/>
        <v>0</v>
      </c>
      <c r="T22" s="422">
        <f t="shared" si="22"/>
        <v>0</v>
      </c>
      <c r="U22" s="424">
        <f t="shared" si="12"/>
        <v>0</v>
      </c>
      <c r="V22" s="94">
        <f t="shared" si="23"/>
        <v>0</v>
      </c>
      <c r="W22" s="426">
        <f t="shared" si="24"/>
        <v>0</v>
      </c>
      <c r="X22" s="427">
        <f t="shared" si="13"/>
        <v>0</v>
      </c>
      <c r="Y22" s="554">
        <f t="shared" si="14"/>
        <v>0</v>
      </c>
      <c r="Z22" s="424">
        <f t="shared" si="15"/>
        <v>0</v>
      </c>
      <c r="AA22" s="966"/>
      <c r="AB22" s="950" t="str">
        <f t="shared" si="25"/>
        <v>00</v>
      </c>
      <c r="AC22" s="963">
        <f>Page2A!AD26</f>
        <v>0</v>
      </c>
      <c r="AD22" s="963">
        <f>IF(NOT($C22=0),VLOOKUP($B22,'LOCK_ME - Page10 - Lookups'!$B$10:$G$43,6,FALSE),0)</f>
        <v>0</v>
      </c>
      <c r="AE22" s="964"/>
      <c r="AF22" s="965">
        <f t="shared" si="16"/>
        <v>0</v>
      </c>
      <c r="AG22" s="965">
        <f t="shared" si="17"/>
        <v>0</v>
      </c>
      <c r="AH22" s="965">
        <f t="shared" si="18"/>
        <v>0</v>
      </c>
      <c r="AI22" s="965">
        <f t="shared" si="19"/>
        <v>0</v>
      </c>
    </row>
    <row r="23" spans="1:35" s="88" customFormat="1" ht="27" customHeight="1" x14ac:dyDescent="0.2">
      <c r="A23" s="113">
        <f t="shared" si="26"/>
        <v>10</v>
      </c>
      <c r="B23" s="9">
        <f>Page2A!B28</f>
        <v>0</v>
      </c>
      <c r="C23" s="457">
        <f>Page2A!U28</f>
        <v>0</v>
      </c>
      <c r="D23" s="450">
        <f>Page2A!T29</f>
        <v>0</v>
      </c>
      <c r="E23" s="28">
        <f>Page2A!W28</f>
        <v>0</v>
      </c>
      <c r="F23" s="114">
        <f>IF(NOT(C23=0),VLOOKUP($AB23,'LOCK_ME - Page10 - Lookups'!$G$48:$N$81,8,FALSE),0)</f>
        <v>0</v>
      </c>
      <c r="G23" s="422">
        <f t="shared" si="27"/>
        <v>0</v>
      </c>
      <c r="H23" s="422">
        <f t="shared" si="20"/>
        <v>0</v>
      </c>
      <c r="I23" s="94">
        <f t="shared" si="4"/>
        <v>0</v>
      </c>
      <c r="J23" s="426">
        <f t="shared" si="21"/>
        <v>0</v>
      </c>
      <c r="K23" s="427">
        <f t="shared" si="5"/>
        <v>0</v>
      </c>
      <c r="L23" s="97">
        <f t="shared" si="6"/>
        <v>0</v>
      </c>
      <c r="M23" s="422">
        <f t="shared" si="7"/>
        <v>0</v>
      </c>
      <c r="N23" s="424">
        <f t="shared" si="8"/>
        <v>0</v>
      </c>
      <c r="O23" s="94">
        <f>IF($F23&gt;0,IF($AC23=1,0,VLOOKUP($AC$4,'LOCK_ME - Page10 - Lookups'!$D$89:$J$91,6,FALSE)),0)</f>
        <v>0</v>
      </c>
      <c r="P23" s="906">
        <f>Page2A!V28</f>
        <v>0</v>
      </c>
      <c r="Q23" s="426">
        <f t="shared" si="9"/>
        <v>0</v>
      </c>
      <c r="R23" s="426">
        <f t="shared" si="10"/>
        <v>0</v>
      </c>
      <c r="S23" s="97">
        <f t="shared" si="11"/>
        <v>0</v>
      </c>
      <c r="T23" s="422">
        <f t="shared" si="22"/>
        <v>0</v>
      </c>
      <c r="U23" s="424">
        <f t="shared" si="12"/>
        <v>0</v>
      </c>
      <c r="V23" s="94">
        <f t="shared" si="23"/>
        <v>0</v>
      </c>
      <c r="W23" s="426">
        <f t="shared" si="24"/>
        <v>0</v>
      </c>
      <c r="X23" s="427">
        <f t="shared" si="13"/>
        <v>0</v>
      </c>
      <c r="Y23" s="554">
        <f t="shared" si="14"/>
        <v>0</v>
      </c>
      <c r="Z23" s="424">
        <f t="shared" si="15"/>
        <v>0</v>
      </c>
      <c r="AA23" s="966"/>
      <c r="AB23" s="950" t="str">
        <f t="shared" si="25"/>
        <v>00</v>
      </c>
      <c r="AC23" s="963">
        <f>Page2A!AD28</f>
        <v>0</v>
      </c>
      <c r="AD23" s="963">
        <f>IF(NOT($C23=0),VLOOKUP($B23,'LOCK_ME - Page10 - Lookups'!$B$10:$G$43,6,FALSE),0)</f>
        <v>0</v>
      </c>
      <c r="AE23" s="964"/>
      <c r="AF23" s="965">
        <f t="shared" si="16"/>
        <v>0</v>
      </c>
      <c r="AG23" s="965">
        <f t="shared" si="17"/>
        <v>0</v>
      </c>
      <c r="AH23" s="965">
        <f t="shared" si="18"/>
        <v>0</v>
      </c>
      <c r="AI23" s="965">
        <f t="shared" si="19"/>
        <v>0</v>
      </c>
    </row>
    <row r="24" spans="1:35" s="88" customFormat="1" ht="27" customHeight="1" x14ac:dyDescent="0.2">
      <c r="A24" s="113">
        <f t="shared" si="26"/>
        <v>11</v>
      </c>
      <c r="B24" s="9">
        <f>Page2A!B30</f>
        <v>0</v>
      </c>
      <c r="C24" s="457">
        <f>Page2A!U30</f>
        <v>0</v>
      </c>
      <c r="D24" s="450">
        <f>Page2A!T31</f>
        <v>0</v>
      </c>
      <c r="E24" s="28">
        <f>Page2A!W30</f>
        <v>0</v>
      </c>
      <c r="F24" s="114">
        <f>IF(NOT(C24=0),VLOOKUP($AB24,'LOCK_ME - Page10 - Lookups'!$G$48:$N$81,8,FALSE),0)</f>
        <v>0</v>
      </c>
      <c r="G24" s="422">
        <f t="shared" si="27"/>
        <v>0</v>
      </c>
      <c r="H24" s="422">
        <f t="shared" si="20"/>
        <v>0</v>
      </c>
      <c r="I24" s="94">
        <f t="shared" si="4"/>
        <v>0</v>
      </c>
      <c r="J24" s="426">
        <f t="shared" si="21"/>
        <v>0</v>
      </c>
      <c r="K24" s="427">
        <f t="shared" si="5"/>
        <v>0</v>
      </c>
      <c r="L24" s="97">
        <f t="shared" si="6"/>
        <v>0</v>
      </c>
      <c r="M24" s="422">
        <f t="shared" si="7"/>
        <v>0</v>
      </c>
      <c r="N24" s="424">
        <f t="shared" si="8"/>
        <v>0</v>
      </c>
      <c r="O24" s="94">
        <f>IF($F24&gt;0,IF($AC24=1,0,VLOOKUP($AC$4,'LOCK_ME - Page10 - Lookups'!$D$89:$J$91,6,FALSE)),0)</f>
        <v>0</v>
      </c>
      <c r="P24" s="906">
        <f>Page2A!V30</f>
        <v>0</v>
      </c>
      <c r="Q24" s="426">
        <f t="shared" si="9"/>
        <v>0</v>
      </c>
      <c r="R24" s="426">
        <f t="shared" si="10"/>
        <v>0</v>
      </c>
      <c r="S24" s="97">
        <f t="shared" si="11"/>
        <v>0</v>
      </c>
      <c r="T24" s="422">
        <f t="shared" si="22"/>
        <v>0</v>
      </c>
      <c r="U24" s="424">
        <f t="shared" si="12"/>
        <v>0</v>
      </c>
      <c r="V24" s="94">
        <f t="shared" si="23"/>
        <v>0</v>
      </c>
      <c r="W24" s="426">
        <f t="shared" si="24"/>
        <v>0</v>
      </c>
      <c r="X24" s="427">
        <f t="shared" si="13"/>
        <v>0</v>
      </c>
      <c r="Y24" s="554">
        <f t="shared" si="14"/>
        <v>0</v>
      </c>
      <c r="Z24" s="424">
        <f t="shared" si="15"/>
        <v>0</v>
      </c>
      <c r="AA24" s="966"/>
      <c r="AB24" s="950" t="str">
        <f t="shared" si="25"/>
        <v>00</v>
      </c>
      <c r="AC24" s="963">
        <f>Page2A!AD30</f>
        <v>0</v>
      </c>
      <c r="AD24" s="963">
        <f>IF(NOT($C24=0),VLOOKUP($B24,'LOCK_ME - Page10 - Lookups'!$B$10:$G$43,6,FALSE),0)</f>
        <v>0</v>
      </c>
      <c r="AE24" s="964"/>
      <c r="AF24" s="965">
        <f t="shared" si="16"/>
        <v>0</v>
      </c>
      <c r="AG24" s="965">
        <f t="shared" si="17"/>
        <v>0</v>
      </c>
      <c r="AH24" s="965">
        <f t="shared" si="18"/>
        <v>0</v>
      </c>
      <c r="AI24" s="965">
        <f t="shared" si="19"/>
        <v>0</v>
      </c>
    </row>
    <row r="25" spans="1:35" s="88" customFormat="1" ht="27" customHeight="1" x14ac:dyDescent="0.2">
      <c r="A25" s="113">
        <f t="shared" si="26"/>
        <v>12</v>
      </c>
      <c r="B25" s="9">
        <f>Page2A!B32</f>
        <v>0</v>
      </c>
      <c r="C25" s="457">
        <f>Page2A!U32</f>
        <v>0</v>
      </c>
      <c r="D25" s="450">
        <f>Page2A!T33</f>
        <v>0</v>
      </c>
      <c r="E25" s="28">
        <f>Page2A!W32</f>
        <v>0</v>
      </c>
      <c r="F25" s="114">
        <f>IF(NOT(C25=0),VLOOKUP($AB25,'LOCK_ME - Page10 - Lookups'!$G$48:$N$81,8,FALSE),0)</f>
        <v>0</v>
      </c>
      <c r="G25" s="422">
        <f t="shared" si="27"/>
        <v>0</v>
      </c>
      <c r="H25" s="422">
        <f t="shared" si="20"/>
        <v>0</v>
      </c>
      <c r="I25" s="94">
        <f t="shared" si="4"/>
        <v>0</v>
      </c>
      <c r="J25" s="426">
        <f t="shared" si="21"/>
        <v>0</v>
      </c>
      <c r="K25" s="427">
        <f t="shared" si="5"/>
        <v>0</v>
      </c>
      <c r="L25" s="97">
        <f t="shared" si="6"/>
        <v>0</v>
      </c>
      <c r="M25" s="422">
        <f t="shared" si="7"/>
        <v>0</v>
      </c>
      <c r="N25" s="424">
        <f t="shared" si="8"/>
        <v>0</v>
      </c>
      <c r="O25" s="94">
        <f>IF($F25&gt;0,IF($AC25=1,0,VLOOKUP($AC$4,'LOCK_ME - Page10 - Lookups'!$D$89:$J$91,6,FALSE)),0)</f>
        <v>0</v>
      </c>
      <c r="P25" s="906">
        <f>Page2A!V32</f>
        <v>0</v>
      </c>
      <c r="Q25" s="426">
        <f t="shared" si="9"/>
        <v>0</v>
      </c>
      <c r="R25" s="426">
        <f t="shared" si="10"/>
        <v>0</v>
      </c>
      <c r="S25" s="97">
        <f t="shared" si="11"/>
        <v>0</v>
      </c>
      <c r="T25" s="422">
        <f t="shared" si="22"/>
        <v>0</v>
      </c>
      <c r="U25" s="424">
        <f t="shared" si="12"/>
        <v>0</v>
      </c>
      <c r="V25" s="94">
        <f t="shared" si="23"/>
        <v>0</v>
      </c>
      <c r="W25" s="426">
        <f t="shared" si="24"/>
        <v>0</v>
      </c>
      <c r="X25" s="427">
        <f t="shared" si="13"/>
        <v>0</v>
      </c>
      <c r="Y25" s="554">
        <f t="shared" si="14"/>
        <v>0</v>
      </c>
      <c r="Z25" s="424">
        <f t="shared" si="15"/>
        <v>0</v>
      </c>
      <c r="AA25" s="966"/>
      <c r="AB25" s="950" t="str">
        <f t="shared" si="25"/>
        <v>00</v>
      </c>
      <c r="AC25" s="963">
        <f>Page2A!AD32</f>
        <v>0</v>
      </c>
      <c r="AD25" s="963">
        <f>IF(NOT($C25=0),VLOOKUP($B25,'LOCK_ME - Page10 - Lookups'!$B$10:$G$43,6,FALSE),0)</f>
        <v>0</v>
      </c>
      <c r="AE25" s="964"/>
      <c r="AF25" s="965">
        <f t="shared" si="16"/>
        <v>0</v>
      </c>
      <c r="AG25" s="965">
        <f t="shared" si="17"/>
        <v>0</v>
      </c>
      <c r="AH25" s="965">
        <f t="shared" si="18"/>
        <v>0</v>
      </c>
      <c r="AI25" s="965">
        <f t="shared" si="19"/>
        <v>0</v>
      </c>
    </row>
    <row r="26" spans="1:35" s="88" customFormat="1" ht="27" customHeight="1" x14ac:dyDescent="0.2">
      <c r="A26" s="113">
        <f t="shared" si="26"/>
        <v>13</v>
      </c>
      <c r="B26" s="9">
        <f>Page2A!B34</f>
        <v>0</v>
      </c>
      <c r="C26" s="457">
        <f>Page2A!U34</f>
        <v>0</v>
      </c>
      <c r="D26" s="450">
        <f>Page2A!T35</f>
        <v>0</v>
      </c>
      <c r="E26" s="28">
        <f>Page2A!W34</f>
        <v>0</v>
      </c>
      <c r="F26" s="114">
        <f>IF(NOT(C26=0),VLOOKUP($AB26,'LOCK_ME - Page10 - Lookups'!$G$48:$N$81,8,FALSE),0)</f>
        <v>0</v>
      </c>
      <c r="G26" s="422">
        <f t="shared" si="27"/>
        <v>0</v>
      </c>
      <c r="H26" s="422">
        <f t="shared" si="20"/>
        <v>0</v>
      </c>
      <c r="I26" s="94">
        <f t="shared" si="4"/>
        <v>0</v>
      </c>
      <c r="J26" s="426">
        <f t="shared" si="21"/>
        <v>0</v>
      </c>
      <c r="K26" s="427">
        <f t="shared" si="5"/>
        <v>0</v>
      </c>
      <c r="L26" s="97">
        <f t="shared" si="6"/>
        <v>0</v>
      </c>
      <c r="M26" s="422">
        <f t="shared" si="7"/>
        <v>0</v>
      </c>
      <c r="N26" s="424">
        <f t="shared" si="8"/>
        <v>0</v>
      </c>
      <c r="O26" s="94">
        <f>IF($F26&gt;0,IF($AC26=1,0,VLOOKUP($AC$4,'LOCK_ME - Page10 - Lookups'!$D$89:$J$91,6,FALSE)),0)</f>
        <v>0</v>
      </c>
      <c r="P26" s="906">
        <f>Page2A!V34</f>
        <v>0</v>
      </c>
      <c r="Q26" s="426">
        <f t="shared" si="9"/>
        <v>0</v>
      </c>
      <c r="R26" s="426">
        <f t="shared" si="10"/>
        <v>0</v>
      </c>
      <c r="S26" s="97">
        <f t="shared" si="11"/>
        <v>0</v>
      </c>
      <c r="T26" s="422">
        <f t="shared" si="22"/>
        <v>0</v>
      </c>
      <c r="U26" s="424">
        <f t="shared" si="12"/>
        <v>0</v>
      </c>
      <c r="V26" s="94">
        <f t="shared" si="23"/>
        <v>0</v>
      </c>
      <c r="W26" s="426">
        <f t="shared" si="24"/>
        <v>0</v>
      </c>
      <c r="X26" s="427">
        <f t="shared" si="13"/>
        <v>0</v>
      </c>
      <c r="Y26" s="554">
        <f t="shared" si="14"/>
        <v>0</v>
      </c>
      <c r="Z26" s="424">
        <f t="shared" si="15"/>
        <v>0</v>
      </c>
      <c r="AA26" s="966"/>
      <c r="AB26" s="950" t="str">
        <f t="shared" si="25"/>
        <v>00</v>
      </c>
      <c r="AC26" s="963">
        <f>Page2A!AD34</f>
        <v>0</v>
      </c>
      <c r="AD26" s="963">
        <f>IF(NOT($C26=0),VLOOKUP($B26,'LOCK_ME - Page10 - Lookups'!$B$10:$G$43,6,FALSE),0)</f>
        <v>0</v>
      </c>
      <c r="AE26" s="964"/>
      <c r="AF26" s="965">
        <f t="shared" si="16"/>
        <v>0</v>
      </c>
      <c r="AG26" s="965">
        <f t="shared" si="17"/>
        <v>0</v>
      </c>
      <c r="AH26" s="965">
        <f t="shared" si="18"/>
        <v>0</v>
      </c>
      <c r="AI26" s="965">
        <f t="shared" si="19"/>
        <v>0</v>
      </c>
    </row>
    <row r="27" spans="1:35" s="88" customFormat="1" ht="27" customHeight="1" x14ac:dyDescent="0.2">
      <c r="A27" s="113">
        <f t="shared" si="26"/>
        <v>14</v>
      </c>
      <c r="B27" s="9">
        <f>Page2A!B36</f>
        <v>0</v>
      </c>
      <c r="C27" s="457">
        <f>Page2A!U36</f>
        <v>0</v>
      </c>
      <c r="D27" s="450">
        <f>Page2A!T37</f>
        <v>0</v>
      </c>
      <c r="E27" s="28">
        <f>Page2A!W36</f>
        <v>0</v>
      </c>
      <c r="F27" s="114">
        <f>IF(NOT(C27=0),VLOOKUP($AB27,'LOCK_ME - Page10 - Lookups'!$G$48:$N$81,8,FALSE),0)</f>
        <v>0</v>
      </c>
      <c r="G27" s="422">
        <f t="shared" si="27"/>
        <v>0</v>
      </c>
      <c r="H27" s="422">
        <f t="shared" si="20"/>
        <v>0</v>
      </c>
      <c r="I27" s="94">
        <f t="shared" si="4"/>
        <v>0</v>
      </c>
      <c r="J27" s="426">
        <f t="shared" si="21"/>
        <v>0</v>
      </c>
      <c r="K27" s="427">
        <f t="shared" si="5"/>
        <v>0</v>
      </c>
      <c r="L27" s="97">
        <f t="shared" si="6"/>
        <v>0</v>
      </c>
      <c r="M27" s="422">
        <f t="shared" si="7"/>
        <v>0</v>
      </c>
      <c r="N27" s="424">
        <f t="shared" si="8"/>
        <v>0</v>
      </c>
      <c r="O27" s="94">
        <f>IF($F27&gt;0,IF($AC27=1,0,VLOOKUP($AC$4,'LOCK_ME - Page10 - Lookups'!$D$89:$J$91,6,FALSE)),0)</f>
        <v>0</v>
      </c>
      <c r="P27" s="906">
        <f>Page2A!V36</f>
        <v>0</v>
      </c>
      <c r="Q27" s="426">
        <f t="shared" si="9"/>
        <v>0</v>
      </c>
      <c r="R27" s="426">
        <f t="shared" si="10"/>
        <v>0</v>
      </c>
      <c r="S27" s="97">
        <f t="shared" si="11"/>
        <v>0</v>
      </c>
      <c r="T27" s="422">
        <f t="shared" si="22"/>
        <v>0</v>
      </c>
      <c r="U27" s="424">
        <f t="shared" si="12"/>
        <v>0</v>
      </c>
      <c r="V27" s="94">
        <f t="shared" si="23"/>
        <v>0</v>
      </c>
      <c r="W27" s="426">
        <f t="shared" si="24"/>
        <v>0</v>
      </c>
      <c r="X27" s="427">
        <f t="shared" si="13"/>
        <v>0</v>
      </c>
      <c r="Y27" s="554">
        <f t="shared" si="14"/>
        <v>0</v>
      </c>
      <c r="Z27" s="424">
        <f t="shared" si="15"/>
        <v>0</v>
      </c>
      <c r="AA27" s="966"/>
      <c r="AB27" s="950" t="str">
        <f t="shared" si="25"/>
        <v>00</v>
      </c>
      <c r="AC27" s="963">
        <f>Page2A!AD36</f>
        <v>0</v>
      </c>
      <c r="AD27" s="963">
        <f>IF(NOT($C27=0),VLOOKUP($B27,'LOCK_ME - Page10 - Lookups'!$B$10:$G$43,6,FALSE),0)</f>
        <v>0</v>
      </c>
      <c r="AE27" s="964"/>
      <c r="AF27" s="965">
        <f t="shared" si="16"/>
        <v>0</v>
      </c>
      <c r="AG27" s="965">
        <f t="shared" si="17"/>
        <v>0</v>
      </c>
      <c r="AH27" s="965">
        <f t="shared" si="18"/>
        <v>0</v>
      </c>
      <c r="AI27" s="965">
        <f t="shared" si="19"/>
        <v>0</v>
      </c>
    </row>
    <row r="28" spans="1:35" s="88" customFormat="1" ht="27" customHeight="1" x14ac:dyDescent="0.2">
      <c r="A28" s="113">
        <f t="shared" si="26"/>
        <v>15</v>
      </c>
      <c r="B28" s="9">
        <f>Page2A!B38</f>
        <v>0</v>
      </c>
      <c r="C28" s="457">
        <f>Page2A!U38</f>
        <v>0</v>
      </c>
      <c r="D28" s="450">
        <f>Page2A!T39</f>
        <v>0</v>
      </c>
      <c r="E28" s="28">
        <f>Page2A!W38</f>
        <v>0</v>
      </c>
      <c r="F28" s="114">
        <f>IF(NOT(C28=0),VLOOKUP($AB28,'LOCK_ME - Page10 - Lookups'!$G$48:$N$81,8,FALSE),0)</f>
        <v>0</v>
      </c>
      <c r="G28" s="422">
        <f t="shared" si="27"/>
        <v>0</v>
      </c>
      <c r="H28" s="422">
        <f t="shared" si="20"/>
        <v>0</v>
      </c>
      <c r="I28" s="94">
        <f t="shared" si="4"/>
        <v>0</v>
      </c>
      <c r="J28" s="426">
        <f t="shared" si="21"/>
        <v>0</v>
      </c>
      <c r="K28" s="427">
        <f t="shared" si="5"/>
        <v>0</v>
      </c>
      <c r="L28" s="97">
        <f t="shared" si="6"/>
        <v>0</v>
      </c>
      <c r="M28" s="422">
        <f t="shared" si="7"/>
        <v>0</v>
      </c>
      <c r="N28" s="424">
        <f t="shared" si="8"/>
        <v>0</v>
      </c>
      <c r="O28" s="94">
        <f>IF($F28&gt;0,IF($AC28=1,0,VLOOKUP($AC$4,'LOCK_ME - Page10 - Lookups'!$D$89:$J$91,6,FALSE)),0)</f>
        <v>0</v>
      </c>
      <c r="P28" s="906">
        <f>Page2A!V38</f>
        <v>0</v>
      </c>
      <c r="Q28" s="426">
        <f t="shared" si="9"/>
        <v>0</v>
      </c>
      <c r="R28" s="426">
        <f t="shared" si="10"/>
        <v>0</v>
      </c>
      <c r="S28" s="97">
        <f t="shared" si="11"/>
        <v>0</v>
      </c>
      <c r="T28" s="422">
        <f t="shared" si="22"/>
        <v>0</v>
      </c>
      <c r="U28" s="424">
        <f t="shared" si="12"/>
        <v>0</v>
      </c>
      <c r="V28" s="94">
        <f t="shared" si="23"/>
        <v>0</v>
      </c>
      <c r="W28" s="426">
        <f t="shared" si="24"/>
        <v>0</v>
      </c>
      <c r="X28" s="427">
        <f t="shared" si="13"/>
        <v>0</v>
      </c>
      <c r="Y28" s="554">
        <f t="shared" si="14"/>
        <v>0</v>
      </c>
      <c r="Z28" s="424">
        <f t="shared" si="15"/>
        <v>0</v>
      </c>
      <c r="AA28" s="966"/>
      <c r="AB28" s="950" t="str">
        <f t="shared" si="25"/>
        <v>00</v>
      </c>
      <c r="AC28" s="963">
        <f>Page2A!AD38</f>
        <v>0</v>
      </c>
      <c r="AD28" s="963">
        <f>IF(NOT($C28=0),VLOOKUP($B28,'LOCK_ME - Page10 - Lookups'!$B$10:$G$43,6,FALSE),0)</f>
        <v>0</v>
      </c>
      <c r="AE28" s="964"/>
      <c r="AF28" s="965">
        <f t="shared" si="16"/>
        <v>0</v>
      </c>
      <c r="AG28" s="965">
        <f t="shared" si="17"/>
        <v>0</v>
      </c>
      <c r="AH28" s="965">
        <f t="shared" si="18"/>
        <v>0</v>
      </c>
      <c r="AI28" s="965">
        <f t="shared" si="19"/>
        <v>0</v>
      </c>
    </row>
    <row r="29" spans="1:35" s="88" customFormat="1" ht="27" customHeight="1" x14ac:dyDescent="0.2">
      <c r="A29" s="113">
        <f t="shared" si="26"/>
        <v>16</v>
      </c>
      <c r="B29" s="9">
        <f>Page2A!B40</f>
        <v>0</v>
      </c>
      <c r="C29" s="457">
        <f>Page2A!U40</f>
        <v>0</v>
      </c>
      <c r="D29" s="450">
        <f>Page2A!T41</f>
        <v>0</v>
      </c>
      <c r="E29" s="28">
        <f>Page2A!W40</f>
        <v>0</v>
      </c>
      <c r="F29" s="114">
        <f>IF(NOT(C29=0),VLOOKUP($AB29,'LOCK_ME - Page10 - Lookups'!$G$48:$N$81,8,FALSE),0)</f>
        <v>0</v>
      </c>
      <c r="G29" s="422">
        <f t="shared" si="27"/>
        <v>0</v>
      </c>
      <c r="H29" s="422">
        <f t="shared" si="20"/>
        <v>0</v>
      </c>
      <c r="I29" s="94">
        <f t="shared" si="4"/>
        <v>0</v>
      </c>
      <c r="J29" s="426">
        <f t="shared" si="21"/>
        <v>0</v>
      </c>
      <c r="K29" s="427">
        <f t="shared" si="5"/>
        <v>0</v>
      </c>
      <c r="L29" s="97">
        <f t="shared" si="6"/>
        <v>0</v>
      </c>
      <c r="M29" s="422">
        <f t="shared" si="7"/>
        <v>0</v>
      </c>
      <c r="N29" s="424">
        <f t="shared" si="8"/>
        <v>0</v>
      </c>
      <c r="O29" s="94">
        <f>IF($F29&gt;0,IF($AC29=1,0,VLOOKUP($AC$4,'LOCK_ME - Page10 - Lookups'!$D$89:$J$91,6,FALSE)),0)</f>
        <v>0</v>
      </c>
      <c r="P29" s="906">
        <f>Page2A!V40</f>
        <v>0</v>
      </c>
      <c r="Q29" s="426">
        <f t="shared" si="9"/>
        <v>0</v>
      </c>
      <c r="R29" s="426">
        <f t="shared" si="10"/>
        <v>0</v>
      </c>
      <c r="S29" s="97">
        <f t="shared" si="11"/>
        <v>0</v>
      </c>
      <c r="T29" s="422">
        <f t="shared" si="22"/>
        <v>0</v>
      </c>
      <c r="U29" s="424">
        <f t="shared" si="12"/>
        <v>0</v>
      </c>
      <c r="V29" s="94">
        <f t="shared" si="23"/>
        <v>0</v>
      </c>
      <c r="W29" s="426">
        <f t="shared" si="24"/>
        <v>0</v>
      </c>
      <c r="X29" s="427">
        <f t="shared" si="13"/>
        <v>0</v>
      </c>
      <c r="Y29" s="554">
        <f t="shared" si="14"/>
        <v>0</v>
      </c>
      <c r="Z29" s="424">
        <f t="shared" si="15"/>
        <v>0</v>
      </c>
      <c r="AA29" s="966"/>
      <c r="AB29" s="950" t="str">
        <f t="shared" si="25"/>
        <v>00</v>
      </c>
      <c r="AC29" s="963">
        <f>Page2A!AD40</f>
        <v>0</v>
      </c>
      <c r="AD29" s="963">
        <f>IF(NOT($C29=0),VLOOKUP($B29,'LOCK_ME - Page10 - Lookups'!$B$10:$G$43,6,FALSE),0)</f>
        <v>0</v>
      </c>
      <c r="AE29" s="964"/>
      <c r="AF29" s="965">
        <f t="shared" si="16"/>
        <v>0</v>
      </c>
      <c r="AG29" s="965">
        <f t="shared" si="17"/>
        <v>0</v>
      </c>
      <c r="AH29" s="965">
        <f t="shared" si="18"/>
        <v>0</v>
      </c>
      <c r="AI29" s="965">
        <f t="shared" si="19"/>
        <v>0</v>
      </c>
    </row>
    <row r="30" spans="1:35" s="88" customFormat="1" ht="27" customHeight="1" x14ac:dyDescent="0.2">
      <c r="A30" s="113">
        <f t="shared" si="26"/>
        <v>17</v>
      </c>
      <c r="B30" s="9">
        <f>Page2A!B42</f>
        <v>0</v>
      </c>
      <c r="C30" s="457">
        <f>Page2A!U42</f>
        <v>0</v>
      </c>
      <c r="D30" s="450">
        <f>Page2A!T43</f>
        <v>0</v>
      </c>
      <c r="E30" s="28">
        <f>Page2A!W42</f>
        <v>0</v>
      </c>
      <c r="F30" s="114">
        <f>IF(NOT(C30=0),VLOOKUP($AB30,'LOCK_ME - Page10 - Lookups'!$G$48:$N$81,8,FALSE),0)</f>
        <v>0</v>
      </c>
      <c r="G30" s="422">
        <f t="shared" si="27"/>
        <v>0</v>
      </c>
      <c r="H30" s="422">
        <f t="shared" si="20"/>
        <v>0</v>
      </c>
      <c r="I30" s="94">
        <f t="shared" si="4"/>
        <v>0</v>
      </c>
      <c r="J30" s="426">
        <f t="shared" si="21"/>
        <v>0</v>
      </c>
      <c r="K30" s="427">
        <f t="shared" si="5"/>
        <v>0</v>
      </c>
      <c r="L30" s="97">
        <f t="shared" si="6"/>
        <v>0</v>
      </c>
      <c r="M30" s="422">
        <f t="shared" si="7"/>
        <v>0</v>
      </c>
      <c r="N30" s="424">
        <f t="shared" si="8"/>
        <v>0</v>
      </c>
      <c r="O30" s="94">
        <f>IF($F30&gt;0,IF($AC30=1,0,VLOOKUP($AC$4,'LOCK_ME - Page10 - Lookups'!$D$89:$J$91,6,FALSE)),0)</f>
        <v>0</v>
      </c>
      <c r="P30" s="906">
        <f>Page2A!V42</f>
        <v>0</v>
      </c>
      <c r="Q30" s="426">
        <f t="shared" si="9"/>
        <v>0</v>
      </c>
      <c r="R30" s="426">
        <f t="shared" si="10"/>
        <v>0</v>
      </c>
      <c r="S30" s="97">
        <f t="shared" si="11"/>
        <v>0</v>
      </c>
      <c r="T30" s="422">
        <f t="shared" si="22"/>
        <v>0</v>
      </c>
      <c r="U30" s="424">
        <f t="shared" si="12"/>
        <v>0</v>
      </c>
      <c r="V30" s="94">
        <f t="shared" si="23"/>
        <v>0</v>
      </c>
      <c r="W30" s="426">
        <f t="shared" si="24"/>
        <v>0</v>
      </c>
      <c r="X30" s="427">
        <f t="shared" si="13"/>
        <v>0</v>
      </c>
      <c r="Y30" s="554">
        <f t="shared" si="14"/>
        <v>0</v>
      </c>
      <c r="Z30" s="424">
        <f t="shared" si="15"/>
        <v>0</v>
      </c>
      <c r="AA30" s="966"/>
      <c r="AB30" s="950" t="str">
        <f t="shared" si="25"/>
        <v>00</v>
      </c>
      <c r="AC30" s="963">
        <f>Page2A!AD42</f>
        <v>0</v>
      </c>
      <c r="AD30" s="963">
        <f>IF(NOT($C30=0),VLOOKUP($B30,'LOCK_ME - Page10 - Lookups'!$B$10:$G$43,6,FALSE),0)</f>
        <v>0</v>
      </c>
      <c r="AE30" s="964"/>
      <c r="AF30" s="965">
        <f t="shared" si="16"/>
        <v>0</v>
      </c>
      <c r="AG30" s="965">
        <f t="shared" si="17"/>
        <v>0</v>
      </c>
      <c r="AH30" s="965">
        <f t="shared" si="18"/>
        <v>0</v>
      </c>
      <c r="AI30" s="965">
        <f t="shared" si="19"/>
        <v>0</v>
      </c>
    </row>
    <row r="31" spans="1:35" s="88" customFormat="1" ht="27" customHeight="1" x14ac:dyDescent="0.2">
      <c r="A31" s="113">
        <f t="shared" si="26"/>
        <v>18</v>
      </c>
      <c r="B31" s="9">
        <f>Page2A!B44</f>
        <v>0</v>
      </c>
      <c r="C31" s="457">
        <f>Page2A!U44</f>
        <v>0</v>
      </c>
      <c r="D31" s="450">
        <f>Page2A!T45</f>
        <v>0</v>
      </c>
      <c r="E31" s="28">
        <f>Page2A!W44</f>
        <v>0</v>
      </c>
      <c r="F31" s="114">
        <f>IF(NOT(C31=0),VLOOKUP($AB31,'LOCK_ME - Page10 - Lookups'!$G$48:$N$81,8,FALSE),0)</f>
        <v>0</v>
      </c>
      <c r="G31" s="422">
        <f t="shared" si="27"/>
        <v>0</v>
      </c>
      <c r="H31" s="422">
        <f t="shared" si="20"/>
        <v>0</v>
      </c>
      <c r="I31" s="94">
        <f t="shared" si="4"/>
        <v>0</v>
      </c>
      <c r="J31" s="426">
        <f t="shared" si="21"/>
        <v>0</v>
      </c>
      <c r="K31" s="427">
        <f t="shared" si="5"/>
        <v>0</v>
      </c>
      <c r="L31" s="97">
        <f t="shared" si="6"/>
        <v>0</v>
      </c>
      <c r="M31" s="422">
        <f t="shared" si="7"/>
        <v>0</v>
      </c>
      <c r="N31" s="424">
        <f t="shared" si="8"/>
        <v>0</v>
      </c>
      <c r="O31" s="94">
        <f>IF($F31&gt;0,IF($AC31=1,0,VLOOKUP($AC$4,'LOCK_ME - Page10 - Lookups'!$D$89:$J$91,6,FALSE)),0)</f>
        <v>0</v>
      </c>
      <c r="P31" s="906">
        <f>Page2A!V44</f>
        <v>0</v>
      </c>
      <c r="Q31" s="426">
        <f t="shared" si="9"/>
        <v>0</v>
      </c>
      <c r="R31" s="426">
        <f t="shared" si="10"/>
        <v>0</v>
      </c>
      <c r="S31" s="97">
        <f t="shared" si="11"/>
        <v>0</v>
      </c>
      <c r="T31" s="422">
        <f t="shared" si="22"/>
        <v>0</v>
      </c>
      <c r="U31" s="424">
        <f t="shared" si="12"/>
        <v>0</v>
      </c>
      <c r="V31" s="94">
        <f t="shared" si="23"/>
        <v>0</v>
      </c>
      <c r="W31" s="426">
        <f t="shared" si="24"/>
        <v>0</v>
      </c>
      <c r="X31" s="427">
        <f t="shared" si="13"/>
        <v>0</v>
      </c>
      <c r="Y31" s="554">
        <f t="shared" si="14"/>
        <v>0</v>
      </c>
      <c r="Z31" s="424">
        <f t="shared" si="15"/>
        <v>0</v>
      </c>
      <c r="AA31" s="966"/>
      <c r="AB31" s="950" t="str">
        <f t="shared" si="25"/>
        <v>00</v>
      </c>
      <c r="AC31" s="963">
        <f>Page2A!AD44</f>
        <v>0</v>
      </c>
      <c r="AD31" s="963">
        <f>IF(NOT($C31=0),VLOOKUP($B31,'LOCK_ME - Page10 - Lookups'!$B$10:$G$43,6,FALSE),0)</f>
        <v>0</v>
      </c>
      <c r="AE31" s="964"/>
      <c r="AF31" s="965">
        <f t="shared" si="16"/>
        <v>0</v>
      </c>
      <c r="AG31" s="965">
        <f t="shared" si="17"/>
        <v>0</v>
      </c>
      <c r="AH31" s="965">
        <f t="shared" si="18"/>
        <v>0</v>
      </c>
      <c r="AI31" s="965">
        <f t="shared" si="19"/>
        <v>0</v>
      </c>
    </row>
    <row r="32" spans="1:35" s="88" customFormat="1" ht="27" customHeight="1" x14ac:dyDescent="0.2">
      <c r="A32" s="113">
        <f t="shared" si="26"/>
        <v>19</v>
      </c>
      <c r="B32" s="9">
        <f>Page2A!B46</f>
        <v>0</v>
      </c>
      <c r="C32" s="457">
        <f>Page2A!U46</f>
        <v>0</v>
      </c>
      <c r="D32" s="450">
        <f>Page2A!T47</f>
        <v>0</v>
      </c>
      <c r="E32" s="28">
        <f>Page2A!W46</f>
        <v>0</v>
      </c>
      <c r="F32" s="114">
        <f>IF(NOT(C32=0),VLOOKUP($AB32,'LOCK_ME - Page10 - Lookups'!$G$48:$N$81,8,FALSE),0)</f>
        <v>0</v>
      </c>
      <c r="G32" s="422">
        <f t="shared" si="27"/>
        <v>0</v>
      </c>
      <c r="H32" s="422">
        <f t="shared" si="20"/>
        <v>0</v>
      </c>
      <c r="I32" s="94">
        <f t="shared" si="4"/>
        <v>0</v>
      </c>
      <c r="J32" s="426">
        <f t="shared" si="21"/>
        <v>0</v>
      </c>
      <c r="K32" s="427">
        <f t="shared" si="5"/>
        <v>0</v>
      </c>
      <c r="L32" s="97">
        <f t="shared" si="6"/>
        <v>0</v>
      </c>
      <c r="M32" s="422">
        <f t="shared" si="7"/>
        <v>0</v>
      </c>
      <c r="N32" s="424">
        <f>ROUND(M32,2)*12</f>
        <v>0</v>
      </c>
      <c r="O32" s="94">
        <f>IF($F32&gt;0,IF($AC32=1,0,VLOOKUP($AC$4,'LOCK_ME - Page10 - Lookups'!$D$89:$J$91,6,FALSE)),0)</f>
        <v>0</v>
      </c>
      <c r="P32" s="906">
        <f>Page2A!V46</f>
        <v>0</v>
      </c>
      <c r="Q32" s="426">
        <f t="shared" si="9"/>
        <v>0</v>
      </c>
      <c r="R32" s="426">
        <f t="shared" si="10"/>
        <v>0</v>
      </c>
      <c r="S32" s="97">
        <f t="shared" si="11"/>
        <v>0</v>
      </c>
      <c r="T32" s="422">
        <f t="shared" si="22"/>
        <v>0</v>
      </c>
      <c r="U32" s="424">
        <f t="shared" si="12"/>
        <v>0</v>
      </c>
      <c r="V32" s="94">
        <f t="shared" si="23"/>
        <v>0</v>
      </c>
      <c r="W32" s="426">
        <f t="shared" si="24"/>
        <v>0</v>
      </c>
      <c r="X32" s="427">
        <f t="shared" si="13"/>
        <v>0</v>
      </c>
      <c r="Y32" s="554">
        <f t="shared" si="14"/>
        <v>0</v>
      </c>
      <c r="Z32" s="424">
        <f t="shared" si="15"/>
        <v>0</v>
      </c>
      <c r="AA32" s="966"/>
      <c r="AB32" s="950" t="str">
        <f t="shared" si="25"/>
        <v>00</v>
      </c>
      <c r="AC32" s="963">
        <f>Page2A!AD46</f>
        <v>0</v>
      </c>
      <c r="AD32" s="963">
        <f>IF(NOT($C32=0),VLOOKUP($B32,'LOCK_ME - Page10 - Lookups'!$B$10:$G$43,6,FALSE),0)</f>
        <v>0</v>
      </c>
      <c r="AE32" s="964"/>
      <c r="AF32" s="965">
        <f t="shared" si="16"/>
        <v>0</v>
      </c>
      <c r="AG32" s="965">
        <f t="shared" si="17"/>
        <v>0</v>
      </c>
      <c r="AH32" s="965">
        <f t="shared" si="18"/>
        <v>0</v>
      </c>
      <c r="AI32" s="965">
        <f t="shared" si="19"/>
        <v>0</v>
      </c>
    </row>
    <row r="33" spans="1:35" s="88" customFormat="1" ht="27" customHeight="1" x14ac:dyDescent="0.2">
      <c r="A33" s="113">
        <f t="shared" si="26"/>
        <v>20</v>
      </c>
      <c r="B33" s="9">
        <f>Page2A!B48</f>
        <v>0</v>
      </c>
      <c r="C33" s="457">
        <f>Page2A!U48</f>
        <v>0</v>
      </c>
      <c r="D33" s="450">
        <f>Page2A!T49</f>
        <v>0</v>
      </c>
      <c r="E33" s="28">
        <f>Page2A!W48</f>
        <v>0</v>
      </c>
      <c r="F33" s="114">
        <f>IF(NOT(C33=0),VLOOKUP($AB33,'LOCK_ME - Page10 - Lookups'!$G$48:$N$81,8,FALSE),0)</f>
        <v>0</v>
      </c>
      <c r="G33" s="422">
        <f t="shared" si="27"/>
        <v>0</v>
      </c>
      <c r="H33" s="422">
        <f t="shared" si="20"/>
        <v>0</v>
      </c>
      <c r="I33" s="94">
        <f t="shared" si="4"/>
        <v>0</v>
      </c>
      <c r="J33" s="426">
        <f t="shared" si="21"/>
        <v>0</v>
      </c>
      <c r="K33" s="427">
        <f t="shared" si="5"/>
        <v>0</v>
      </c>
      <c r="L33" s="97">
        <f t="shared" si="6"/>
        <v>0</v>
      </c>
      <c r="M33" s="422">
        <f t="shared" si="7"/>
        <v>0</v>
      </c>
      <c r="N33" s="424">
        <f t="shared" si="8"/>
        <v>0</v>
      </c>
      <c r="O33" s="94">
        <f>IF($F33&gt;0,IF($AC33=1,0,VLOOKUP($AC$4,'LOCK_ME - Page10 - Lookups'!$D$89:$J$91,6,FALSE)),0)</f>
        <v>0</v>
      </c>
      <c r="P33" s="906">
        <f>Page2A!V48</f>
        <v>0</v>
      </c>
      <c r="Q33" s="426">
        <f t="shared" si="9"/>
        <v>0</v>
      </c>
      <c r="R33" s="426">
        <f t="shared" si="10"/>
        <v>0</v>
      </c>
      <c r="S33" s="97">
        <f t="shared" si="11"/>
        <v>0</v>
      </c>
      <c r="T33" s="422">
        <f t="shared" si="22"/>
        <v>0</v>
      </c>
      <c r="U33" s="424">
        <f t="shared" si="12"/>
        <v>0</v>
      </c>
      <c r="V33" s="94">
        <f t="shared" si="23"/>
        <v>0</v>
      </c>
      <c r="W33" s="426">
        <f t="shared" si="24"/>
        <v>0</v>
      </c>
      <c r="X33" s="427">
        <f t="shared" si="13"/>
        <v>0</v>
      </c>
      <c r="Y33" s="554">
        <f t="shared" si="14"/>
        <v>0</v>
      </c>
      <c r="Z33" s="424">
        <f t="shared" si="15"/>
        <v>0</v>
      </c>
      <c r="AA33" s="966"/>
      <c r="AB33" s="950" t="str">
        <f t="shared" si="25"/>
        <v>00</v>
      </c>
      <c r="AC33" s="963">
        <f>Page2A!AD48</f>
        <v>0</v>
      </c>
      <c r="AD33" s="963">
        <f>IF(NOT($C33=0),VLOOKUP($B33,'LOCK_ME - Page10 - Lookups'!$B$10:$G$43,6,FALSE),0)</f>
        <v>0</v>
      </c>
      <c r="AE33" s="964"/>
      <c r="AF33" s="965">
        <f t="shared" si="16"/>
        <v>0</v>
      </c>
      <c r="AG33" s="965">
        <f t="shared" si="17"/>
        <v>0</v>
      </c>
      <c r="AH33" s="965">
        <f t="shared" si="18"/>
        <v>0</v>
      </c>
      <c r="AI33" s="965">
        <f t="shared" si="19"/>
        <v>0</v>
      </c>
    </row>
    <row r="34" spans="1:35" s="88" customFormat="1" ht="27" customHeight="1" x14ac:dyDescent="0.2">
      <c r="A34" s="113">
        <f t="shared" si="26"/>
        <v>21</v>
      </c>
      <c r="B34" s="9">
        <f>Page2A!B50</f>
        <v>0</v>
      </c>
      <c r="C34" s="457">
        <f>Page2A!U50</f>
        <v>0</v>
      </c>
      <c r="D34" s="450">
        <f>Page2A!T51</f>
        <v>0</v>
      </c>
      <c r="E34" s="28">
        <f>Page2A!W50</f>
        <v>0</v>
      </c>
      <c r="F34" s="114">
        <f>IF(NOT(C34=0),VLOOKUP($AB34,'LOCK_ME - Page10 - Lookups'!$G$48:$N$81,8,FALSE),0)</f>
        <v>0</v>
      </c>
      <c r="G34" s="422">
        <f t="shared" si="27"/>
        <v>0</v>
      </c>
      <c r="H34" s="422">
        <f t="shared" si="20"/>
        <v>0</v>
      </c>
      <c r="I34" s="94">
        <f t="shared" si="4"/>
        <v>0</v>
      </c>
      <c r="J34" s="426">
        <f t="shared" si="21"/>
        <v>0</v>
      </c>
      <c r="K34" s="427">
        <f t="shared" si="5"/>
        <v>0</v>
      </c>
      <c r="L34" s="97">
        <f t="shared" si="6"/>
        <v>0</v>
      </c>
      <c r="M34" s="422">
        <f t="shared" si="7"/>
        <v>0</v>
      </c>
      <c r="N34" s="424">
        <f t="shared" si="8"/>
        <v>0</v>
      </c>
      <c r="O34" s="94">
        <f>IF($F34&gt;0,IF($AC34=1,0,VLOOKUP($AC$4,'LOCK_ME - Page10 - Lookups'!$D$89:$J$91,6,FALSE)),0)</f>
        <v>0</v>
      </c>
      <c r="P34" s="906">
        <f>Page2A!V50</f>
        <v>0</v>
      </c>
      <c r="Q34" s="426">
        <f t="shared" si="9"/>
        <v>0</v>
      </c>
      <c r="R34" s="426">
        <f t="shared" si="10"/>
        <v>0</v>
      </c>
      <c r="S34" s="97">
        <f t="shared" si="11"/>
        <v>0</v>
      </c>
      <c r="T34" s="422">
        <f t="shared" si="22"/>
        <v>0</v>
      </c>
      <c r="U34" s="424">
        <f t="shared" si="12"/>
        <v>0</v>
      </c>
      <c r="V34" s="94">
        <f t="shared" si="23"/>
        <v>0</v>
      </c>
      <c r="W34" s="426">
        <f t="shared" si="24"/>
        <v>0</v>
      </c>
      <c r="X34" s="427">
        <f t="shared" si="13"/>
        <v>0</v>
      </c>
      <c r="Y34" s="554">
        <f t="shared" si="14"/>
        <v>0</v>
      </c>
      <c r="Z34" s="424">
        <f t="shared" si="15"/>
        <v>0</v>
      </c>
      <c r="AA34" s="966"/>
      <c r="AB34" s="950" t="str">
        <f t="shared" si="25"/>
        <v>00</v>
      </c>
      <c r="AC34" s="963">
        <f>Page2A!AD50</f>
        <v>0</v>
      </c>
      <c r="AD34" s="963">
        <f>IF(NOT($C34=0),VLOOKUP($B34,'LOCK_ME - Page10 - Lookups'!$B$10:$G$43,6,FALSE),0)</f>
        <v>0</v>
      </c>
      <c r="AE34" s="964"/>
      <c r="AF34" s="965">
        <f t="shared" si="16"/>
        <v>0</v>
      </c>
      <c r="AG34" s="965">
        <f t="shared" si="17"/>
        <v>0</v>
      </c>
      <c r="AH34" s="965">
        <f>ROUND(AF34,2)*12</f>
        <v>0</v>
      </c>
      <c r="AI34" s="965">
        <f>ROUND(AG34,2)*12</f>
        <v>0</v>
      </c>
    </row>
    <row r="35" spans="1:35" s="88" customFormat="1" ht="27" customHeight="1" x14ac:dyDescent="0.2">
      <c r="A35" s="113">
        <f t="shared" si="26"/>
        <v>22</v>
      </c>
      <c r="B35" s="10">
        <f>Page2A!B52</f>
        <v>0</v>
      </c>
      <c r="C35" s="459">
        <f>Page2A!U52</f>
        <v>0</v>
      </c>
      <c r="D35" s="455">
        <f>Page2A!T53</f>
        <v>0</v>
      </c>
      <c r="E35" s="29">
        <f>Page2A!W52</f>
        <v>0</v>
      </c>
      <c r="F35" s="115">
        <f>IF(NOT(C35=0),VLOOKUP($AB35,'LOCK_ME - Page10 - Lookups'!$G$48:$N$81,8,FALSE),0)</f>
        <v>0</v>
      </c>
      <c r="G35" s="423">
        <f t="shared" si="27"/>
        <v>0</v>
      </c>
      <c r="H35" s="423">
        <f t="shared" si="20"/>
        <v>0</v>
      </c>
      <c r="I35" s="101">
        <f t="shared" si="4"/>
        <v>0</v>
      </c>
      <c r="J35" s="428">
        <f t="shared" si="21"/>
        <v>0</v>
      </c>
      <c r="K35" s="429">
        <f t="shared" si="5"/>
        <v>0</v>
      </c>
      <c r="L35" s="104">
        <f t="shared" si="6"/>
        <v>0</v>
      </c>
      <c r="M35" s="423">
        <f t="shared" si="7"/>
        <v>0</v>
      </c>
      <c r="N35" s="425">
        <f t="shared" si="8"/>
        <v>0</v>
      </c>
      <c r="O35" s="94">
        <f>IF($F35&gt;0,IF($AC35=1,0,VLOOKUP($AC$4,'LOCK_ME - Page10 - Lookups'!$D$89:$J$91,6,FALSE)),0)</f>
        <v>0</v>
      </c>
      <c r="P35" s="106">
        <f>Page2A!V52</f>
        <v>0</v>
      </c>
      <c r="Q35" s="428">
        <f t="shared" si="9"/>
        <v>0</v>
      </c>
      <c r="R35" s="428">
        <f t="shared" si="10"/>
        <v>0</v>
      </c>
      <c r="S35" s="97">
        <f t="shared" si="11"/>
        <v>0</v>
      </c>
      <c r="T35" s="423">
        <f t="shared" si="22"/>
        <v>0</v>
      </c>
      <c r="U35" s="425">
        <f t="shared" si="12"/>
        <v>0</v>
      </c>
      <c r="V35" s="101">
        <f t="shared" si="23"/>
        <v>0</v>
      </c>
      <c r="W35" s="428">
        <f t="shared" si="24"/>
        <v>0</v>
      </c>
      <c r="X35" s="429">
        <f t="shared" si="13"/>
        <v>0</v>
      </c>
      <c r="Y35" s="555">
        <f t="shared" si="14"/>
        <v>0</v>
      </c>
      <c r="Z35" s="425">
        <f t="shared" si="15"/>
        <v>0</v>
      </c>
      <c r="AA35" s="966"/>
      <c r="AB35" s="950" t="str">
        <f t="shared" si="25"/>
        <v>00</v>
      </c>
      <c r="AC35" s="963">
        <f>Page2A!AD52</f>
        <v>0</v>
      </c>
      <c r="AD35" s="963">
        <f>IF(NOT($C35=0),VLOOKUP($B35,'LOCK_ME - Page10 - Lookups'!$B$10:$G$43,6,FALSE),0)</f>
        <v>0</v>
      </c>
      <c r="AE35" s="964"/>
      <c r="AF35" s="965">
        <f t="shared" si="16"/>
        <v>0</v>
      </c>
      <c r="AG35" s="965">
        <f t="shared" si="17"/>
        <v>0</v>
      </c>
      <c r="AH35" s="965">
        <f t="shared" si="18"/>
        <v>0</v>
      </c>
      <c r="AI35" s="965">
        <f t="shared" si="19"/>
        <v>0</v>
      </c>
    </row>
    <row r="36" spans="1:35" s="88" customFormat="1" ht="14.25" customHeight="1" thickBot="1" x14ac:dyDescent="0.25">
      <c r="A36" s="867">
        <v>23</v>
      </c>
      <c r="B36" s="859" t="s">
        <v>12</v>
      </c>
      <c r="C36" s="352">
        <f>SUM(C14:C35)</f>
        <v>0</v>
      </c>
      <c r="D36" s="456">
        <f>SUM(D14:D35)</f>
        <v>0</v>
      </c>
      <c r="E36" s="353"/>
      <c r="F36" s="354"/>
      <c r="G36" s="354">
        <f>SUM(G14:G35)</f>
        <v>0</v>
      </c>
      <c r="H36" s="354">
        <f>SUM(H14:H35)</f>
        <v>0</v>
      </c>
      <c r="I36" s="430"/>
      <c r="J36" s="354">
        <f t="shared" ref="J36:K36" si="28">SUM(J14:J35)</f>
        <v>0</v>
      </c>
      <c r="K36" s="354">
        <f t="shared" si="28"/>
        <v>0</v>
      </c>
      <c r="L36" s="430"/>
      <c r="M36" s="354">
        <f t="shared" ref="M36:N36" si="29">SUM(M14:M35)</f>
        <v>0</v>
      </c>
      <c r="N36" s="354">
        <f t="shared" si="29"/>
        <v>0</v>
      </c>
      <c r="O36" s="430"/>
      <c r="P36" s="430"/>
      <c r="Q36" s="354">
        <f t="shared" ref="Q36:R36" si="30">SUM(Q14:Q35)</f>
        <v>0</v>
      </c>
      <c r="R36" s="354">
        <f t="shared" si="30"/>
        <v>0</v>
      </c>
      <c r="S36" s="430"/>
      <c r="T36" s="354">
        <f t="shared" ref="T36:U36" si="31">SUM(T14:T35)</f>
        <v>0</v>
      </c>
      <c r="U36" s="354">
        <f t="shared" si="31"/>
        <v>0</v>
      </c>
      <c r="V36" s="430"/>
      <c r="W36" s="354">
        <f>SUM(W14:W35)</f>
        <v>0</v>
      </c>
      <c r="X36" s="354">
        <f>SUM(X14:X35)</f>
        <v>0</v>
      </c>
      <c r="Y36" s="354">
        <f>SUM(Y14:Y35)</f>
        <v>0</v>
      </c>
      <c r="Z36" s="354">
        <f>SUM(Z14:Z35)</f>
        <v>0</v>
      </c>
      <c r="AA36" s="956"/>
      <c r="AB36" s="967"/>
      <c r="AC36" s="967"/>
      <c r="AD36" s="967"/>
      <c r="AE36" s="968" t="s">
        <v>136</v>
      </c>
      <c r="AF36" s="969">
        <f>SUM(AF14:AF35)</f>
        <v>0</v>
      </c>
      <c r="AG36" s="970">
        <f>SUM(AG14:AG35)</f>
        <v>0</v>
      </c>
      <c r="AH36" s="969">
        <f>SUM(AH14:AH35)</f>
        <v>0</v>
      </c>
      <c r="AI36" s="970">
        <f>SUM(AI14:AI35)</f>
        <v>0</v>
      </c>
    </row>
    <row r="37" spans="1:35" s="355" customFormat="1" ht="14.25" customHeight="1" thickTop="1" thickBot="1" x14ac:dyDescent="0.25">
      <c r="A37" s="868">
        <v>24</v>
      </c>
      <c r="B37" s="860" t="s">
        <v>763</v>
      </c>
      <c r="C37" s="860"/>
      <c r="D37" s="861"/>
      <c r="E37" s="356"/>
      <c r="F37" s="357"/>
      <c r="G37" s="431">
        <f>G12+G36</f>
        <v>0</v>
      </c>
      <c r="H37" s="431">
        <f>H12+H36</f>
        <v>0</v>
      </c>
      <c r="I37" s="431"/>
      <c r="J37" s="431">
        <f t="shared" ref="J37:K37" si="32">J12+J36</f>
        <v>0</v>
      </c>
      <c r="K37" s="431">
        <f t="shared" si="32"/>
        <v>0</v>
      </c>
      <c r="L37" s="431"/>
      <c r="M37" s="431">
        <f t="shared" ref="M37:N37" si="33">M12+M36</f>
        <v>0</v>
      </c>
      <c r="N37" s="431">
        <f t="shared" si="33"/>
        <v>0</v>
      </c>
      <c r="O37" s="431"/>
      <c r="P37" s="431"/>
      <c r="Q37" s="431">
        <f t="shared" ref="Q37:R37" si="34">Q12+Q36</f>
        <v>0</v>
      </c>
      <c r="R37" s="431">
        <f t="shared" si="34"/>
        <v>0</v>
      </c>
      <c r="S37" s="431"/>
      <c r="T37" s="431">
        <f t="shared" ref="T37:U37" si="35">T12+T36</f>
        <v>0</v>
      </c>
      <c r="U37" s="431">
        <f t="shared" si="35"/>
        <v>0</v>
      </c>
      <c r="V37" s="431"/>
      <c r="W37" s="357">
        <f>W12+W36</f>
        <v>0</v>
      </c>
      <c r="X37" s="431">
        <f t="shared" ref="X37" si="36">X12+X36</f>
        <v>0</v>
      </c>
      <c r="Y37" s="431">
        <f>Y12+Y36</f>
        <v>0</v>
      </c>
      <c r="Z37" s="431">
        <f>Z12+Z36</f>
        <v>0</v>
      </c>
      <c r="AA37" s="971"/>
      <c r="AB37" s="972"/>
      <c r="AC37" s="973" t="s">
        <v>686</v>
      </c>
      <c r="AD37" s="974">
        <f>ROUND(SUMIF($AD$14:$AD$35,1,$H$14:$H$35),2)</f>
        <v>0</v>
      </c>
      <c r="AE37" s="975"/>
      <c r="AF37" s="976"/>
      <c r="AG37" s="976"/>
      <c r="AH37" s="976"/>
      <c r="AI37" s="976"/>
    </row>
    <row r="38" spans="1:35" x14ac:dyDescent="0.2">
      <c r="AB38" s="977"/>
      <c r="AC38" s="973" t="s">
        <v>687</v>
      </c>
      <c r="AD38" s="978">
        <f>ROUND(SUMIF($AD$14:$AD$35,1,$D$14:$D$35)*52.25,2)</f>
        <v>0</v>
      </c>
      <c r="AE38" s="979"/>
      <c r="AF38" s="980"/>
      <c r="AG38" s="980"/>
      <c r="AH38" s="980"/>
      <c r="AI38" s="980"/>
    </row>
    <row r="39" spans="1:35" ht="15" x14ac:dyDescent="0.2">
      <c r="A39" s="913"/>
      <c r="B39" s="1494" t="s">
        <v>248</v>
      </c>
      <c r="C39" s="1494"/>
      <c r="D39" s="1494"/>
      <c r="E39" s="1495"/>
      <c r="F39" s="1493" t="s">
        <v>130</v>
      </c>
      <c r="G39" s="1494"/>
      <c r="H39" s="1494"/>
      <c r="I39" s="1494"/>
      <c r="J39" s="1494"/>
      <c r="K39" s="1494"/>
      <c r="L39" s="1494"/>
      <c r="M39" s="1494"/>
      <c r="N39" s="1494"/>
      <c r="O39" s="1494"/>
      <c r="P39" s="1494"/>
      <c r="Q39" s="1494"/>
      <c r="R39" s="1494"/>
      <c r="S39" s="1494"/>
      <c r="T39" s="1494"/>
      <c r="U39" s="1494"/>
      <c r="V39" s="1494"/>
      <c r="W39" s="1494"/>
      <c r="X39" s="1494"/>
      <c r="Y39" s="1494"/>
      <c r="Z39" s="1495"/>
      <c r="AA39" s="981"/>
      <c r="AB39" s="982"/>
    </row>
    <row r="40" spans="1:35" ht="15" x14ac:dyDescent="0.2">
      <c r="A40" s="116"/>
      <c r="B40" s="925"/>
      <c r="C40" s="925"/>
      <c r="D40" s="925"/>
      <c r="E40" s="926"/>
      <c r="F40" s="927"/>
      <c r="G40" s="925"/>
      <c r="H40" s="925"/>
      <c r="I40" s="925"/>
      <c r="J40" s="925"/>
      <c r="K40" s="925"/>
      <c r="L40" s="925"/>
      <c r="M40" s="925"/>
      <c r="N40" s="925"/>
      <c r="O40" s="925"/>
      <c r="P40" s="925"/>
      <c r="Q40" s="925"/>
      <c r="R40" s="925"/>
      <c r="S40" s="925"/>
      <c r="T40" s="925"/>
      <c r="U40" s="925"/>
      <c r="V40" s="925"/>
      <c r="W40" s="925"/>
      <c r="X40" s="925"/>
      <c r="Y40" s="925"/>
      <c r="Z40" s="926"/>
      <c r="AA40" s="981"/>
      <c r="AB40" s="982"/>
    </row>
    <row r="41" spans="1:35" x14ac:dyDescent="0.2">
      <c r="A41" s="862"/>
      <c r="B41" s="904" t="s">
        <v>249</v>
      </c>
      <c r="C41" s="120"/>
      <c r="D41" s="120"/>
      <c r="E41" s="129"/>
      <c r="F41" s="918"/>
      <c r="G41" s="117"/>
      <c r="H41" s="118" t="s">
        <v>195</v>
      </c>
      <c r="I41" s="117"/>
      <c r="J41" s="117"/>
      <c r="K41" s="118" t="s">
        <v>114</v>
      </c>
      <c r="L41" s="120"/>
      <c r="M41" s="120"/>
      <c r="N41" s="117"/>
      <c r="O41" s="1498" t="s">
        <v>768</v>
      </c>
      <c r="P41" s="1498"/>
      <c r="Q41" s="120"/>
      <c r="R41" s="118" t="s">
        <v>139</v>
      </c>
      <c r="S41" s="121"/>
      <c r="T41" s="117"/>
      <c r="U41" s="120"/>
      <c r="V41" s="118" t="s">
        <v>55</v>
      </c>
      <c r="W41" s="119"/>
      <c r="X41" s="120"/>
      <c r="Y41" s="349"/>
      <c r="Z41" s="122"/>
      <c r="AB41" s="977"/>
    </row>
    <row r="42" spans="1:35" ht="14.25" thickBot="1" x14ac:dyDescent="0.25">
      <c r="A42" s="116"/>
      <c r="B42" s="905" t="s">
        <v>250</v>
      </c>
      <c r="C42" s="120"/>
      <c r="D42" s="1489">
        <f>C12</f>
        <v>0</v>
      </c>
      <c r="E42" s="1490"/>
      <c r="F42" s="918"/>
      <c r="G42" s="117"/>
      <c r="H42" s="123" t="s">
        <v>133</v>
      </c>
      <c r="I42" s="124">
        <f>IF(C36&gt;0,(IF($AC$2="Non-Residential",'LOCK_ME - Page9 - RATES'!$F105,'LOCK_ME - Page9 - RATES'!$H105)),0)</f>
        <v>0</v>
      </c>
      <c r="J42" s="125" t="s">
        <v>137</v>
      </c>
      <c r="K42" s="126" t="s">
        <v>121</v>
      </c>
      <c r="L42" s="556">
        <f>Page1!D49</f>
        <v>2.7649999999999997E-2</v>
      </c>
      <c r="M42" s="128" t="s">
        <v>131</v>
      </c>
      <c r="N42" s="117"/>
      <c r="O42" s="556">
        <f>SUM(P10:P35)</f>
        <v>0</v>
      </c>
      <c r="P42" s="124"/>
      <c r="Q42" s="120"/>
      <c r="R42" s="126" t="s">
        <v>133</v>
      </c>
      <c r="S42" s="124">
        <f>IF(D36&gt;0,(IF($AC$2="Non-Residential",'LOCK_ME - Page9 - RATES'!$F126,'LOCK_ME - Page9 - RATES'!$H126)),0)</f>
        <v>0</v>
      </c>
      <c r="T42" s="125" t="s">
        <v>137</v>
      </c>
      <c r="U42" s="120"/>
      <c r="V42" s="126" t="s">
        <v>110</v>
      </c>
      <c r="W42" s="127">
        <f>Page1!D45</f>
        <v>8.5800000000000001E-2</v>
      </c>
      <c r="X42" s="128" t="s">
        <v>131</v>
      </c>
      <c r="Y42" s="120"/>
      <c r="Z42" s="129"/>
      <c r="AB42" s="977"/>
    </row>
    <row r="43" spans="1:35" ht="14.25" thickTop="1" x14ac:dyDescent="0.2">
      <c r="A43" s="116"/>
      <c r="B43" s="905" t="s">
        <v>251</v>
      </c>
      <c r="C43" s="120"/>
      <c r="D43" s="351"/>
      <c r="E43" s="129"/>
      <c r="F43" s="918"/>
      <c r="G43" s="117"/>
      <c r="H43" s="123" t="s">
        <v>134</v>
      </c>
      <c r="I43" s="124">
        <f>IF(D36&gt;0,(IF($AC$2="Non-Residential",'LOCK_ME - Page9 - RATES'!$F109,'LOCK_ME - Page9 - RATES'!$H109)),0)</f>
        <v>0</v>
      </c>
      <c r="J43" s="125" t="s">
        <v>137</v>
      </c>
      <c r="K43" s="120"/>
      <c r="L43" s="117"/>
      <c r="M43" s="117"/>
      <c r="N43" s="117"/>
      <c r="O43" s="120"/>
      <c r="P43" s="120"/>
      <c r="Q43" s="120"/>
      <c r="R43" s="126" t="s">
        <v>140</v>
      </c>
      <c r="S43" s="124">
        <f>IF(D36&gt;0,(IF($AC$2="Non-Residential",'LOCK_ME - Page9 - RATES'!$F130,'LOCK_ME - Page9 - RATES'!$H130)),0)</f>
        <v>0</v>
      </c>
      <c r="T43" s="125" t="s">
        <v>137</v>
      </c>
      <c r="U43" s="120"/>
      <c r="V43" s="126" t="s">
        <v>111</v>
      </c>
      <c r="W43" s="127">
        <f>Page1!D47</f>
        <v>0.7228</v>
      </c>
      <c r="X43" s="128" t="s">
        <v>131</v>
      </c>
      <c r="Y43" s="350"/>
      <c r="Z43" s="130"/>
      <c r="AA43" s="985"/>
      <c r="AB43" s="977"/>
      <c r="AC43" s="942"/>
      <c r="AD43" s="942"/>
      <c r="AE43" s="942"/>
      <c r="AF43" s="986"/>
      <c r="AG43" s="986"/>
      <c r="AH43" s="986"/>
      <c r="AI43" s="986"/>
    </row>
    <row r="44" spans="1:35" ht="14.25" thickBot="1" x14ac:dyDescent="0.25">
      <c r="A44" s="116"/>
      <c r="B44" s="905" t="s">
        <v>252</v>
      </c>
      <c r="C44" s="120"/>
      <c r="D44" s="1489">
        <f>C36</f>
        <v>0</v>
      </c>
      <c r="E44" s="1490"/>
      <c r="F44" s="918"/>
      <c r="G44" s="117"/>
      <c r="H44" s="123" t="s">
        <v>136</v>
      </c>
      <c r="I44" s="131">
        <f>SUM(I42:I43)</f>
        <v>0</v>
      </c>
      <c r="J44" s="128" t="s">
        <v>138</v>
      </c>
      <c r="K44" s="120"/>
      <c r="L44" s="117"/>
      <c r="M44" s="117"/>
      <c r="N44" s="117"/>
      <c r="O44" s="120"/>
      <c r="P44" s="120"/>
      <c r="Q44" s="120"/>
      <c r="R44" s="126" t="s">
        <v>141</v>
      </c>
      <c r="S44" s="124">
        <f>IF(D36&gt;0,(IF($AC$2="Non-Residential",'LOCK_ME - Page9 - RATES'!$F131,'LOCK_ME - Page9 - RATES'!$H131)),0)</f>
        <v>0</v>
      </c>
      <c r="T44" s="125" t="s">
        <v>137</v>
      </c>
      <c r="U44" s="120"/>
      <c r="V44" s="126" t="s">
        <v>119</v>
      </c>
      <c r="W44" s="131">
        <f>W42*W43</f>
        <v>6.201624E-2</v>
      </c>
      <c r="X44" s="128" t="s">
        <v>132</v>
      </c>
      <c r="Y44" s="351"/>
      <c r="Z44" s="132"/>
      <c r="AA44" s="987"/>
      <c r="AB44" s="977"/>
      <c r="AC44" s="942"/>
      <c r="AD44" s="942"/>
      <c r="AE44" s="942"/>
      <c r="AF44" s="986"/>
      <c r="AG44" s="986"/>
      <c r="AH44" s="986"/>
      <c r="AI44" s="986"/>
    </row>
    <row r="45" spans="1:35" ht="15" thickTop="1" thickBot="1" x14ac:dyDescent="0.25">
      <c r="A45" s="116"/>
      <c r="B45" s="905" t="s">
        <v>253</v>
      </c>
      <c r="C45" s="117"/>
      <c r="D45" s="1491" t="e">
        <f>D42/D44</f>
        <v>#DIV/0!</v>
      </c>
      <c r="E45" s="1492"/>
      <c r="F45" s="918"/>
      <c r="G45" s="117"/>
      <c r="H45" s="117"/>
      <c r="I45" s="120"/>
      <c r="J45" s="120"/>
      <c r="K45" s="120"/>
      <c r="L45" s="117"/>
      <c r="M45" s="117"/>
      <c r="N45" s="117"/>
      <c r="O45" s="120"/>
      <c r="P45" s="120"/>
      <c r="Q45" s="120"/>
      <c r="R45" s="126" t="s">
        <v>136</v>
      </c>
      <c r="S45" s="131">
        <f>SUM(S42:S44)</f>
        <v>0</v>
      </c>
      <c r="T45" s="128" t="s">
        <v>138</v>
      </c>
      <c r="U45" s="120"/>
      <c r="V45" s="350"/>
      <c r="W45" s="350"/>
      <c r="X45" s="350"/>
      <c r="Y45" s="350"/>
      <c r="Z45" s="130"/>
      <c r="AA45" s="985"/>
      <c r="AB45" s="977"/>
      <c r="AC45" s="942"/>
      <c r="AD45" s="942"/>
      <c r="AE45" s="942"/>
      <c r="AF45" s="986"/>
      <c r="AG45" s="986"/>
      <c r="AH45" s="986"/>
      <c r="AI45" s="986"/>
    </row>
    <row r="46" spans="1:35" s="88" customFormat="1" ht="14.25" thickTop="1" x14ac:dyDescent="0.2">
      <c r="A46" s="914"/>
      <c r="B46" s="908"/>
      <c r="C46" s="908"/>
      <c r="D46" s="908"/>
      <c r="E46" s="917"/>
      <c r="F46" s="919"/>
      <c r="G46" s="908"/>
      <c r="H46" s="908"/>
      <c r="I46" s="126"/>
      <c r="J46" s="127"/>
      <c r="K46" s="909"/>
      <c r="L46" s="908"/>
      <c r="M46" s="908"/>
      <c r="N46" s="908"/>
      <c r="O46" s="908"/>
      <c r="P46" s="908"/>
      <c r="Q46" s="908"/>
      <c r="R46" s="908"/>
      <c r="S46" s="908"/>
      <c r="T46" s="908"/>
      <c r="U46" s="908"/>
      <c r="W46" s="908"/>
      <c r="X46" s="910"/>
      <c r="Y46" s="910"/>
      <c r="Z46" s="915"/>
      <c r="AA46" s="988"/>
      <c r="AB46" s="989"/>
      <c r="AC46" s="990"/>
      <c r="AD46" s="990"/>
      <c r="AE46" s="990"/>
      <c r="AF46" s="991"/>
      <c r="AG46" s="991"/>
      <c r="AH46" s="991"/>
      <c r="AI46" s="991"/>
    </row>
    <row r="47" spans="1:35" s="88" customFormat="1" x14ac:dyDescent="0.2">
      <c r="A47" s="914"/>
      <c r="B47" s="908"/>
      <c r="C47" s="908"/>
      <c r="D47" s="908"/>
      <c r="E47" s="917"/>
      <c r="F47" s="919"/>
      <c r="G47" s="908"/>
      <c r="H47" s="908"/>
      <c r="I47" s="126"/>
      <c r="J47" s="127"/>
      <c r="K47" s="909"/>
      <c r="L47" s="908"/>
      <c r="M47" s="908"/>
      <c r="N47" s="908"/>
      <c r="O47" s="908"/>
      <c r="P47" s="908"/>
      <c r="Q47" s="908"/>
      <c r="R47" s="908"/>
      <c r="S47" s="908"/>
      <c r="T47" s="908"/>
      <c r="U47" s="908"/>
      <c r="V47" s="1252" t="s">
        <v>785</v>
      </c>
      <c r="W47" s="921" t="s">
        <v>794</v>
      </c>
      <c r="X47" s="922"/>
      <c r="Y47" s="910"/>
      <c r="Z47" s="915"/>
      <c r="AA47" s="988"/>
      <c r="AB47" s="989"/>
      <c r="AC47" s="990"/>
      <c r="AD47" s="990"/>
      <c r="AE47" s="990"/>
      <c r="AF47" s="991"/>
      <c r="AG47" s="991"/>
      <c r="AH47" s="991"/>
      <c r="AI47" s="991"/>
    </row>
    <row r="48" spans="1:35" s="88" customFormat="1" x14ac:dyDescent="0.2">
      <c r="A48" s="914"/>
      <c r="B48" s="908"/>
      <c r="C48" s="908"/>
      <c r="D48" s="908"/>
      <c r="E48" s="917"/>
      <c r="F48" s="919"/>
      <c r="G48" s="908"/>
      <c r="H48" s="908"/>
      <c r="I48" s="908"/>
      <c r="J48" s="908"/>
      <c r="K48" s="908"/>
      <c r="L48" s="908"/>
      <c r="M48" s="908"/>
      <c r="N48" s="908"/>
      <c r="O48" s="908"/>
      <c r="P48" s="908"/>
      <c r="Q48" s="908"/>
      <c r="R48" s="908"/>
      <c r="S48" s="908"/>
      <c r="T48" s="908"/>
      <c r="U48" s="908"/>
      <c r="V48" s="126" t="s">
        <v>424</v>
      </c>
      <c r="W48" s="916">
        <f>AF10</f>
        <v>0</v>
      </c>
      <c r="X48" s="923"/>
      <c r="Y48" s="909"/>
      <c r="Z48" s="917"/>
      <c r="AA48" s="989"/>
      <c r="AB48" s="989"/>
      <c r="AC48" s="990"/>
      <c r="AD48" s="990"/>
      <c r="AE48" s="990"/>
      <c r="AF48" s="991"/>
      <c r="AG48" s="991"/>
      <c r="AH48" s="991"/>
      <c r="AI48" s="991"/>
    </row>
    <row r="49" spans="1:35" s="88" customFormat="1" x14ac:dyDescent="0.2">
      <c r="A49" s="914"/>
      <c r="B49" s="908"/>
      <c r="C49" s="908"/>
      <c r="D49" s="908"/>
      <c r="E49" s="917"/>
      <c r="F49" s="919"/>
      <c r="G49" s="908"/>
      <c r="H49" s="908"/>
      <c r="I49" s="908"/>
      <c r="J49" s="908"/>
      <c r="K49" s="908"/>
      <c r="L49" s="908"/>
      <c r="M49" s="908"/>
      <c r="N49" s="908"/>
      <c r="O49" s="908"/>
      <c r="P49" s="908"/>
      <c r="Q49" s="908"/>
      <c r="R49" s="908"/>
      <c r="S49" s="908"/>
      <c r="T49" s="908"/>
      <c r="U49" s="908"/>
      <c r="V49" s="126" t="s">
        <v>423</v>
      </c>
      <c r="W49" s="916">
        <f>AF36</f>
        <v>0</v>
      </c>
      <c r="X49" s="923"/>
      <c r="Y49" s="909"/>
      <c r="Z49" s="917"/>
      <c r="AA49" s="989"/>
      <c r="AB49" s="989"/>
      <c r="AC49" s="990"/>
      <c r="AD49" s="990"/>
      <c r="AE49" s="990"/>
      <c r="AF49" s="991"/>
      <c r="AG49" s="991"/>
      <c r="AH49" s="991"/>
      <c r="AI49" s="991"/>
    </row>
    <row r="50" spans="1:35" s="88" customFormat="1" x14ac:dyDescent="0.2">
      <c r="A50" s="914"/>
      <c r="B50" s="908"/>
      <c r="C50" s="908"/>
      <c r="D50" s="908"/>
      <c r="E50" s="917"/>
      <c r="F50" s="919"/>
      <c r="G50" s="908"/>
      <c r="H50" s="908"/>
      <c r="I50" s="908"/>
      <c r="J50" s="908"/>
      <c r="K50" s="908"/>
      <c r="L50" s="908"/>
      <c r="M50" s="908"/>
      <c r="N50" s="908"/>
      <c r="O50" s="908"/>
      <c r="P50" s="908"/>
      <c r="Q50" s="908"/>
      <c r="R50" s="908"/>
      <c r="S50" s="908"/>
      <c r="T50" s="908"/>
      <c r="U50" s="908"/>
      <c r="V50" s="126" t="s">
        <v>784</v>
      </c>
      <c r="W50" s="911">
        <f>AG36</f>
        <v>0</v>
      </c>
      <c r="X50" s="923"/>
      <c r="Y50" s="909"/>
      <c r="Z50" s="917"/>
      <c r="AA50" s="989"/>
      <c r="AB50" s="990"/>
      <c r="AC50" s="990"/>
      <c r="AD50" s="990"/>
      <c r="AE50" s="990"/>
      <c r="AF50" s="991"/>
      <c r="AG50" s="991"/>
      <c r="AH50" s="991"/>
      <c r="AI50" s="991"/>
    </row>
    <row r="51" spans="1:35" s="88" customFormat="1" ht="14.25" thickBot="1" x14ac:dyDescent="0.25">
      <c r="A51" s="914"/>
      <c r="B51" s="908"/>
      <c r="C51" s="908"/>
      <c r="D51" s="908"/>
      <c r="E51" s="917"/>
      <c r="F51" s="919"/>
      <c r="G51" s="908"/>
      <c r="H51" s="908"/>
      <c r="I51" s="908"/>
      <c r="J51" s="908"/>
      <c r="K51" s="908"/>
      <c r="L51" s="908"/>
      <c r="M51" s="908"/>
      <c r="N51" s="908"/>
      <c r="O51" s="908"/>
      <c r="P51" s="908"/>
      <c r="Q51" s="908"/>
      <c r="R51" s="908"/>
      <c r="S51" s="908"/>
      <c r="T51" s="908"/>
      <c r="U51" s="908"/>
      <c r="V51" s="126" t="s">
        <v>786</v>
      </c>
      <c r="W51" s="912">
        <f>SUM(W48:W50)</f>
        <v>0</v>
      </c>
      <c r="X51" s="923"/>
      <c r="Y51" s="909"/>
      <c r="Z51" s="917"/>
      <c r="AA51" s="989"/>
      <c r="AB51" s="990"/>
      <c r="AC51" s="990"/>
      <c r="AD51" s="990"/>
      <c r="AE51" s="990"/>
      <c r="AF51" s="991"/>
      <c r="AG51" s="991"/>
      <c r="AH51" s="991"/>
      <c r="AI51" s="991"/>
    </row>
    <row r="52" spans="1:35" ht="14.25" thickTop="1" x14ac:dyDescent="0.2">
      <c r="A52" s="133"/>
      <c r="B52" s="134"/>
      <c r="C52" s="134"/>
      <c r="D52" s="134"/>
      <c r="E52" s="135"/>
      <c r="F52" s="920"/>
      <c r="G52" s="134"/>
      <c r="H52" s="134"/>
      <c r="I52" s="136"/>
      <c r="J52" s="136"/>
      <c r="K52" s="134"/>
      <c r="L52" s="134"/>
      <c r="M52" s="134"/>
      <c r="N52" s="136"/>
      <c r="O52" s="136"/>
      <c r="P52" s="134"/>
      <c r="Q52" s="134"/>
      <c r="R52" s="136"/>
      <c r="S52" s="136"/>
      <c r="T52" s="136"/>
      <c r="U52" s="136"/>
      <c r="V52" s="134"/>
      <c r="W52" s="134"/>
      <c r="X52" s="134"/>
      <c r="Y52" s="134"/>
      <c r="Z52" s="135"/>
      <c r="AA52" s="958"/>
    </row>
    <row r="53" spans="1:35" x14ac:dyDescent="0.2">
      <c r="B53" s="137"/>
      <c r="C53" s="137"/>
      <c r="D53" s="137"/>
      <c r="E53" s="137"/>
      <c r="F53" s="137"/>
      <c r="G53" s="137"/>
      <c r="H53" s="137"/>
      <c r="K53" s="137"/>
      <c r="L53" s="137"/>
      <c r="M53" s="137"/>
      <c r="N53" s="137"/>
      <c r="O53" s="137"/>
      <c r="P53" s="137"/>
      <c r="Q53" s="137"/>
      <c r="V53" s="137"/>
      <c r="W53" s="137"/>
      <c r="X53" s="137"/>
      <c r="Y53" s="137"/>
      <c r="Z53" s="137"/>
      <c r="AA53" s="958"/>
    </row>
    <row r="54" spans="1:35" ht="13.5" customHeight="1" x14ac:dyDescent="0.2">
      <c r="B54" s="137"/>
      <c r="C54" s="137"/>
      <c r="D54" s="137"/>
      <c r="E54" s="137"/>
      <c r="F54" s="137"/>
      <c r="G54" s="137"/>
      <c r="H54" s="137"/>
      <c r="I54" s="137"/>
      <c r="J54" s="137"/>
      <c r="K54" s="137"/>
      <c r="L54" s="137"/>
      <c r="Q54" s="137"/>
      <c r="U54" s="77"/>
      <c r="V54" s="77"/>
      <c r="W54" s="77"/>
      <c r="X54" s="77"/>
      <c r="Y54" s="137"/>
      <c r="Z54" s="137"/>
      <c r="AA54" s="958"/>
    </row>
    <row r="55" spans="1:35" x14ac:dyDescent="0.2">
      <c r="B55" s="137"/>
      <c r="C55" s="137"/>
      <c r="D55" s="137"/>
      <c r="E55" s="137"/>
      <c r="F55" s="137"/>
      <c r="G55" s="137"/>
      <c r="K55" s="137"/>
      <c r="L55" s="137"/>
      <c r="M55" s="120"/>
      <c r="N55" s="120"/>
      <c r="O55" s="120"/>
      <c r="P55" s="349"/>
      <c r="Q55" s="137"/>
      <c r="U55" s="77"/>
      <c r="V55" s="77"/>
      <c r="W55" s="77"/>
      <c r="X55" s="77"/>
      <c r="Y55" s="137"/>
      <c r="Z55" s="137"/>
      <c r="AA55" s="958"/>
    </row>
    <row r="56" spans="1:35" x14ac:dyDescent="0.2">
      <c r="B56" s="137"/>
      <c r="C56" s="137"/>
      <c r="D56" s="137"/>
      <c r="E56" s="137"/>
      <c r="F56" s="137"/>
      <c r="G56" s="137"/>
      <c r="K56" s="137"/>
      <c r="L56" s="137"/>
      <c r="N56" s="120"/>
      <c r="O56" s="120"/>
      <c r="P56" s="120"/>
      <c r="Q56" s="137"/>
      <c r="U56" s="77"/>
      <c r="V56" s="77"/>
      <c r="W56" s="77"/>
      <c r="X56" s="77"/>
      <c r="Y56" s="137"/>
      <c r="Z56" s="137"/>
      <c r="AA56" s="958"/>
    </row>
    <row r="57" spans="1:35" x14ac:dyDescent="0.2">
      <c r="B57" s="137"/>
      <c r="C57" s="137"/>
      <c r="D57" s="137"/>
      <c r="E57" s="137"/>
      <c r="F57" s="137"/>
      <c r="G57" s="137"/>
      <c r="H57" s="137"/>
      <c r="I57" s="137"/>
      <c r="J57" s="137"/>
      <c r="K57" s="137"/>
      <c r="L57" s="137"/>
      <c r="N57" s="120"/>
      <c r="O57" s="120"/>
      <c r="Q57" s="137"/>
      <c r="U57" s="77"/>
      <c r="V57" s="77"/>
      <c r="W57" s="77"/>
      <c r="X57" s="77"/>
      <c r="Y57" s="137"/>
      <c r="Z57" s="137"/>
      <c r="AA57" s="958"/>
    </row>
    <row r="58" spans="1:35" x14ac:dyDescent="0.2">
      <c r="B58" s="137"/>
      <c r="C58" s="137"/>
      <c r="D58" s="137"/>
      <c r="E58" s="137"/>
      <c r="F58" s="137"/>
      <c r="G58" s="137"/>
      <c r="H58" s="137"/>
      <c r="I58" s="137"/>
      <c r="J58" s="137"/>
      <c r="K58" s="137"/>
      <c r="L58" s="137"/>
      <c r="N58" s="120"/>
      <c r="O58" s="120"/>
      <c r="Q58" s="137"/>
      <c r="U58" s="77"/>
      <c r="V58" s="77"/>
      <c r="W58" s="77"/>
      <c r="X58" s="77"/>
      <c r="Y58" s="137"/>
      <c r="Z58" s="137"/>
      <c r="AA58" s="958"/>
    </row>
    <row r="59" spans="1:35" x14ac:dyDescent="0.2">
      <c r="B59" s="137"/>
      <c r="C59" s="137"/>
      <c r="D59" s="137"/>
      <c r="E59" s="137"/>
      <c r="F59" s="137"/>
      <c r="G59" s="137"/>
      <c r="H59" s="137"/>
      <c r="I59" s="137"/>
      <c r="J59" s="137"/>
      <c r="K59" s="137"/>
      <c r="L59" s="137"/>
      <c r="N59" s="120"/>
      <c r="O59" s="120"/>
      <c r="Q59" s="137"/>
      <c r="R59" s="137"/>
      <c r="S59" s="137"/>
      <c r="T59" s="137"/>
      <c r="U59" s="77"/>
      <c r="V59" s="77"/>
      <c r="W59" s="77"/>
      <c r="X59" s="77"/>
      <c r="Y59" s="137"/>
      <c r="Z59" s="137"/>
      <c r="AA59" s="958"/>
    </row>
    <row r="60" spans="1:35" x14ac:dyDescent="0.2">
      <c r="N60" s="120"/>
      <c r="O60" s="120"/>
      <c r="Q60" s="137"/>
      <c r="R60" s="137"/>
      <c r="S60" s="137"/>
      <c r="T60" s="137"/>
      <c r="U60" s="77"/>
      <c r="V60" s="77"/>
      <c r="W60" s="77"/>
      <c r="X60" s="77"/>
      <c r="Y60" s="137"/>
      <c r="Z60" s="137"/>
      <c r="AA60" s="958"/>
    </row>
    <row r="61" spans="1:35" x14ac:dyDescent="0.2">
      <c r="U61" s="77"/>
      <c r="V61" s="77"/>
      <c r="W61" s="77"/>
      <c r="X61" s="77"/>
    </row>
    <row r="62" spans="1:35" x14ac:dyDescent="0.2">
      <c r="U62" s="77"/>
      <c r="V62" s="77"/>
      <c r="W62" s="77"/>
      <c r="X62" s="77"/>
    </row>
  </sheetData>
  <sheetProtection password="DCF0" sheet="1" objects="1" scenarios="1"/>
  <mergeCells count="27">
    <mergeCell ref="A1:Z1"/>
    <mergeCell ref="A2:Z2"/>
    <mergeCell ref="A3:Z3"/>
    <mergeCell ref="A4:Z4"/>
    <mergeCell ref="AF7:AG7"/>
    <mergeCell ref="AC4:AC5"/>
    <mergeCell ref="F5:I5"/>
    <mergeCell ref="S5:V5"/>
    <mergeCell ref="AB4:AB5"/>
    <mergeCell ref="V7:X7"/>
    <mergeCell ref="Y7:Z7"/>
    <mergeCell ref="O7:R7"/>
    <mergeCell ref="S7:U7"/>
    <mergeCell ref="AH7:AI7"/>
    <mergeCell ref="D42:E42"/>
    <mergeCell ref="F7:H7"/>
    <mergeCell ref="I7:K7"/>
    <mergeCell ref="L7:N7"/>
    <mergeCell ref="X8:X9"/>
    <mergeCell ref="W8:W9"/>
    <mergeCell ref="B8:B9"/>
    <mergeCell ref="D44:E44"/>
    <mergeCell ref="D45:E45"/>
    <mergeCell ref="F39:Z39"/>
    <mergeCell ref="B39:E39"/>
    <mergeCell ref="A12:B12"/>
    <mergeCell ref="O41:P41"/>
  </mergeCells>
  <phoneticPr fontId="0" type="noConversion"/>
  <pageMargins left="0.27559055118110198" right="0.27559055118110198" top="0.39370078740157499" bottom="0.43307086614173201" header="0.15748031496063" footer="0.15748031496063"/>
  <pageSetup paperSize="5" scale="51" orientation="landscape" r:id="rId1"/>
  <headerFooter>
    <oddFooter>&amp;L&amp;9&amp;F  
Tab: FGT&amp;A&amp;C&amp;9Printed: &amp;D &amp;T&amp;R&amp;9Page &amp;P of &amp;N</oddFooter>
  </headerFooter>
  <rowBreaks count="2" manualBreakCount="2">
    <brk id="12" max="16383" man="1"/>
    <brk id="37" max="16383" man="1"/>
  </rowBreaks>
  <colBreaks count="1" manualBreakCount="1">
    <brk id="18" max="1048575" man="1"/>
  </col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277"/>
  <sheetViews>
    <sheetView showGridLines="0" zoomScaleNormal="100" workbookViewId="0">
      <pane ySplit="5" topLeftCell="A6" activePane="bottomLeft" state="frozen"/>
      <selection activeCell="B4" sqref="B4"/>
      <selection pane="bottomLeft" activeCell="I18" sqref="I18:J18"/>
    </sheetView>
  </sheetViews>
  <sheetFormatPr defaultColWidth="9.140625" defaultRowHeight="12.75" outlineLevelRow="1" outlineLevelCol="1" x14ac:dyDescent="0.2"/>
  <cols>
    <col min="1" max="1" width="1.7109375" style="34" customWidth="1"/>
    <col min="2" max="2" width="3" style="34" customWidth="1"/>
    <col min="3" max="3" width="7.28515625" style="34" customWidth="1"/>
    <col min="4" max="4" width="16.28515625" style="34" customWidth="1"/>
    <col min="5" max="5" width="11.5703125" style="34" customWidth="1"/>
    <col min="6" max="6" width="5" style="34" customWidth="1"/>
    <col min="7" max="7" width="10.85546875" style="34" bestFit="1" customWidth="1"/>
    <col min="8" max="8" width="11.5703125" style="34" bestFit="1" customWidth="1"/>
    <col min="9" max="9" width="9.42578125" style="34" customWidth="1"/>
    <col min="10" max="10" width="10.28515625" style="34" customWidth="1"/>
    <col min="11" max="11" width="11.140625" style="34" customWidth="1"/>
    <col min="12" max="12" width="11.42578125" style="34" customWidth="1"/>
    <col min="13" max="13" width="10" style="34" customWidth="1"/>
    <col min="14" max="17" width="10" style="52" customWidth="1"/>
    <col min="18" max="18" width="1.7109375" style="52" customWidth="1"/>
    <col min="19" max="19" width="9" style="52" customWidth="1"/>
    <col min="20" max="20" width="10" style="34" customWidth="1"/>
    <col min="21" max="22" width="10" style="52" customWidth="1"/>
    <col min="23" max="23" width="14.140625" style="52" customWidth="1"/>
    <col min="24" max="24" width="14" style="52" customWidth="1"/>
    <col min="25" max="25" width="13.5703125" style="52" customWidth="1"/>
    <col min="26" max="26" width="14.140625" style="52" customWidth="1"/>
    <col min="27" max="27" width="10" style="52" customWidth="1"/>
    <col min="28" max="28" width="2.28515625" style="52" customWidth="1"/>
    <col min="29" max="29" width="10.140625" style="52" customWidth="1"/>
    <col min="30" max="30" width="29.140625" style="1003" hidden="1" customWidth="1" outlineLevel="1"/>
    <col min="31" max="31" width="23.140625" style="1003" hidden="1" customWidth="1" outlineLevel="1"/>
    <col min="32" max="36" width="21.7109375" style="1003" hidden="1" customWidth="1" outlineLevel="1"/>
    <col min="37" max="37" width="9.140625" style="52" collapsed="1"/>
    <col min="38" max="38" width="9.140625" style="52"/>
    <col min="39" max="16384" width="9.140625" style="34"/>
  </cols>
  <sheetData>
    <row r="1" spans="3:44" s="141" customFormat="1" x14ac:dyDescent="0.2">
      <c r="C1" s="1487" t="str">
        <f>Instructions!C2</f>
        <v>Funding Template Version of 1Apr13</v>
      </c>
      <c r="D1" s="1487"/>
      <c r="E1" s="1487"/>
      <c r="F1" s="1487"/>
      <c r="G1" s="1487"/>
      <c r="H1" s="1487"/>
      <c r="I1" s="1487"/>
      <c r="J1" s="1487"/>
      <c r="K1" s="1487"/>
      <c r="L1" s="1487"/>
      <c r="M1" s="1487"/>
      <c r="N1" s="1487"/>
      <c r="O1" s="1487"/>
      <c r="P1" s="1487"/>
      <c r="Q1" s="1487"/>
      <c r="R1" s="1487"/>
      <c r="S1" s="1487"/>
      <c r="T1" s="1487"/>
      <c r="U1" s="1487"/>
      <c r="V1" s="1487"/>
      <c r="W1" s="1487"/>
      <c r="X1" s="1487"/>
      <c r="Y1" s="1487"/>
      <c r="Z1" s="1487"/>
      <c r="AA1" s="1487"/>
      <c r="AB1" s="1487"/>
      <c r="AC1" s="216"/>
      <c r="AD1" s="993" t="s">
        <v>108</v>
      </c>
      <c r="AE1" s="1045" t="str">
        <f>Page1!N1</f>
        <v>Union</v>
      </c>
      <c r="AF1" s="1046"/>
      <c r="AG1" s="1046"/>
      <c r="AH1" s="1046"/>
      <c r="AI1" s="1046"/>
      <c r="AJ1" s="1046"/>
      <c r="AK1" s="216"/>
      <c r="AL1" s="216"/>
      <c r="AM1" s="216"/>
      <c r="AN1" s="216"/>
    </row>
    <row r="2" spans="3:44" s="141" customFormat="1" ht="20.25" x14ac:dyDescent="0.3">
      <c r="C2" s="1275" t="str">
        <f>Instructions!C3</f>
        <v>Funding Template - Union</v>
      </c>
      <c r="D2" s="1275"/>
      <c r="E2" s="1275"/>
      <c r="F2" s="1275"/>
      <c r="G2" s="1275"/>
      <c r="H2" s="1275"/>
      <c r="I2" s="1275"/>
      <c r="J2" s="1275"/>
      <c r="K2" s="1275"/>
      <c r="L2" s="1275"/>
      <c r="M2" s="1275"/>
      <c r="N2" s="1275"/>
      <c r="O2" s="1275"/>
      <c r="P2" s="1275"/>
      <c r="Q2" s="1275"/>
      <c r="R2" s="1275"/>
      <c r="S2" s="1275"/>
      <c r="T2" s="1275"/>
      <c r="U2" s="1275"/>
      <c r="V2" s="1275"/>
      <c r="W2" s="1275"/>
      <c r="X2" s="1275"/>
      <c r="Y2" s="1275"/>
      <c r="Z2" s="1275"/>
      <c r="AA2" s="1275"/>
      <c r="AB2" s="1275"/>
      <c r="AC2" s="216"/>
      <c r="AD2" s="993" t="s">
        <v>113</v>
      </c>
      <c r="AE2" s="1047">
        <f>Page1!J11</f>
        <v>37.5</v>
      </c>
      <c r="AF2" s="1048"/>
      <c r="AG2" s="1048"/>
      <c r="AH2" s="1048"/>
      <c r="AI2" s="1048"/>
      <c r="AJ2" s="1048"/>
      <c r="AK2" s="216"/>
      <c r="AL2" s="216"/>
      <c r="AM2" s="216"/>
      <c r="AN2" s="216"/>
    </row>
    <row r="3" spans="3:44" s="141" customFormat="1" ht="16.5" x14ac:dyDescent="0.2">
      <c r="C3" s="1466" t="s">
        <v>474</v>
      </c>
      <c r="D3" s="1466"/>
      <c r="E3" s="1466"/>
      <c r="F3" s="1466"/>
      <c r="G3" s="1466"/>
      <c r="H3" s="1466"/>
      <c r="I3" s="1466"/>
      <c r="J3" s="1466"/>
      <c r="K3" s="1466"/>
      <c r="L3" s="1466"/>
      <c r="M3" s="1466"/>
      <c r="N3" s="1466"/>
      <c r="O3" s="1466"/>
      <c r="P3" s="1466"/>
      <c r="Q3" s="1466"/>
      <c r="R3" s="1466"/>
      <c r="S3" s="1466"/>
      <c r="T3" s="1466"/>
      <c r="U3" s="1466"/>
      <c r="V3" s="1466"/>
      <c r="W3" s="1466"/>
      <c r="X3" s="1466"/>
      <c r="Y3" s="1466"/>
      <c r="Z3" s="1466"/>
      <c r="AA3" s="1466"/>
      <c r="AB3" s="1466"/>
      <c r="AC3" s="461"/>
      <c r="AD3" s="993" t="s">
        <v>90</v>
      </c>
      <c r="AE3" s="1045" t="str">
        <f>Page1!J13</f>
        <v>Non-Residential</v>
      </c>
      <c r="AF3" s="1046"/>
      <c r="AG3" s="1046"/>
      <c r="AH3" s="1046"/>
      <c r="AI3" s="1046"/>
      <c r="AJ3" s="1046"/>
      <c r="AK3" s="461"/>
      <c r="AL3" s="461"/>
      <c r="AM3" s="461"/>
      <c r="AN3" s="461"/>
      <c r="AO3" s="365"/>
      <c r="AP3" s="365"/>
      <c r="AQ3" s="365"/>
      <c r="AR3" s="365"/>
    </row>
    <row r="4" spans="3:44" s="141" customFormat="1" ht="16.5" customHeight="1" x14ac:dyDescent="0.2">
      <c r="C4" s="1344" t="str">
        <f>Page1!D7</f>
        <v>Burnaby Assocication for Community Inclusion</v>
      </c>
      <c r="D4" s="1344"/>
      <c r="E4" s="1344"/>
      <c r="F4" s="1344"/>
      <c r="G4" s="1344"/>
      <c r="H4" s="1344"/>
      <c r="I4" s="1344"/>
      <c r="J4" s="1344"/>
      <c r="K4" s="1344"/>
      <c r="L4" s="1344"/>
      <c r="M4" s="1344"/>
      <c r="N4" s="1344"/>
      <c r="O4" s="1344"/>
      <c r="P4" s="1344"/>
      <c r="Q4" s="1344"/>
      <c r="R4" s="1344"/>
      <c r="S4" s="1344"/>
      <c r="T4" s="1344"/>
      <c r="U4" s="1344"/>
      <c r="V4" s="1344"/>
      <c r="W4" s="1344"/>
      <c r="X4" s="1344"/>
      <c r="Y4" s="1344"/>
      <c r="Z4" s="1344"/>
      <c r="AA4" s="1344"/>
      <c r="AB4" s="1344"/>
      <c r="AC4" s="216"/>
      <c r="AD4" s="1049" t="s">
        <v>272</v>
      </c>
      <c r="AE4" s="1050">
        <f>IF(AE3="Non-Residential",'LOCK_ME - Page9 - RATES'!F120,'LOCK_ME - Page9 - RATES'!H120)</f>
        <v>0.13830000000000001</v>
      </c>
      <c r="AF4" s="1051"/>
      <c r="AG4" s="1051"/>
      <c r="AH4" s="1051"/>
      <c r="AI4" s="1051"/>
      <c r="AJ4" s="1051"/>
      <c r="AK4" s="216"/>
      <c r="AL4" s="216"/>
      <c r="AM4" s="216"/>
      <c r="AN4" s="216"/>
    </row>
    <row r="5" spans="3:44" s="141" customFormat="1" ht="16.5" customHeight="1" x14ac:dyDescent="0.2">
      <c r="C5" s="1345">
        <f>Page1!D9</f>
        <v>0</v>
      </c>
      <c r="D5" s="1345"/>
      <c r="E5" s="1345"/>
      <c r="F5" s="1345"/>
      <c r="G5" s="1345"/>
      <c r="H5" s="1345"/>
      <c r="I5" s="1345"/>
      <c r="J5" s="1345"/>
      <c r="K5" s="1345"/>
      <c r="L5" s="1345"/>
      <c r="M5" s="1345"/>
      <c r="N5" s="1345"/>
      <c r="O5" s="1345"/>
      <c r="P5" s="1345"/>
      <c r="Q5" s="1345"/>
      <c r="R5" s="1345"/>
      <c r="S5" s="1345"/>
      <c r="T5" s="1345"/>
      <c r="U5" s="1345"/>
      <c r="V5" s="1345"/>
      <c r="W5" s="1345"/>
      <c r="X5" s="1345"/>
      <c r="Y5" s="1345"/>
      <c r="Z5" s="1345"/>
      <c r="AA5" s="1345"/>
      <c r="AB5" s="1345"/>
      <c r="AC5" s="216"/>
      <c r="AD5" s="1049" t="s">
        <v>816</v>
      </c>
      <c r="AE5" s="1050" t="str">
        <f>Page1!J17</f>
        <v>No</v>
      </c>
      <c r="AF5" s="1051"/>
      <c r="AG5" s="1051"/>
      <c r="AH5" s="1051"/>
      <c r="AI5" s="1051"/>
      <c r="AJ5" s="1051"/>
      <c r="AK5" s="216"/>
      <c r="AL5" s="216"/>
      <c r="AM5" s="216"/>
      <c r="AN5" s="216"/>
    </row>
    <row r="6" spans="3:44" s="141" customFormat="1" ht="8.1" customHeight="1" x14ac:dyDescent="0.2">
      <c r="C6" s="777"/>
      <c r="D6" s="777"/>
      <c r="E6" s="777"/>
      <c r="F6" s="777"/>
      <c r="G6" s="777"/>
      <c r="H6" s="777"/>
      <c r="I6" s="777"/>
      <c r="J6" s="777"/>
      <c r="K6" s="777"/>
      <c r="L6" s="777"/>
      <c r="M6" s="777"/>
      <c r="N6" s="373"/>
      <c r="O6" s="373"/>
      <c r="P6" s="373"/>
      <c r="Q6" s="373"/>
      <c r="R6" s="373"/>
      <c r="S6" s="373"/>
      <c r="U6" s="216"/>
      <c r="V6" s="216"/>
      <c r="W6" s="216"/>
      <c r="X6" s="216"/>
      <c r="Y6" s="216"/>
      <c r="Z6" s="216"/>
      <c r="AA6" s="216"/>
      <c r="AB6" s="216"/>
      <c r="AC6" s="216"/>
      <c r="AD6" s="928"/>
      <c r="AE6" s="1011"/>
      <c r="AF6" s="1011"/>
      <c r="AG6" s="1011"/>
      <c r="AH6" s="1011"/>
      <c r="AI6" s="1011"/>
      <c r="AJ6" s="1011"/>
      <c r="AK6" s="216"/>
      <c r="AL6" s="216"/>
      <c r="AM6" s="216"/>
      <c r="AN6" s="216"/>
    </row>
    <row r="7" spans="3:44" s="141" customFormat="1" ht="12.75" customHeight="1" x14ac:dyDescent="0.2">
      <c r="C7" s="1589" t="s">
        <v>700</v>
      </c>
      <c r="D7" s="1589"/>
      <c r="E7" s="1589"/>
      <c r="F7" s="1589"/>
      <c r="G7" s="1589"/>
      <c r="H7" s="1589"/>
      <c r="I7" s="1589"/>
      <c r="J7" s="1589"/>
      <c r="K7" s="1589"/>
      <c r="L7" s="1589"/>
      <c r="M7" s="1589"/>
      <c r="N7" s="1589"/>
      <c r="O7" s="1589"/>
      <c r="P7" s="1589"/>
      <c r="Q7" s="1589"/>
      <c r="R7" s="1589"/>
      <c r="S7" s="1589"/>
      <c r="T7" s="1589"/>
      <c r="U7" s="1589"/>
      <c r="V7" s="1589"/>
      <c r="W7" s="1589"/>
      <c r="X7" s="1589"/>
      <c r="Y7" s="1589"/>
      <c r="Z7" s="1589"/>
      <c r="AA7" s="1589"/>
      <c r="AB7" s="750"/>
      <c r="AC7" s="216"/>
      <c r="AD7" s="928"/>
      <c r="AE7" s="1011"/>
      <c r="AF7" s="1011"/>
      <c r="AG7" s="1011"/>
      <c r="AH7" s="1011"/>
      <c r="AI7" s="1011"/>
      <c r="AJ7" s="1011"/>
      <c r="AK7" s="216"/>
      <c r="AL7" s="216"/>
      <c r="AM7" s="216"/>
      <c r="AN7" s="216"/>
    </row>
    <row r="8" spans="3:44" s="141" customFormat="1" ht="8.1" customHeight="1" x14ac:dyDescent="0.2">
      <c r="C8" s="777"/>
      <c r="D8" s="777"/>
      <c r="E8" s="777"/>
      <c r="F8" s="777"/>
      <c r="G8" s="777"/>
      <c r="H8" s="777"/>
      <c r="I8" s="777"/>
      <c r="J8" s="777"/>
      <c r="K8" s="777"/>
      <c r="L8" s="777"/>
      <c r="M8" s="777"/>
      <c r="N8" s="373"/>
      <c r="O8" s="373"/>
      <c r="P8" s="373"/>
      <c r="Q8" s="373"/>
      <c r="R8" s="373"/>
      <c r="S8" s="373"/>
      <c r="U8" s="216"/>
      <c r="V8" s="216"/>
      <c r="W8" s="216"/>
      <c r="X8" s="216"/>
      <c r="Y8" s="216"/>
      <c r="Z8" s="216"/>
      <c r="AA8" s="216"/>
      <c r="AB8" s="216"/>
      <c r="AC8" s="216"/>
      <c r="AD8" s="928"/>
      <c r="AE8" s="1011"/>
      <c r="AF8" s="1011"/>
      <c r="AG8" s="1011"/>
      <c r="AH8" s="1011"/>
      <c r="AI8" s="1011"/>
      <c r="AJ8" s="1011"/>
      <c r="AK8" s="216"/>
      <c r="AL8" s="216"/>
      <c r="AM8" s="216"/>
      <c r="AN8" s="216"/>
    </row>
    <row r="9" spans="3:44" s="141" customFormat="1" x14ac:dyDescent="0.2">
      <c r="C9" s="212" t="s">
        <v>701</v>
      </c>
      <c r="D9" s="212"/>
      <c r="E9" s="212"/>
      <c r="F9" s="212"/>
      <c r="G9" s="212"/>
      <c r="H9" s="212"/>
      <c r="I9" s="212"/>
      <c r="J9" s="212"/>
      <c r="K9" s="212"/>
      <c r="L9" s="212"/>
      <c r="M9" s="212"/>
      <c r="N9" s="212"/>
      <c r="O9" s="212"/>
      <c r="P9" s="212"/>
      <c r="Q9" s="212"/>
      <c r="R9" s="212"/>
      <c r="S9" s="212"/>
      <c r="T9" s="212"/>
      <c r="U9" s="212"/>
      <c r="V9" s="776"/>
      <c r="W9" s="776"/>
      <c r="X9" s="776"/>
      <c r="Y9" s="776"/>
      <c r="Z9" s="468"/>
      <c r="AA9" s="468"/>
      <c r="AB9" s="216"/>
      <c r="AC9" s="216"/>
      <c r="AD9" s="992"/>
      <c r="AE9" s="992"/>
      <c r="AF9" s="992"/>
      <c r="AG9" s="992"/>
      <c r="AH9" s="992"/>
      <c r="AI9" s="992"/>
      <c r="AJ9" s="992"/>
      <c r="AK9" s="216"/>
      <c r="AL9" s="216"/>
      <c r="AM9" s="216"/>
      <c r="AN9" s="216"/>
    </row>
    <row r="10" spans="3:44" s="141" customFormat="1" ht="12.75" customHeight="1" x14ac:dyDescent="0.2">
      <c r="C10" s="212" t="s">
        <v>652</v>
      </c>
      <c r="D10" s="648"/>
      <c r="E10" s="648"/>
      <c r="F10" s="648"/>
      <c r="G10" s="648"/>
      <c r="H10" s="648"/>
      <c r="I10" s="648"/>
      <c r="J10" s="648"/>
      <c r="K10" s="648"/>
      <c r="L10" s="648"/>
      <c r="M10" s="648"/>
      <c r="N10" s="648"/>
      <c r="O10" s="648"/>
      <c r="P10" s="648"/>
      <c r="Q10" s="648"/>
      <c r="R10" s="648"/>
      <c r="S10" s="648"/>
      <c r="T10" s="648"/>
      <c r="U10" s="648"/>
      <c r="V10" s="648"/>
      <c r="W10" s="648"/>
      <c r="X10" s="648"/>
      <c r="Y10" s="648"/>
      <c r="Z10" s="648"/>
      <c r="AA10" s="468"/>
      <c r="AB10" s="216"/>
      <c r="AC10" s="216"/>
      <c r="AD10" s="992"/>
      <c r="AE10" s="992"/>
      <c r="AF10" s="992"/>
      <c r="AG10" s="992"/>
      <c r="AH10" s="992"/>
      <c r="AI10" s="992"/>
      <c r="AJ10" s="992"/>
      <c r="AK10" s="216"/>
      <c r="AL10" s="216"/>
      <c r="AM10" s="216"/>
      <c r="AN10" s="216"/>
    </row>
    <row r="11" spans="3:44" s="141" customFormat="1" ht="16.5" customHeight="1" x14ac:dyDescent="0.2">
      <c r="C11" s="872" t="s">
        <v>764</v>
      </c>
      <c r="D11" s="212"/>
      <c r="E11" s="212"/>
      <c r="F11" s="212"/>
      <c r="G11" s="212"/>
      <c r="H11" s="212"/>
      <c r="I11" s="212"/>
      <c r="J11" s="212"/>
      <c r="K11" s="212"/>
      <c r="L11" s="212"/>
      <c r="M11" s="212"/>
      <c r="N11" s="758"/>
      <c r="O11" s="758"/>
      <c r="P11" s="758"/>
      <c r="Q11" s="758"/>
      <c r="R11" s="758"/>
      <c r="S11" s="758"/>
      <c r="T11" s="758"/>
      <c r="U11" s="758"/>
      <c r="V11" s="776"/>
      <c r="W11" s="776"/>
      <c r="X11" s="776"/>
      <c r="Y11" s="776"/>
      <c r="Z11" s="468"/>
      <c r="AA11" s="468"/>
      <c r="AB11" s="216"/>
      <c r="AC11" s="216"/>
      <c r="AD11" s="992"/>
      <c r="AE11" s="992"/>
      <c r="AF11" s="992"/>
      <c r="AG11" s="992"/>
      <c r="AH11" s="992"/>
      <c r="AI11" s="992"/>
      <c r="AJ11" s="992"/>
      <c r="AK11" s="216"/>
      <c r="AL11" s="216"/>
      <c r="AM11" s="216"/>
      <c r="AN11" s="216"/>
    </row>
    <row r="12" spans="3:44" s="141" customFormat="1" ht="14.25" customHeight="1" x14ac:dyDescent="0.2">
      <c r="C12" s="872" t="s">
        <v>765</v>
      </c>
      <c r="D12" s="212"/>
      <c r="E12" s="212"/>
      <c r="F12" s="212"/>
      <c r="G12" s="212"/>
      <c r="H12" s="212"/>
      <c r="I12" s="212"/>
      <c r="J12" s="212"/>
      <c r="K12" s="212"/>
      <c r="L12" s="212"/>
      <c r="M12" s="212"/>
      <c r="N12" s="758"/>
      <c r="O12" s="758"/>
      <c r="P12" s="758"/>
      <c r="Q12" s="758"/>
      <c r="R12" s="758"/>
      <c r="S12" s="758"/>
      <c r="T12" s="758"/>
      <c r="U12" s="758"/>
      <c r="V12" s="776"/>
      <c r="W12" s="776"/>
      <c r="X12" s="776"/>
      <c r="Y12" s="776"/>
      <c r="Z12" s="468"/>
      <c r="AA12" s="468"/>
      <c r="AB12" s="216"/>
      <c r="AC12" s="216"/>
      <c r="AD12" s="992"/>
      <c r="AE12" s="992"/>
      <c r="AF12" s="992"/>
      <c r="AG12" s="992"/>
      <c r="AH12" s="992"/>
      <c r="AI12" s="992"/>
      <c r="AJ12" s="992"/>
      <c r="AK12" s="216"/>
      <c r="AL12" s="216"/>
      <c r="AM12" s="216"/>
      <c r="AN12" s="216"/>
    </row>
    <row r="13" spans="3:44" s="141" customFormat="1" ht="15" customHeight="1" x14ac:dyDescent="0.2">
      <c r="C13" s="212" t="s">
        <v>653</v>
      </c>
      <c r="D13" s="212"/>
      <c r="E13" s="212"/>
      <c r="F13" s="212"/>
      <c r="G13" s="212"/>
      <c r="H13" s="212"/>
      <c r="I13" s="212"/>
      <c r="J13" s="212"/>
      <c r="K13" s="212"/>
      <c r="L13" s="212"/>
      <c r="M13" s="212"/>
      <c r="N13" s="212"/>
      <c r="O13" s="212"/>
      <c r="P13" s="212"/>
      <c r="Q13" s="212"/>
      <c r="R13" s="212"/>
      <c r="S13" s="212"/>
      <c r="T13" s="212"/>
      <c r="U13" s="212"/>
      <c r="V13" s="776"/>
      <c r="W13" s="776"/>
      <c r="X13" s="776"/>
      <c r="Y13" s="776"/>
      <c r="Z13" s="468"/>
      <c r="AA13" s="468"/>
      <c r="AB13" s="216"/>
      <c r="AC13" s="216"/>
      <c r="AD13" s="992"/>
      <c r="AE13" s="992"/>
      <c r="AF13" s="992"/>
      <c r="AG13" s="992"/>
      <c r="AH13" s="992"/>
      <c r="AI13" s="992"/>
      <c r="AJ13" s="992"/>
      <c r="AK13" s="216"/>
      <c r="AL13" s="216"/>
      <c r="AM13" s="216"/>
      <c r="AN13" s="216"/>
    </row>
    <row r="14" spans="3:44" s="141" customFormat="1" x14ac:dyDescent="0.2">
      <c r="C14" s="1590" t="s">
        <v>699</v>
      </c>
      <c r="D14" s="1590"/>
      <c r="E14" s="1590"/>
      <c r="F14" s="1590"/>
      <c r="G14" s="1590"/>
      <c r="H14" s="1590"/>
      <c r="I14" s="1590"/>
      <c r="J14" s="1590"/>
      <c r="K14" s="1590"/>
      <c r="L14" s="1590"/>
      <c r="M14" s="1590"/>
      <c r="N14" s="1590"/>
      <c r="O14" s="1590"/>
      <c r="P14" s="1590"/>
      <c r="Q14" s="1590"/>
      <c r="R14" s="1590"/>
      <c r="S14" s="1590"/>
      <c r="T14" s="1590"/>
      <c r="U14" s="1590"/>
      <c r="V14" s="1590"/>
      <c r="W14" s="1590"/>
      <c r="X14" s="1590"/>
      <c r="Y14" s="1590"/>
      <c r="Z14" s="1590"/>
      <c r="AA14" s="468"/>
      <c r="AB14" s="216"/>
      <c r="AC14" s="216"/>
      <c r="AD14" s="992"/>
      <c r="AE14" s="992"/>
      <c r="AF14" s="992"/>
      <c r="AG14" s="992"/>
      <c r="AH14" s="992"/>
      <c r="AI14" s="992"/>
      <c r="AJ14" s="992"/>
      <c r="AK14" s="216"/>
      <c r="AL14" s="216"/>
      <c r="AM14" s="216"/>
      <c r="AN14" s="216"/>
    </row>
    <row r="15" spans="3:44" s="141" customFormat="1" ht="14.45" customHeight="1" thickBot="1" x14ac:dyDescent="0.25">
      <c r="C15" s="814"/>
      <c r="D15" s="814"/>
      <c r="E15" s="814"/>
      <c r="F15" s="814"/>
      <c r="G15" s="814"/>
      <c r="H15" s="814"/>
      <c r="I15" s="814"/>
      <c r="J15" s="814"/>
      <c r="K15" s="814"/>
      <c r="L15" s="814"/>
      <c r="M15" s="814"/>
      <c r="N15" s="814"/>
      <c r="O15" s="814"/>
      <c r="P15" s="814"/>
      <c r="Q15" s="814"/>
      <c r="R15" s="814"/>
      <c r="S15" s="814"/>
      <c r="T15" s="814"/>
      <c r="U15" s="814"/>
      <c r="V15" s="814"/>
      <c r="W15" s="813"/>
      <c r="X15" s="813"/>
      <c r="Y15" s="813"/>
      <c r="Z15" s="468"/>
      <c r="AA15" s="468"/>
      <c r="AB15" s="216"/>
      <c r="AC15" s="216"/>
      <c r="AD15" s="992"/>
      <c r="AE15" s="992"/>
      <c r="AF15" s="992"/>
      <c r="AG15" s="992"/>
      <c r="AH15" s="992"/>
      <c r="AI15" s="992"/>
      <c r="AJ15" s="992"/>
      <c r="AK15" s="216"/>
      <c r="AL15" s="216"/>
      <c r="AM15" s="216"/>
      <c r="AN15" s="216"/>
    </row>
    <row r="16" spans="3:44" s="141" customFormat="1" ht="16.5" thickBot="1" x14ac:dyDescent="0.3">
      <c r="C16" s="759"/>
      <c r="D16" s="1585" t="s">
        <v>615</v>
      </c>
      <c r="E16" s="1585"/>
      <c r="F16" s="1585"/>
      <c r="G16" s="1585"/>
      <c r="H16" s="1585"/>
      <c r="I16" s="1585"/>
      <c r="J16" s="1585"/>
      <c r="K16" s="759"/>
      <c r="L16" s="1585" t="s">
        <v>636</v>
      </c>
      <c r="M16" s="1585"/>
      <c r="N16" s="1585"/>
      <c r="O16" s="1585"/>
      <c r="P16" s="1585"/>
      <c r="Q16" s="1585"/>
      <c r="R16" s="1585"/>
      <c r="S16" s="1585"/>
      <c r="T16" s="776"/>
      <c r="U16" s="1585" t="s">
        <v>672</v>
      </c>
      <c r="V16" s="1585"/>
      <c r="W16" s="1585"/>
      <c r="X16" s="1585"/>
      <c r="Y16" s="1585"/>
      <c r="Z16" s="468"/>
      <c r="AA16" s="468"/>
      <c r="AB16" s="216"/>
      <c r="AC16" s="216"/>
      <c r="AD16" s="1052" t="s">
        <v>660</v>
      </c>
      <c r="AE16" s="1053"/>
      <c r="AF16" s="992"/>
      <c r="AG16" s="1054" t="s">
        <v>645</v>
      </c>
      <c r="AH16" s="992"/>
      <c r="AI16" s="992"/>
      <c r="AJ16" s="992"/>
      <c r="AK16" s="216"/>
      <c r="AL16" s="216"/>
      <c r="AM16" s="216"/>
      <c r="AN16" s="216"/>
    </row>
    <row r="17" spans="3:40" s="141" customFormat="1" ht="6.75" customHeight="1" x14ac:dyDescent="0.25">
      <c r="C17" s="759"/>
      <c r="D17" s="272"/>
      <c r="E17" s="272"/>
      <c r="F17" s="272"/>
      <c r="G17" s="272"/>
      <c r="H17" s="272"/>
      <c r="I17" s="272"/>
      <c r="J17" s="759"/>
      <c r="K17" s="759"/>
      <c r="L17" s="272"/>
      <c r="M17" s="547"/>
      <c r="N17" s="272"/>
      <c r="O17" s="496"/>
      <c r="P17" s="759"/>
      <c r="Q17" s="759"/>
      <c r="R17" s="606"/>
      <c r="S17" s="219"/>
      <c r="T17" s="776"/>
      <c r="U17" s="776"/>
      <c r="V17" s="776"/>
      <c r="W17" s="776"/>
      <c r="X17" s="776"/>
      <c r="Y17" s="776"/>
      <c r="Z17" s="468"/>
      <c r="AA17" s="468"/>
      <c r="AB17" s="216"/>
      <c r="AC17" s="216"/>
      <c r="AD17" s="1055"/>
      <c r="AE17" s="1056"/>
      <c r="AF17" s="992"/>
      <c r="AG17" s="1057"/>
      <c r="AH17" s="992"/>
      <c r="AI17" s="992"/>
      <c r="AJ17" s="992"/>
      <c r="AK17" s="216"/>
      <c r="AL17" s="216"/>
      <c r="AM17" s="216"/>
      <c r="AN17" s="216"/>
    </row>
    <row r="18" spans="3:40" s="141" customFormat="1" ht="16.5" thickBot="1" x14ac:dyDescent="0.3">
      <c r="C18" s="759"/>
      <c r="D18" s="202"/>
      <c r="E18" s="1584" t="s">
        <v>377</v>
      </c>
      <c r="F18" s="1584"/>
      <c r="G18" s="1584"/>
      <c r="H18" s="1584"/>
      <c r="I18" s="1586">
        <f>IF(PTPage7!E9&gt;0,PTPage7!E9,"")</f>
        <v>41899</v>
      </c>
      <c r="J18" s="1586"/>
      <c r="K18" s="759"/>
      <c r="L18" s="202"/>
      <c r="M18" s="202"/>
      <c r="N18" s="1584" t="s">
        <v>637</v>
      </c>
      <c r="O18" s="1584"/>
      <c r="P18" s="1584"/>
      <c r="Q18" s="1596"/>
      <c r="R18" s="1596"/>
      <c r="S18" s="1596"/>
      <c r="T18" s="202"/>
      <c r="U18" s="202"/>
      <c r="V18" s="1584" t="s">
        <v>416</v>
      </c>
      <c r="W18" s="1584"/>
      <c r="X18" s="1584"/>
      <c r="Y18" s="869">
        <f>IF(AE5="No",Page1!D62,0)</f>
        <v>0.09</v>
      </c>
      <c r="Z18" s="468"/>
      <c r="AA18" s="468"/>
      <c r="AB18" s="216"/>
      <c r="AC18" s="216"/>
      <c r="AD18" s="1055" t="s">
        <v>658</v>
      </c>
      <c r="AE18" s="1058">
        <f>IF(Q18&gt;0,Q18,0)</f>
        <v>0</v>
      </c>
      <c r="AF18" s="992"/>
      <c r="AG18" s="1059">
        <f>IF(Q18&gt;0,IF(MONTH(Q18)&gt;3,DATE(YEAR(Q18)+1,3,31),DATE(YEAR(Q18),3,31)),0)</f>
        <v>0</v>
      </c>
      <c r="AH18" s="992"/>
      <c r="AI18" s="992"/>
      <c r="AJ18" s="992"/>
      <c r="AK18" s="216"/>
      <c r="AL18" s="216"/>
      <c r="AM18" s="216"/>
      <c r="AN18" s="216"/>
    </row>
    <row r="19" spans="3:40" s="141" customFormat="1" ht="6.75" customHeight="1" x14ac:dyDescent="0.25">
      <c r="C19" s="759"/>
      <c r="D19" s="202"/>
      <c r="E19" s="752"/>
      <c r="F19" s="752"/>
      <c r="G19" s="749"/>
      <c r="H19" s="753"/>
      <c r="I19" s="754"/>
      <c r="J19" s="754"/>
      <c r="K19" s="759"/>
      <c r="L19" s="753"/>
      <c r="M19" s="753"/>
      <c r="N19" s="753"/>
      <c r="O19" s="202"/>
      <c r="P19" s="202"/>
      <c r="Q19" s="759"/>
      <c r="R19" s="606"/>
      <c r="S19" s="202"/>
      <c r="T19" s="219"/>
      <c r="U19" s="202"/>
      <c r="V19" s="768"/>
      <c r="W19" s="769"/>
      <c r="X19" s="767"/>
      <c r="Y19" s="776"/>
      <c r="Z19" s="468"/>
      <c r="AA19" s="468"/>
      <c r="AB19" s="216"/>
      <c r="AC19" s="216"/>
      <c r="AD19" s="1055"/>
      <c r="AE19" s="1058"/>
      <c r="AF19" s="992"/>
      <c r="AG19" s="992"/>
      <c r="AH19" s="992"/>
      <c r="AI19" s="992"/>
      <c r="AJ19" s="992"/>
      <c r="AK19" s="216"/>
      <c r="AL19" s="216"/>
      <c r="AM19" s="216"/>
      <c r="AN19" s="216"/>
    </row>
    <row r="20" spans="3:40" s="141" customFormat="1" ht="15.75" customHeight="1" thickBot="1" x14ac:dyDescent="0.3">
      <c r="C20" s="759"/>
      <c r="D20" s="202"/>
      <c r="E20" s="1584" t="s">
        <v>378</v>
      </c>
      <c r="F20" s="1584"/>
      <c r="G20" s="1584"/>
      <c r="H20" s="1584"/>
      <c r="I20" s="1586">
        <f>IF(PTPage7!H9&gt;0,PTPage7!H9,"")</f>
        <v>42079</v>
      </c>
      <c r="J20" s="1586"/>
      <c r="K20" s="759"/>
      <c r="L20" s="202"/>
      <c r="M20" s="202"/>
      <c r="N20" s="1584" t="s">
        <v>638</v>
      </c>
      <c r="O20" s="1584"/>
      <c r="P20" s="1584"/>
      <c r="Q20" s="1596"/>
      <c r="R20" s="1596"/>
      <c r="S20" s="1596"/>
      <c r="T20" s="202"/>
      <c r="U20" s="202"/>
      <c r="V20" s="1584" t="s">
        <v>417</v>
      </c>
      <c r="W20" s="1584"/>
      <c r="X20" s="1584"/>
      <c r="Y20" s="869">
        <f>IF(AE5="Yes",Page1!D64,0)</f>
        <v>0</v>
      </c>
      <c r="Z20" s="468"/>
      <c r="AA20" s="468"/>
      <c r="AB20" s="216"/>
      <c r="AC20" s="216"/>
      <c r="AD20" s="1055" t="s">
        <v>667</v>
      </c>
      <c r="AE20" s="1058">
        <f>IF(AE18&gt;0,DATE(YEAR(AE18)+1,MONTH(AE18),DAY(AE18))-1,0)</f>
        <v>0</v>
      </c>
      <c r="AF20" s="992"/>
      <c r="AG20" s="1060"/>
      <c r="AH20" s="992"/>
      <c r="AI20" s="992"/>
      <c r="AJ20" s="992"/>
      <c r="AK20" s="216"/>
      <c r="AL20" s="216"/>
      <c r="AM20" s="216"/>
      <c r="AN20" s="216"/>
    </row>
    <row r="21" spans="3:40" s="141" customFormat="1" ht="6.75" customHeight="1" x14ac:dyDescent="0.25">
      <c r="C21" s="759"/>
      <c r="D21" s="760"/>
      <c r="E21" s="756"/>
      <c r="F21" s="756"/>
      <c r="G21" s="756"/>
      <c r="H21" s="753"/>
      <c r="I21" s="754"/>
      <c r="J21" s="754"/>
      <c r="K21" s="759"/>
      <c r="L21" s="759"/>
      <c r="M21" s="759"/>
      <c r="N21" s="759"/>
      <c r="O21" s="759"/>
      <c r="P21" s="759"/>
      <c r="Q21" s="759"/>
      <c r="R21" s="606"/>
      <c r="S21" s="202"/>
      <c r="T21" s="202"/>
      <c r="U21" s="776"/>
      <c r="V21" s="776"/>
      <c r="W21" s="776"/>
      <c r="X21" s="776"/>
      <c r="Y21" s="776"/>
      <c r="Z21" s="468"/>
      <c r="AA21" s="468"/>
      <c r="AB21" s="216"/>
      <c r="AC21" s="216"/>
      <c r="AD21" s="1055"/>
      <c r="AE21" s="1058"/>
      <c r="AF21" s="992"/>
      <c r="AG21" s="994"/>
      <c r="AH21" s="992"/>
      <c r="AI21" s="992"/>
      <c r="AJ21" s="992"/>
      <c r="AK21" s="216"/>
      <c r="AL21" s="216"/>
      <c r="AM21" s="216"/>
      <c r="AN21" s="216"/>
    </row>
    <row r="22" spans="3:40" s="141" customFormat="1" ht="14.25" customHeight="1" x14ac:dyDescent="0.25">
      <c r="C22" s="759"/>
      <c r="D22" s="1594" t="s">
        <v>676</v>
      </c>
      <c r="E22" s="1594"/>
      <c r="F22" s="1594"/>
      <c r="G22" s="1594"/>
      <c r="H22" s="1594"/>
      <c r="I22" s="1594"/>
      <c r="J22" s="1594"/>
      <c r="K22" s="759"/>
      <c r="L22" s="761"/>
      <c r="M22" s="202"/>
      <c r="N22" s="479"/>
      <c r="O22" s="479"/>
      <c r="P22" s="479"/>
      <c r="Q22" s="761"/>
      <c r="R22" s="606"/>
      <c r="S22" s="202"/>
      <c r="T22" s="202"/>
      <c r="U22" s="776"/>
      <c r="V22" s="776"/>
      <c r="W22" s="776"/>
      <c r="X22" s="776"/>
      <c r="Y22" s="776"/>
      <c r="Z22" s="468"/>
      <c r="AA22" s="468"/>
      <c r="AB22" s="216"/>
      <c r="AC22" s="216"/>
      <c r="AD22" s="1055" t="s">
        <v>668</v>
      </c>
      <c r="AE22" s="1058">
        <f>IF(Q20&gt;AE20,AE20,Q20)</f>
        <v>0</v>
      </c>
      <c r="AF22" s="992"/>
      <c r="AG22" s="1061"/>
      <c r="AH22" s="992"/>
      <c r="AI22" s="992"/>
      <c r="AJ22" s="992"/>
      <c r="AK22" s="216"/>
      <c r="AL22" s="216"/>
      <c r="AM22" s="216"/>
      <c r="AN22" s="216"/>
    </row>
    <row r="23" spans="3:40" s="141" customFormat="1" ht="16.5" thickBot="1" x14ac:dyDescent="0.3">
      <c r="C23" s="759"/>
      <c r="D23" s="1594"/>
      <c r="E23" s="1594"/>
      <c r="F23" s="1594"/>
      <c r="G23" s="1594"/>
      <c r="H23" s="1594"/>
      <c r="I23" s="1594"/>
      <c r="J23" s="1594"/>
      <c r="K23" s="759"/>
      <c r="L23" s="1598" t="s">
        <v>673</v>
      </c>
      <c r="M23" s="1598"/>
      <c r="N23" s="1598"/>
      <c r="O23" s="1598"/>
      <c r="P23" s="1598"/>
      <c r="Q23" s="1593">
        <f>ROUND(IF(AND(Q18&gt;0,Q20&gt;0,Q20&gt;Q18),IF(ISERROR(Q20-Q18)/7,0,(Q20-Q18)/7),0),2)</f>
        <v>0</v>
      </c>
      <c r="R23" s="1593"/>
      <c r="S23" s="1593"/>
      <c r="T23" s="202"/>
      <c r="U23" s="776"/>
      <c r="V23" s="776"/>
      <c r="W23" s="776"/>
      <c r="X23" s="776"/>
      <c r="Y23" s="776"/>
      <c r="Z23" s="468"/>
      <c r="AA23" s="468"/>
      <c r="AB23" s="216"/>
      <c r="AC23" s="216"/>
      <c r="AD23" s="1055" t="s">
        <v>657</v>
      </c>
      <c r="AE23" s="1058">
        <f>IF(Q20&gt;AE22,AE22+1,0)</f>
        <v>0</v>
      </c>
      <c r="AF23" s="992"/>
      <c r="AG23" s="992"/>
      <c r="AH23" s="992"/>
      <c r="AI23" s="992"/>
      <c r="AJ23" s="992"/>
      <c r="AK23" s="216"/>
      <c r="AL23" s="216"/>
      <c r="AM23" s="216"/>
      <c r="AN23" s="216"/>
    </row>
    <row r="24" spans="3:40" s="141" customFormat="1" ht="15.6" hidden="1" customHeight="1" outlineLevel="1" x14ac:dyDescent="0.25">
      <c r="C24" s="759"/>
      <c r="D24" s="759"/>
      <c r="E24" s="871"/>
      <c r="F24" s="871"/>
      <c r="G24" s="871"/>
      <c r="H24" s="871"/>
      <c r="I24" s="871"/>
      <c r="J24" s="871"/>
      <c r="K24" s="759"/>
      <c r="L24" s="759"/>
      <c r="M24" s="759"/>
      <c r="N24" s="759"/>
      <c r="O24" s="759"/>
      <c r="P24" s="759"/>
      <c r="Q24" s="759"/>
      <c r="R24" s="606"/>
      <c r="S24" s="219"/>
      <c r="T24" s="776"/>
      <c r="U24" s="776"/>
      <c r="V24" s="776"/>
      <c r="W24" s="776"/>
      <c r="X24" s="776"/>
      <c r="Y24" s="776"/>
      <c r="Z24" s="468"/>
      <c r="AA24" s="468"/>
      <c r="AB24" s="216"/>
      <c r="AC24" s="216"/>
      <c r="AD24" s="1055" t="s">
        <v>659</v>
      </c>
      <c r="AE24" s="1058">
        <f>IF(AE23&gt;0,DATE(YEAR(AE23)+1,MONTH(AE23),DAY(AE23))-1,0)</f>
        <v>0</v>
      </c>
      <c r="AF24" s="992"/>
      <c r="AG24" s="992"/>
      <c r="AH24" s="992"/>
      <c r="AI24" s="992"/>
      <c r="AJ24" s="992"/>
      <c r="AK24" s="216"/>
      <c r="AL24" s="216"/>
      <c r="AM24" s="216"/>
      <c r="AN24" s="216"/>
    </row>
    <row r="25" spans="3:40" s="141" customFormat="1" ht="16.149999999999999" hidden="1" customHeight="1" outlineLevel="1" thickBot="1" x14ac:dyDescent="0.3">
      <c r="C25" s="759"/>
      <c r="D25" s="759"/>
      <c r="E25" s="871"/>
      <c r="F25" s="871"/>
      <c r="G25" s="871"/>
      <c r="H25" s="871"/>
      <c r="I25" s="871"/>
      <c r="J25" s="871"/>
      <c r="K25" s="759"/>
      <c r="L25" s="759"/>
      <c r="M25" s="759"/>
      <c r="N25" s="759"/>
      <c r="O25" s="759"/>
      <c r="P25" s="759"/>
      <c r="Q25" s="759"/>
      <c r="R25" s="606"/>
      <c r="S25" s="219"/>
      <c r="T25" s="776"/>
      <c r="U25" s="776"/>
      <c r="V25" s="776"/>
      <c r="W25" s="776"/>
      <c r="X25" s="776"/>
      <c r="Y25" s="776"/>
      <c r="Z25" s="468"/>
      <c r="AA25" s="468"/>
      <c r="AB25" s="216"/>
      <c r="AC25" s="216"/>
      <c r="AD25" s="1062" t="s">
        <v>669</v>
      </c>
      <c r="AE25" s="1063">
        <f>IF(AE23&gt;0,IF(Q20&gt;AE24,AE24,Q20),0)</f>
        <v>0</v>
      </c>
      <c r="AF25" s="992"/>
      <c r="AG25" s="992"/>
      <c r="AH25" s="992"/>
      <c r="AI25" s="992"/>
      <c r="AJ25" s="992"/>
      <c r="AK25" s="216"/>
      <c r="AL25" s="216"/>
      <c r="AM25" s="216"/>
      <c r="AN25" s="216"/>
    </row>
    <row r="26" spans="3:40" s="141" customFormat="1" ht="13.9" hidden="1" customHeight="1" outlineLevel="1" x14ac:dyDescent="0.2">
      <c r="C26" s="777"/>
      <c r="D26" s="777"/>
      <c r="E26" s="871"/>
      <c r="F26" s="871"/>
      <c r="G26" s="871"/>
      <c r="H26" s="871"/>
      <c r="I26" s="871"/>
      <c r="J26" s="871"/>
      <c r="K26" s="777"/>
      <c r="L26" s="777"/>
      <c r="M26" s="777"/>
      <c r="N26" s="373"/>
      <c r="O26" s="373"/>
      <c r="P26" s="373"/>
      <c r="Q26" s="373"/>
      <c r="R26" s="373"/>
      <c r="S26" s="373"/>
      <c r="T26" s="202"/>
      <c r="U26" s="219"/>
      <c r="V26" s="219"/>
      <c r="W26" s="219"/>
      <c r="X26" s="219"/>
      <c r="Y26" s="219"/>
      <c r="Z26" s="216"/>
      <c r="AA26" s="216"/>
      <c r="AB26" s="216"/>
      <c r="AC26" s="216"/>
      <c r="AD26" s="928"/>
      <c r="AE26" s="1011"/>
      <c r="AF26" s="1011"/>
      <c r="AG26" s="1011"/>
      <c r="AH26" s="1011"/>
      <c r="AI26" s="1011"/>
      <c r="AJ26" s="1011"/>
      <c r="AK26" s="216"/>
      <c r="AL26" s="216"/>
      <c r="AM26" s="216"/>
      <c r="AN26" s="216"/>
    </row>
    <row r="27" spans="3:40" s="141" customFormat="1" ht="13.9" hidden="1" customHeight="1" outlineLevel="1" x14ac:dyDescent="0.2">
      <c r="C27" s="223"/>
      <c r="D27" s="366"/>
      <c r="E27" s="871"/>
      <c r="F27" s="871"/>
      <c r="G27" s="871"/>
      <c r="H27" s="871"/>
      <c r="I27" s="871"/>
      <c r="J27" s="871"/>
      <c r="K27" s="777"/>
      <c r="L27" s="777"/>
      <c r="M27" s="202"/>
      <c r="N27" s="445"/>
      <c r="O27" s="445"/>
      <c r="P27" s="445"/>
      <c r="Q27" s="445"/>
      <c r="R27" s="445"/>
      <c r="S27" s="445"/>
      <c r="T27" s="202"/>
      <c r="U27" s="445"/>
      <c r="V27" s="445"/>
      <c r="W27" s="445"/>
      <c r="X27" s="445"/>
      <c r="Y27" s="445"/>
      <c r="Z27" s="445"/>
      <c r="AA27" s="445"/>
      <c r="AB27" s="445"/>
      <c r="AC27" s="445"/>
      <c r="AD27" s="928"/>
      <c r="AE27" s="1011"/>
      <c r="AF27" s="1011"/>
      <c r="AG27" s="1011"/>
      <c r="AH27" s="1011"/>
      <c r="AI27" s="1011"/>
      <c r="AJ27" s="1011"/>
      <c r="AK27" s="216"/>
      <c r="AL27" s="216"/>
      <c r="AM27" s="216"/>
      <c r="AN27" s="216"/>
    </row>
    <row r="28" spans="3:40" s="141" customFormat="1" ht="14.45" customHeight="1" collapsed="1" x14ac:dyDescent="0.25">
      <c r="C28" s="202"/>
      <c r="D28" s="1595" t="str">
        <f>IF(AND(Q18&gt;0,Q20&gt;0),IF(OR(Q18&lt;I18,Q18&gt;I20,Q20&lt;I18,Q20&gt;I20),"ERROR ALERT: Your variable term dates and your overall contract term dates appear incompatiable. Please re-check and correct dates.",""),"")</f>
        <v/>
      </c>
      <c r="E28" s="1595"/>
      <c r="F28" s="1595"/>
      <c r="G28" s="1595"/>
      <c r="H28" s="1595"/>
      <c r="I28" s="1595"/>
      <c r="J28" s="1595"/>
      <c r="K28" s="202"/>
      <c r="L28" s="1597" t="str">
        <f>IF(AND(Q20&gt;0,Q18=0),"ERROR ALERT: You are entering variable dates out of order.  Please delete your entry, and enter variable start date first, then end date.","")</f>
        <v/>
      </c>
      <c r="M28" s="1597"/>
      <c r="N28" s="1597"/>
      <c r="O28" s="1597"/>
      <c r="P28" s="1597"/>
      <c r="Q28" s="1597"/>
      <c r="R28" s="1597"/>
      <c r="S28" s="1597"/>
      <c r="T28" s="445"/>
      <c r="U28" s="445"/>
      <c r="V28" s="445"/>
      <c r="W28" s="445"/>
      <c r="X28" s="445"/>
      <c r="Y28" s="445"/>
      <c r="Z28" s="445"/>
      <c r="AA28" s="445"/>
      <c r="AB28" s="445"/>
      <c r="AC28" s="445"/>
      <c r="AD28" s="1064"/>
      <c r="AE28" s="1027" t="s">
        <v>837</v>
      </c>
      <c r="AF28" s="1064"/>
      <c r="AG28" s="1064"/>
      <c r="AH28" s="1064"/>
      <c r="AI28" s="1064"/>
      <c r="AJ28" s="1064"/>
      <c r="AK28" s="216"/>
      <c r="AL28" s="216"/>
      <c r="AM28" s="216"/>
      <c r="AN28" s="216"/>
    </row>
    <row r="29" spans="3:40" s="141" customFormat="1" ht="14.25" customHeight="1" x14ac:dyDescent="0.2">
      <c r="D29" s="1595"/>
      <c r="E29" s="1595"/>
      <c r="F29" s="1595"/>
      <c r="G29" s="1595"/>
      <c r="H29" s="1595"/>
      <c r="I29" s="1595"/>
      <c r="J29" s="1595"/>
      <c r="L29" s="1597"/>
      <c r="M29" s="1597"/>
      <c r="N29" s="1597"/>
      <c r="O29" s="1597"/>
      <c r="P29" s="1597"/>
      <c r="Q29" s="1597"/>
      <c r="R29" s="1597"/>
      <c r="S29" s="1597"/>
      <c r="U29" s="216"/>
      <c r="V29" s="216"/>
      <c r="W29" s="216"/>
      <c r="X29" s="216"/>
      <c r="Y29" s="216"/>
      <c r="Z29" s="216"/>
      <c r="AA29" s="216"/>
      <c r="AB29" s="216"/>
      <c r="AC29" s="216"/>
      <c r="AD29" s="994"/>
      <c r="AE29" s="1005">
        <f>Page1!N62</f>
        <v>0.09</v>
      </c>
      <c r="AF29" s="994"/>
      <c r="AG29" s="994"/>
      <c r="AH29" s="994"/>
      <c r="AI29" s="994"/>
      <c r="AJ29" s="994"/>
      <c r="AK29" s="216"/>
      <c r="AL29" s="216"/>
      <c r="AM29" s="216"/>
      <c r="AN29" s="216"/>
    </row>
    <row r="30" spans="3:40" s="141" customFormat="1" ht="15" x14ac:dyDescent="0.25">
      <c r="C30" s="627" t="s">
        <v>674</v>
      </c>
      <c r="E30" s="479"/>
      <c r="F30" s="479"/>
      <c r="G30" s="479"/>
      <c r="H30" s="479"/>
      <c r="K30" s="479"/>
      <c r="L30" s="1597"/>
      <c r="M30" s="1597"/>
      <c r="N30" s="1597"/>
      <c r="O30" s="1597"/>
      <c r="P30" s="1597"/>
      <c r="Q30" s="1597"/>
      <c r="R30" s="1597"/>
      <c r="S30" s="1597"/>
      <c r="T30" s="216"/>
      <c r="U30" s="216"/>
      <c r="V30" s="216"/>
      <c r="W30" s="216"/>
      <c r="X30" s="216"/>
      <c r="Y30" s="216"/>
      <c r="Z30" s="216"/>
      <c r="AA30" s="216"/>
      <c r="AB30" s="216"/>
      <c r="AC30" s="216"/>
      <c r="AD30" s="1253"/>
      <c r="AE30" s="992"/>
      <c r="AF30" s="1006"/>
      <c r="AG30" s="1006"/>
      <c r="AH30" s="1006"/>
      <c r="AI30" s="1006"/>
      <c r="AJ30" s="1006"/>
      <c r="AK30" s="216"/>
      <c r="AL30" s="216"/>
      <c r="AM30" s="216"/>
      <c r="AN30" s="216"/>
    </row>
    <row r="31" spans="3:40" s="141" customFormat="1" ht="15.75" customHeight="1" x14ac:dyDescent="0.3">
      <c r="C31" s="812" t="str">
        <f>IF(Q23=0,"Please Note:  The following grid will not populate in all necessary cells unless you first enter the Variable Start and End dates above - once you enter the start and end dates above, this alert will disappear.","")</f>
        <v>Please Note:  The following grid will not populate in all necessary cells unless you first enter the Variable Start and End dates above - once you enter the start and end dates above, this alert will disappear.</v>
      </c>
      <c r="D31" s="368"/>
      <c r="N31" s="216"/>
      <c r="O31" s="216"/>
      <c r="P31" s="216"/>
      <c r="Q31" s="216"/>
      <c r="R31" s="216"/>
      <c r="S31" s="216"/>
      <c r="U31" s="216"/>
      <c r="V31" s="216"/>
      <c r="W31" s="216"/>
      <c r="X31" s="216"/>
      <c r="Y31" s="216"/>
      <c r="Z31" s="216"/>
      <c r="AA31" s="216"/>
      <c r="AB31" s="216"/>
      <c r="AC31" s="216"/>
      <c r="AD31" s="928"/>
      <c r="AE31" s="1011"/>
      <c r="AF31" s="1011"/>
      <c r="AG31" s="1011"/>
      <c r="AH31" s="1011"/>
      <c r="AI31" s="1011"/>
      <c r="AJ31" s="1011"/>
      <c r="AK31" s="216"/>
      <c r="AL31" s="216"/>
      <c r="AM31" s="216"/>
      <c r="AN31" s="216"/>
    </row>
    <row r="32" spans="3:40" s="250" customFormat="1" ht="57" customHeight="1" x14ac:dyDescent="0.2">
      <c r="C32" s="639" t="s">
        <v>35</v>
      </c>
      <c r="D32" s="1359" t="s">
        <v>241</v>
      </c>
      <c r="E32" s="1580"/>
      <c r="F32" s="1360"/>
      <c r="G32" s="639" t="s">
        <v>322</v>
      </c>
      <c r="H32" s="816" t="s">
        <v>348</v>
      </c>
      <c r="I32" s="639" t="s">
        <v>9</v>
      </c>
      <c r="J32" s="639" t="s">
        <v>27</v>
      </c>
      <c r="K32" s="639" t="s">
        <v>359</v>
      </c>
      <c r="L32" s="639" t="s">
        <v>363</v>
      </c>
      <c r="M32" s="797" t="s">
        <v>360</v>
      </c>
      <c r="N32" s="797" t="s">
        <v>361</v>
      </c>
      <c r="O32" s="797" t="s">
        <v>362</v>
      </c>
      <c r="P32" s="797" t="s">
        <v>159</v>
      </c>
      <c r="Q32" s="797" t="s">
        <v>55</v>
      </c>
      <c r="R32" s="1576" t="s">
        <v>114</v>
      </c>
      <c r="S32" s="1577"/>
      <c r="T32" s="579" t="s">
        <v>326</v>
      </c>
      <c r="U32" s="797" t="s">
        <v>327</v>
      </c>
      <c r="V32" s="580" t="s">
        <v>328</v>
      </c>
      <c r="W32" s="580" t="s">
        <v>328</v>
      </c>
      <c r="X32" s="797" t="s">
        <v>276</v>
      </c>
      <c r="Y32" s="797" t="s">
        <v>364</v>
      </c>
      <c r="Z32" s="580" t="s">
        <v>365</v>
      </c>
      <c r="AA32" s="580" t="s">
        <v>365</v>
      </c>
      <c r="AB32" s="476"/>
      <c r="AC32" s="469"/>
      <c r="AD32" s="1065" t="s">
        <v>175</v>
      </c>
      <c r="AE32" s="948" t="s">
        <v>124</v>
      </c>
      <c r="AF32" s="943"/>
      <c r="AG32" s="943"/>
      <c r="AH32" s="943"/>
      <c r="AI32" s="943"/>
      <c r="AJ32" s="943"/>
      <c r="AK32" s="371"/>
      <c r="AL32" s="371"/>
      <c r="AM32" s="371"/>
      <c r="AN32" s="371"/>
    </row>
    <row r="33" spans="3:40" s="141" customFormat="1" ht="26.45" customHeight="1" x14ac:dyDescent="0.2">
      <c r="C33" s="1346" t="s">
        <v>323</v>
      </c>
      <c r="D33" s="1347"/>
      <c r="E33" s="1347"/>
      <c r="F33" s="1348"/>
      <c r="G33" s="706">
        <f>SUM(G34:G43)</f>
        <v>0</v>
      </c>
      <c r="H33" s="724">
        <f>SUM(H34:H43)</f>
        <v>0</v>
      </c>
      <c r="I33" s="706">
        <f>SUM(I34:I43)</f>
        <v>0</v>
      </c>
      <c r="J33" s="379"/>
      <c r="K33" s="449">
        <f t="shared" ref="K33:L33" si="0">SUM(K34:K43)</f>
        <v>0</v>
      </c>
      <c r="L33" s="449">
        <f t="shared" si="0"/>
        <v>0</v>
      </c>
      <c r="M33" s="798" t="s">
        <v>330</v>
      </c>
      <c r="N33" s="798" t="s">
        <v>330</v>
      </c>
      <c r="O33" s="798" t="s">
        <v>330</v>
      </c>
      <c r="P33" s="798" t="s">
        <v>330</v>
      </c>
      <c r="Q33" s="798" t="s">
        <v>330</v>
      </c>
      <c r="R33" s="1578" t="s">
        <v>330</v>
      </c>
      <c r="S33" s="1579"/>
      <c r="T33" s="798" t="s">
        <v>330</v>
      </c>
      <c r="U33" s="798" t="s">
        <v>330</v>
      </c>
      <c r="V33" s="480" t="s">
        <v>330</v>
      </c>
      <c r="W33" s="480" t="s">
        <v>319</v>
      </c>
      <c r="X33" s="798" t="s">
        <v>319</v>
      </c>
      <c r="Y33" s="798" t="s">
        <v>319</v>
      </c>
      <c r="Z33" s="480" t="s">
        <v>319</v>
      </c>
      <c r="AA33" s="725" t="s">
        <v>629</v>
      </c>
      <c r="AB33" s="607"/>
      <c r="AC33" s="11"/>
      <c r="AD33" s="1066"/>
      <c r="AE33" s="993"/>
      <c r="AF33" s="994"/>
      <c r="AG33" s="994"/>
      <c r="AH33" s="994"/>
      <c r="AI33" s="994"/>
      <c r="AJ33" s="994"/>
      <c r="AK33" s="216"/>
      <c r="AL33" s="216"/>
      <c r="AM33" s="216"/>
      <c r="AN33" s="216"/>
    </row>
    <row r="34" spans="3:40" s="141" customFormat="1" ht="28.5" customHeight="1" x14ac:dyDescent="0.2">
      <c r="C34" s="372">
        <v>1</v>
      </c>
      <c r="D34" s="1581"/>
      <c r="E34" s="1582"/>
      <c r="F34" s="1583"/>
      <c r="G34" s="641"/>
      <c r="H34" s="642">
        <f>ROUND(IF($Q$23&gt;=52,ROUND($G34,2)*$Q$23*52.25/52,ROUND($G34,2)*$Q$23),2)</f>
        <v>0</v>
      </c>
      <c r="I34" s="376">
        <f t="shared" ref="I34:I43" si="1">IF(NOT($G34=0),$G34/$AE$2,0)</f>
        <v>0</v>
      </c>
      <c r="J34" s="377">
        <f>(IF(NOT($I34=0),VLOOKUP(D34,'LOCK_ME - Page10 - Lookups'!$B$10:$D$43,3,FALSE),0))</f>
        <v>0</v>
      </c>
      <c r="K34" s="642">
        <f>ROUND(H34/8,2)</f>
        <v>0</v>
      </c>
      <c r="L34" s="376">
        <f>H34+K34</f>
        <v>0</v>
      </c>
      <c r="M34" s="799">
        <f>IF(NOT($I34=0),VLOOKUP($AE34,'LOCK_ME - Page10 - Lookups'!$G$48:$N$81,8,FALSE),0)</f>
        <v>0</v>
      </c>
      <c r="N34" s="799">
        <f>IF(NOT(K34=0),'LOCK_ME - Page10 - Lookups'!$N$85,0)</f>
        <v>0</v>
      </c>
      <c r="O34" s="799">
        <f>IF(NOT($L34=0),($M34*$H34+$N34*$K34)/$L34,0)</f>
        <v>0</v>
      </c>
      <c r="P34" s="799">
        <f>IF(NOT($I34=0),VLOOKUP($AE$3,'LOCK_ME - Page10 - Lookups'!$C$89:$H$91,3,FALSE),0)*$O34</f>
        <v>0</v>
      </c>
      <c r="Q34" s="799">
        <f>IF(NOT($I34=0),VLOOKUP($AE$3,'LOCK_ME - Page10 - Lookups'!$C$89:$H$91,4,FALSE),0)*$O34</f>
        <v>0</v>
      </c>
      <c r="R34" s="1591">
        <f>IF(NOT($I34=0),VLOOKUP($AE$3,'LOCK_ME - Page10 - Lookups'!$C$89:$H$91,5,FALSE),0)*$O34</f>
        <v>0</v>
      </c>
      <c r="S34" s="1592"/>
      <c r="T34" s="389">
        <f t="shared" ref="T34:T43" si="2">ROUND(SUM(O34:R34),2)</f>
        <v>0</v>
      </c>
      <c r="U34" s="799">
        <f t="shared" ref="U34:U43" si="3">ROUND(IF($AE$5="No",$Y$18*$T34,$Y$20*$T34),2)</f>
        <v>0</v>
      </c>
      <c r="V34" s="384">
        <f>T34+U34</f>
        <v>0</v>
      </c>
      <c r="W34" s="432">
        <f>ROUND(V34*L34,2)</f>
        <v>0</v>
      </c>
      <c r="X34" s="482"/>
      <c r="Y34" s="799">
        <f t="shared" ref="Y34:Y43" si="4">X34*($Y$18+$Y$20)</f>
        <v>0</v>
      </c>
      <c r="Z34" s="432">
        <f>ROUND(SUM(W34:Y34),2)</f>
        <v>0</v>
      </c>
      <c r="AA34" s="432">
        <f>ROUND(IF(NOT($H34=0),$Z34/$H34,0),2)</f>
        <v>0</v>
      </c>
      <c r="AB34" s="667"/>
      <c r="AC34" s="474"/>
      <c r="AD34" s="1066">
        <f>IF($J34&gt;0,VLOOKUP($D34,'LOCK_ME - Page10 - Lookups'!$B$10:$E$43,4,FALSE),0)</f>
        <v>0</v>
      </c>
      <c r="AE34" s="1067" t="str">
        <f>CONCATENATE(D34,J34)</f>
        <v>0</v>
      </c>
      <c r="AF34" s="1068"/>
      <c r="AG34" s="1068"/>
      <c r="AH34" s="1068"/>
      <c r="AI34" s="1068"/>
      <c r="AJ34" s="1068"/>
      <c r="AK34" s="216"/>
      <c r="AL34" s="216"/>
      <c r="AM34" s="216"/>
      <c r="AN34" s="216"/>
    </row>
    <row r="35" spans="3:40" s="141" customFormat="1" ht="28.5" customHeight="1" x14ac:dyDescent="0.2">
      <c r="C35" s="372">
        <f>C34+1</f>
        <v>2</v>
      </c>
      <c r="D35" s="1581"/>
      <c r="E35" s="1582"/>
      <c r="F35" s="1583"/>
      <c r="G35" s="641"/>
      <c r="H35" s="642">
        <f t="shared" ref="H35:H43" si="5">ROUND(IF($Q$23&gt;=52,ROUND($G35,2)*$Q$23*52.25/52,ROUND($G35,2)*$Q$23),2)</f>
        <v>0</v>
      </c>
      <c r="I35" s="376">
        <f t="shared" si="1"/>
        <v>0</v>
      </c>
      <c r="J35" s="377">
        <f>(IF(NOT($I35=0),VLOOKUP(D35,'LOCK_ME - Page10 - Lookups'!$B$10:$D$43,3,FALSE),0))</f>
        <v>0</v>
      </c>
      <c r="K35" s="642">
        <f t="shared" ref="K35:K43" si="6">ROUND(H35/8,2)</f>
        <v>0</v>
      </c>
      <c r="L35" s="376">
        <f t="shared" ref="L35:L43" si="7">H35+K35</f>
        <v>0</v>
      </c>
      <c r="M35" s="388">
        <f>IF(NOT($I35=0),VLOOKUP($AE35,'LOCK_ME - Page10 - Lookups'!$G$48:$N$81,8,FALSE),0)</f>
        <v>0</v>
      </c>
      <c r="N35" s="388">
        <f>IF(NOT(K35=0),'LOCK_ME - Page10 - Lookups'!$N$85,0)</f>
        <v>0</v>
      </c>
      <c r="O35" s="388">
        <f t="shared" ref="O35:O43" si="8">IF(NOT($L35=0),($M35*$H35+$N35*$K35)/$L35,0)</f>
        <v>0</v>
      </c>
      <c r="P35" s="388">
        <f>IF(NOT($I35=0),VLOOKUP($AE$3,'LOCK_ME - Page10 - Lookups'!$C$89:$H$91,3,FALSE),0)*$O35</f>
        <v>0</v>
      </c>
      <c r="Q35" s="800">
        <f>IF(NOT($I35=0),VLOOKUP($AE$3,'LOCK_ME - Page10 - Lookups'!$C$89:$H$91,4,FALSE),0)*$O35</f>
        <v>0</v>
      </c>
      <c r="R35" s="1587">
        <f>IF(NOT($I35=0),VLOOKUP($AE$3,'LOCK_ME - Page10 - Lookups'!$C$89:$H$91,5,FALSE),0)*$O35</f>
        <v>0</v>
      </c>
      <c r="S35" s="1588"/>
      <c r="T35" s="390">
        <f t="shared" si="2"/>
        <v>0</v>
      </c>
      <c r="U35" s="800">
        <f t="shared" si="3"/>
        <v>0</v>
      </c>
      <c r="V35" s="385">
        <f t="shared" ref="V35:V37" si="9">T35+U35</f>
        <v>0</v>
      </c>
      <c r="W35" s="433">
        <f t="shared" ref="W35:W43" si="10">ROUND(V35*L35,2)</f>
        <v>0</v>
      </c>
      <c r="X35" s="483"/>
      <c r="Y35" s="800">
        <f t="shared" si="4"/>
        <v>0</v>
      </c>
      <c r="Z35" s="433">
        <f t="shared" ref="Z35:Z43" si="11">ROUND(SUM(W35:Y35),2)</f>
        <v>0</v>
      </c>
      <c r="AA35" s="433">
        <f t="shared" ref="AA35:AA43" si="12">ROUND(IF(NOT($H35=0),$Z35/$H35,0),2)</f>
        <v>0</v>
      </c>
      <c r="AB35" s="667"/>
      <c r="AC35" s="470"/>
      <c r="AD35" s="1066">
        <f>IF($J35&gt;0,VLOOKUP($D35,'LOCK_ME - Page10 - Lookups'!$B$10:$E$43,4,FALSE),0)</f>
        <v>0</v>
      </c>
      <c r="AE35" s="1067" t="str">
        <f>CONCATENATE(D35,J35)</f>
        <v>0</v>
      </c>
      <c r="AF35" s="1068"/>
      <c r="AG35" s="1068"/>
      <c r="AH35" s="1068"/>
      <c r="AI35" s="1068"/>
      <c r="AJ35" s="1068"/>
      <c r="AK35" s="216"/>
      <c r="AL35" s="216"/>
      <c r="AM35" s="216"/>
      <c r="AN35" s="216"/>
    </row>
    <row r="36" spans="3:40" s="141" customFormat="1" ht="28.5" customHeight="1" x14ac:dyDescent="0.2">
      <c r="C36" s="372">
        <f t="shared" ref="C36:C43" si="13">C35+1</f>
        <v>3</v>
      </c>
      <c r="D36" s="1581"/>
      <c r="E36" s="1582"/>
      <c r="F36" s="1583"/>
      <c r="G36" s="641"/>
      <c r="H36" s="642">
        <f t="shared" si="5"/>
        <v>0</v>
      </c>
      <c r="I36" s="376">
        <f t="shared" si="1"/>
        <v>0</v>
      </c>
      <c r="J36" s="377">
        <f>(IF(NOT($I36=0),VLOOKUP(D36,'LOCK_ME - Page10 - Lookups'!$B$10:$D$43,3,FALSE),0))</f>
        <v>0</v>
      </c>
      <c r="K36" s="642">
        <f t="shared" si="6"/>
        <v>0</v>
      </c>
      <c r="L36" s="376">
        <f t="shared" si="7"/>
        <v>0</v>
      </c>
      <c r="M36" s="388">
        <f>IF(NOT($I36=0),VLOOKUP($AE36,'LOCK_ME - Page10 - Lookups'!$G$48:$N$81,8,FALSE),0)</f>
        <v>0</v>
      </c>
      <c r="N36" s="388">
        <f>IF(NOT(K36=0),'LOCK_ME - Page10 - Lookups'!$N$85,0)</f>
        <v>0</v>
      </c>
      <c r="O36" s="388">
        <f t="shared" si="8"/>
        <v>0</v>
      </c>
      <c r="P36" s="388">
        <f>IF(NOT($I36=0),VLOOKUP($AE$3,'LOCK_ME - Page10 - Lookups'!$C$89:$H$91,3,FALSE),0)*$O36</f>
        <v>0</v>
      </c>
      <c r="Q36" s="800">
        <f>IF(NOT($I36=0),VLOOKUP($AE$3,'LOCK_ME - Page10 - Lookups'!$C$89:$H$91,4,FALSE),0)*$O36</f>
        <v>0</v>
      </c>
      <c r="R36" s="1587">
        <f>IF(NOT($I36=0),VLOOKUP($AE$3,'LOCK_ME - Page10 - Lookups'!$C$89:$H$91,5,FALSE),0)*$O36</f>
        <v>0</v>
      </c>
      <c r="S36" s="1588"/>
      <c r="T36" s="390">
        <f t="shared" si="2"/>
        <v>0</v>
      </c>
      <c r="U36" s="800">
        <f t="shared" si="3"/>
        <v>0</v>
      </c>
      <c r="V36" s="385">
        <f t="shared" si="9"/>
        <v>0</v>
      </c>
      <c r="W36" s="433">
        <f t="shared" si="10"/>
        <v>0</v>
      </c>
      <c r="X36" s="483"/>
      <c r="Y36" s="800">
        <f t="shared" si="4"/>
        <v>0</v>
      </c>
      <c r="Z36" s="433">
        <f t="shared" si="11"/>
        <v>0</v>
      </c>
      <c r="AA36" s="433">
        <f t="shared" si="12"/>
        <v>0</v>
      </c>
      <c r="AB36" s="667"/>
      <c r="AC36" s="475"/>
      <c r="AD36" s="1066">
        <f>IF($J36&gt;0,VLOOKUP($D36,'LOCK_ME - Page10 - Lookups'!$B$10:$E$43,4,FALSE),0)</f>
        <v>0</v>
      </c>
      <c r="AE36" s="1067" t="str">
        <f>CONCATENATE(D36,J36)</f>
        <v>0</v>
      </c>
      <c r="AF36" s="1068"/>
      <c r="AG36" s="1068"/>
      <c r="AH36" s="1068"/>
      <c r="AI36" s="1068"/>
      <c r="AJ36" s="1068"/>
      <c r="AK36" s="216"/>
      <c r="AL36" s="216"/>
      <c r="AM36" s="216"/>
      <c r="AN36" s="216"/>
    </row>
    <row r="37" spans="3:40" s="141" customFormat="1" ht="28.5" customHeight="1" x14ac:dyDescent="0.2">
      <c r="C37" s="372">
        <f t="shared" si="13"/>
        <v>4</v>
      </c>
      <c r="D37" s="1581"/>
      <c r="E37" s="1582"/>
      <c r="F37" s="1583"/>
      <c r="G37" s="641"/>
      <c r="H37" s="642">
        <f t="shared" si="5"/>
        <v>0</v>
      </c>
      <c r="I37" s="376">
        <f t="shared" si="1"/>
        <v>0</v>
      </c>
      <c r="J37" s="377">
        <f>(IF(NOT($I37=0),VLOOKUP(D37,'LOCK_ME - Page10 - Lookups'!$B$10:$D$43,3,FALSE),0))</f>
        <v>0</v>
      </c>
      <c r="K37" s="642">
        <f t="shared" si="6"/>
        <v>0</v>
      </c>
      <c r="L37" s="376">
        <f t="shared" si="7"/>
        <v>0</v>
      </c>
      <c r="M37" s="388">
        <f>IF(NOT($I37=0),VLOOKUP($AE37,'LOCK_ME - Page10 - Lookups'!$G$48:$N$81,8,FALSE),0)</f>
        <v>0</v>
      </c>
      <c r="N37" s="388">
        <f>IF(NOT(K37=0),'LOCK_ME - Page10 - Lookups'!$N$85,0)</f>
        <v>0</v>
      </c>
      <c r="O37" s="388">
        <f t="shared" si="8"/>
        <v>0</v>
      </c>
      <c r="P37" s="388">
        <f>IF(NOT($I37=0),VLOOKUP($AE$3,'LOCK_ME - Page10 - Lookups'!$C$89:$H$91,3,FALSE),0)*$O37</f>
        <v>0</v>
      </c>
      <c r="Q37" s="800">
        <f>IF(NOT($I37=0),VLOOKUP($AE$3,'LOCK_ME - Page10 - Lookups'!$C$89:$H$91,4,FALSE),0)*$O37</f>
        <v>0</v>
      </c>
      <c r="R37" s="1587">
        <f>IF(NOT($I37=0),VLOOKUP($AE$3,'LOCK_ME - Page10 - Lookups'!$C$89:$H$91,5,FALSE),0)*$O37</f>
        <v>0</v>
      </c>
      <c r="S37" s="1588"/>
      <c r="T37" s="390">
        <f t="shared" si="2"/>
        <v>0</v>
      </c>
      <c r="U37" s="800">
        <f t="shared" si="3"/>
        <v>0</v>
      </c>
      <c r="V37" s="385">
        <f t="shared" si="9"/>
        <v>0</v>
      </c>
      <c r="W37" s="433">
        <f t="shared" si="10"/>
        <v>0</v>
      </c>
      <c r="X37" s="483"/>
      <c r="Y37" s="800">
        <f t="shared" si="4"/>
        <v>0</v>
      </c>
      <c r="Z37" s="433">
        <f t="shared" si="11"/>
        <v>0</v>
      </c>
      <c r="AA37" s="433">
        <f t="shared" si="12"/>
        <v>0</v>
      </c>
      <c r="AB37" s="667"/>
      <c r="AC37" s="470"/>
      <c r="AD37" s="1066">
        <f>IF($J37&gt;0,VLOOKUP($D37,'LOCK_ME - Page10 - Lookups'!$B$10:$E$43,4,FALSE),0)</f>
        <v>0</v>
      </c>
      <c r="AE37" s="1067" t="str">
        <f>CONCATENATE(D37,J37)</f>
        <v>0</v>
      </c>
      <c r="AF37" s="1068"/>
      <c r="AG37" s="1068"/>
      <c r="AH37" s="1068"/>
      <c r="AI37" s="1068"/>
      <c r="AJ37" s="1068"/>
      <c r="AK37" s="216"/>
      <c r="AL37" s="216"/>
      <c r="AM37" s="216"/>
      <c r="AN37" s="216"/>
    </row>
    <row r="38" spans="3:40" s="141" customFormat="1" ht="28.5" customHeight="1" x14ac:dyDescent="0.2">
      <c r="C38" s="372">
        <f t="shared" si="13"/>
        <v>5</v>
      </c>
      <c r="D38" s="1581"/>
      <c r="E38" s="1582"/>
      <c r="F38" s="1583"/>
      <c r="G38" s="641"/>
      <c r="H38" s="642">
        <f t="shared" si="5"/>
        <v>0</v>
      </c>
      <c r="I38" s="376">
        <f t="shared" si="1"/>
        <v>0</v>
      </c>
      <c r="J38" s="377">
        <f>(IF(NOT($I38=0),VLOOKUP(D38,'LOCK_ME - Page10 - Lookups'!$B$10:$D$43,3,FALSE),0))</f>
        <v>0</v>
      </c>
      <c r="K38" s="642">
        <f t="shared" si="6"/>
        <v>0</v>
      </c>
      <c r="L38" s="376">
        <f t="shared" si="7"/>
        <v>0</v>
      </c>
      <c r="M38" s="388">
        <f>IF(NOT($I38=0),VLOOKUP($AE38,'LOCK_ME - Page10 - Lookups'!$G$48:$N$81,8,FALSE),0)</f>
        <v>0</v>
      </c>
      <c r="N38" s="388">
        <f>IF(NOT(K38=0),'LOCK_ME - Page10 - Lookups'!$N$85,0)</f>
        <v>0</v>
      </c>
      <c r="O38" s="388">
        <f t="shared" si="8"/>
        <v>0</v>
      </c>
      <c r="P38" s="388">
        <f>IF(NOT($I38=0),VLOOKUP($AE$3,'LOCK_ME - Page10 - Lookups'!$C$89:$H$91,3,FALSE),0)*$O38</f>
        <v>0</v>
      </c>
      <c r="Q38" s="800">
        <f>IF(NOT($I38=0),VLOOKUP($AE$3,'LOCK_ME - Page10 - Lookups'!$C$89:$H$91,4,FALSE),0)*$O38</f>
        <v>0</v>
      </c>
      <c r="R38" s="1587">
        <f>IF(NOT($I38=0),VLOOKUP($AE$3,'LOCK_ME - Page10 - Lookups'!$C$89:$H$91,5,FALSE),0)*$O38</f>
        <v>0</v>
      </c>
      <c r="S38" s="1588"/>
      <c r="T38" s="390">
        <f t="shared" si="2"/>
        <v>0</v>
      </c>
      <c r="U38" s="800">
        <f t="shared" si="3"/>
        <v>0</v>
      </c>
      <c r="V38" s="385">
        <f t="shared" ref="V38:V43" si="14">T38+U38</f>
        <v>0</v>
      </c>
      <c r="W38" s="433">
        <f t="shared" si="10"/>
        <v>0</v>
      </c>
      <c r="X38" s="483"/>
      <c r="Y38" s="800">
        <f t="shared" si="4"/>
        <v>0</v>
      </c>
      <c r="Z38" s="433">
        <f t="shared" si="11"/>
        <v>0</v>
      </c>
      <c r="AA38" s="433">
        <f t="shared" si="12"/>
        <v>0</v>
      </c>
      <c r="AB38" s="667"/>
      <c r="AC38" s="470"/>
      <c r="AD38" s="1066">
        <f>IF($J38&gt;0,VLOOKUP($D38,'LOCK_ME - Page10 - Lookups'!$B$10:$E$43,4,FALSE),0)</f>
        <v>0</v>
      </c>
      <c r="AE38" s="1067" t="str">
        <f t="shared" ref="AE38:AE43" si="15">CONCATENATE(D38,J38)</f>
        <v>0</v>
      </c>
      <c r="AF38" s="1068"/>
      <c r="AG38" s="1068"/>
      <c r="AH38" s="1068"/>
      <c r="AI38" s="1068"/>
      <c r="AJ38" s="1068"/>
      <c r="AK38" s="216"/>
      <c r="AL38" s="216"/>
      <c r="AM38" s="216"/>
      <c r="AN38" s="216"/>
    </row>
    <row r="39" spans="3:40" s="141" customFormat="1" ht="28.5" customHeight="1" x14ac:dyDescent="0.2">
      <c r="C39" s="372">
        <f t="shared" si="13"/>
        <v>6</v>
      </c>
      <c r="D39" s="1581"/>
      <c r="E39" s="1582"/>
      <c r="F39" s="1583"/>
      <c r="G39" s="641"/>
      <c r="H39" s="642">
        <f t="shared" si="5"/>
        <v>0</v>
      </c>
      <c r="I39" s="376">
        <f t="shared" si="1"/>
        <v>0</v>
      </c>
      <c r="J39" s="377">
        <f>(IF(NOT($I39=0),VLOOKUP(D39,'LOCK_ME - Page10 - Lookups'!$B$10:$D$43,3,FALSE),0))</f>
        <v>0</v>
      </c>
      <c r="K39" s="642">
        <f t="shared" si="6"/>
        <v>0</v>
      </c>
      <c r="L39" s="376">
        <f t="shared" si="7"/>
        <v>0</v>
      </c>
      <c r="M39" s="388">
        <f>IF(NOT($I39=0),VLOOKUP($AE39,'LOCK_ME - Page10 - Lookups'!$G$48:$N$81,8,FALSE),0)</f>
        <v>0</v>
      </c>
      <c r="N39" s="388">
        <f>IF(NOT(K39=0),'LOCK_ME - Page10 - Lookups'!$N$85,0)</f>
        <v>0</v>
      </c>
      <c r="O39" s="388">
        <f t="shared" si="8"/>
        <v>0</v>
      </c>
      <c r="P39" s="388">
        <f>IF(NOT($I39=0),VLOOKUP($AE$3,'LOCK_ME - Page10 - Lookups'!$C$89:$H$91,3,FALSE),0)*$O39</f>
        <v>0</v>
      </c>
      <c r="Q39" s="800">
        <f>IF(NOT($I39=0),VLOOKUP($AE$3,'LOCK_ME - Page10 - Lookups'!$C$89:$H$91,4,FALSE),0)*$O39</f>
        <v>0</v>
      </c>
      <c r="R39" s="1587">
        <f>IF(NOT($I39=0),VLOOKUP($AE$3,'LOCK_ME - Page10 - Lookups'!$C$89:$H$91,5,FALSE),0)*$O39</f>
        <v>0</v>
      </c>
      <c r="S39" s="1588"/>
      <c r="T39" s="390">
        <f t="shared" si="2"/>
        <v>0</v>
      </c>
      <c r="U39" s="800">
        <f t="shared" si="3"/>
        <v>0</v>
      </c>
      <c r="V39" s="385">
        <f t="shared" si="14"/>
        <v>0</v>
      </c>
      <c r="W39" s="433">
        <f t="shared" si="10"/>
        <v>0</v>
      </c>
      <c r="X39" s="483"/>
      <c r="Y39" s="800">
        <f t="shared" si="4"/>
        <v>0</v>
      </c>
      <c r="Z39" s="433">
        <f t="shared" si="11"/>
        <v>0</v>
      </c>
      <c r="AA39" s="433">
        <f t="shared" si="12"/>
        <v>0</v>
      </c>
      <c r="AB39" s="667"/>
      <c r="AC39" s="470"/>
      <c r="AD39" s="1066">
        <f>IF($J39&gt;0,VLOOKUP($D39,'LOCK_ME - Page10 - Lookups'!$B$10:$E$43,4,FALSE),0)</f>
        <v>0</v>
      </c>
      <c r="AE39" s="1067" t="str">
        <f t="shared" si="15"/>
        <v>0</v>
      </c>
      <c r="AF39" s="1068"/>
      <c r="AG39" s="1068"/>
      <c r="AH39" s="1068"/>
      <c r="AI39" s="1068"/>
      <c r="AJ39" s="1068"/>
      <c r="AK39" s="216"/>
      <c r="AL39" s="216"/>
      <c r="AM39" s="216"/>
      <c r="AN39" s="216"/>
    </row>
    <row r="40" spans="3:40" s="141" customFormat="1" ht="28.5" customHeight="1" x14ac:dyDescent="0.2">
      <c r="C40" s="372">
        <f t="shared" si="13"/>
        <v>7</v>
      </c>
      <c r="D40" s="1581"/>
      <c r="E40" s="1582"/>
      <c r="F40" s="1583"/>
      <c r="G40" s="641"/>
      <c r="H40" s="642">
        <f t="shared" si="5"/>
        <v>0</v>
      </c>
      <c r="I40" s="376">
        <f t="shared" si="1"/>
        <v>0</v>
      </c>
      <c r="J40" s="377">
        <f>(IF(NOT($I40=0),VLOOKUP(D40,'LOCK_ME - Page10 - Lookups'!$B$10:$D$43,3,FALSE),0))</f>
        <v>0</v>
      </c>
      <c r="K40" s="642">
        <f t="shared" si="6"/>
        <v>0</v>
      </c>
      <c r="L40" s="376">
        <f t="shared" si="7"/>
        <v>0</v>
      </c>
      <c r="M40" s="388">
        <f>IF(NOT($I40=0),VLOOKUP($AE40,'LOCK_ME - Page10 - Lookups'!$G$48:$N$81,8,FALSE),0)</f>
        <v>0</v>
      </c>
      <c r="N40" s="388">
        <f>IF(NOT(K40=0),'LOCK_ME - Page10 - Lookups'!$N$85,0)</f>
        <v>0</v>
      </c>
      <c r="O40" s="388">
        <f t="shared" si="8"/>
        <v>0</v>
      </c>
      <c r="P40" s="388">
        <f>IF(NOT($I40=0),VLOOKUP($AE$3,'LOCK_ME - Page10 - Lookups'!$C$89:$H$91,3,FALSE),0)*$O40</f>
        <v>0</v>
      </c>
      <c r="Q40" s="800">
        <f>IF(NOT($I40=0),VLOOKUP($AE$3,'LOCK_ME - Page10 - Lookups'!$C$89:$H$91,4,FALSE),0)*$O40</f>
        <v>0</v>
      </c>
      <c r="R40" s="1587">
        <f>IF(NOT($I40=0),VLOOKUP($AE$3,'LOCK_ME - Page10 - Lookups'!$C$89:$H$91,5,FALSE),0)*$O40</f>
        <v>0</v>
      </c>
      <c r="S40" s="1588"/>
      <c r="T40" s="390">
        <f t="shared" si="2"/>
        <v>0</v>
      </c>
      <c r="U40" s="800">
        <f t="shared" si="3"/>
        <v>0</v>
      </c>
      <c r="V40" s="385">
        <f t="shared" si="14"/>
        <v>0</v>
      </c>
      <c r="W40" s="433">
        <f t="shared" si="10"/>
        <v>0</v>
      </c>
      <c r="X40" s="483"/>
      <c r="Y40" s="800">
        <f t="shared" si="4"/>
        <v>0</v>
      </c>
      <c r="Z40" s="433">
        <f t="shared" si="11"/>
        <v>0</v>
      </c>
      <c r="AA40" s="433">
        <f t="shared" si="12"/>
        <v>0</v>
      </c>
      <c r="AB40" s="667"/>
      <c r="AC40" s="470"/>
      <c r="AD40" s="1066">
        <f>IF($J40&gt;0,VLOOKUP($D40,'LOCK_ME - Page10 - Lookups'!$B$10:$E$43,4,FALSE),0)</f>
        <v>0</v>
      </c>
      <c r="AE40" s="1067" t="str">
        <f t="shared" si="15"/>
        <v>0</v>
      </c>
      <c r="AF40" s="1068"/>
      <c r="AG40" s="1068"/>
      <c r="AH40" s="1068"/>
      <c r="AI40" s="1068"/>
      <c r="AJ40" s="1068"/>
      <c r="AK40" s="216"/>
      <c r="AL40" s="216"/>
      <c r="AM40" s="216"/>
      <c r="AN40" s="216"/>
    </row>
    <row r="41" spans="3:40" s="141" customFormat="1" ht="28.5" customHeight="1" x14ac:dyDescent="0.2">
      <c r="C41" s="372">
        <f t="shared" si="13"/>
        <v>8</v>
      </c>
      <c r="D41" s="1581"/>
      <c r="E41" s="1582"/>
      <c r="F41" s="1583"/>
      <c r="G41" s="641"/>
      <c r="H41" s="642">
        <f t="shared" si="5"/>
        <v>0</v>
      </c>
      <c r="I41" s="376">
        <f t="shared" si="1"/>
        <v>0</v>
      </c>
      <c r="J41" s="377">
        <f>(IF(NOT($I41=0),VLOOKUP(D41,'LOCK_ME - Page10 - Lookups'!$B$10:$D$43,3,FALSE),0))</f>
        <v>0</v>
      </c>
      <c r="K41" s="642">
        <f t="shared" si="6"/>
        <v>0</v>
      </c>
      <c r="L41" s="376">
        <f t="shared" si="7"/>
        <v>0</v>
      </c>
      <c r="M41" s="388">
        <f>IF(NOT($I41=0),VLOOKUP($AE41,'LOCK_ME - Page10 - Lookups'!$G$48:$N$81,8,FALSE),0)</f>
        <v>0</v>
      </c>
      <c r="N41" s="388">
        <f>IF(NOT(K41=0),'LOCK_ME - Page10 - Lookups'!$N$85,0)</f>
        <v>0</v>
      </c>
      <c r="O41" s="388">
        <f t="shared" si="8"/>
        <v>0</v>
      </c>
      <c r="P41" s="388">
        <f>IF(NOT($I41=0),VLOOKUP($AE$3,'LOCK_ME - Page10 - Lookups'!$C$89:$H$91,3,FALSE),0)*$O41</f>
        <v>0</v>
      </c>
      <c r="Q41" s="800">
        <f>IF(NOT($I41=0),VLOOKUP($AE$3,'LOCK_ME - Page10 - Lookups'!$C$89:$H$91,4,FALSE),0)*$O41</f>
        <v>0</v>
      </c>
      <c r="R41" s="1587">
        <f>IF(NOT($I41=0),VLOOKUP($AE$3,'LOCK_ME - Page10 - Lookups'!$C$89:$H$91,5,FALSE),0)*$O41</f>
        <v>0</v>
      </c>
      <c r="S41" s="1588"/>
      <c r="T41" s="390">
        <f t="shared" si="2"/>
        <v>0</v>
      </c>
      <c r="U41" s="800">
        <f t="shared" si="3"/>
        <v>0</v>
      </c>
      <c r="V41" s="385">
        <f t="shared" si="14"/>
        <v>0</v>
      </c>
      <c r="W41" s="433">
        <f t="shared" si="10"/>
        <v>0</v>
      </c>
      <c r="X41" s="483"/>
      <c r="Y41" s="800">
        <f t="shared" si="4"/>
        <v>0</v>
      </c>
      <c r="Z41" s="433">
        <f t="shared" si="11"/>
        <v>0</v>
      </c>
      <c r="AA41" s="433">
        <f t="shared" si="12"/>
        <v>0</v>
      </c>
      <c r="AB41" s="667"/>
      <c r="AC41" s="470"/>
      <c r="AD41" s="1066">
        <f>IF($J41&gt;0,VLOOKUP($D41,'LOCK_ME - Page10 - Lookups'!$B$10:$E$43,4,FALSE),0)</f>
        <v>0</v>
      </c>
      <c r="AE41" s="1067" t="str">
        <f t="shared" si="15"/>
        <v>0</v>
      </c>
      <c r="AF41" s="1068"/>
      <c r="AG41" s="1068"/>
      <c r="AH41" s="1068"/>
      <c r="AI41" s="1068"/>
      <c r="AJ41" s="1068"/>
      <c r="AK41" s="216"/>
      <c r="AL41" s="216"/>
      <c r="AM41" s="216"/>
      <c r="AN41" s="216"/>
    </row>
    <row r="42" spans="3:40" s="141" customFormat="1" ht="28.5" customHeight="1" x14ac:dyDescent="0.2">
      <c r="C42" s="372">
        <f t="shared" si="13"/>
        <v>9</v>
      </c>
      <c r="D42" s="1581"/>
      <c r="E42" s="1582"/>
      <c r="F42" s="1583"/>
      <c r="G42" s="641"/>
      <c r="H42" s="642">
        <f t="shared" si="5"/>
        <v>0</v>
      </c>
      <c r="I42" s="376">
        <f t="shared" si="1"/>
        <v>0</v>
      </c>
      <c r="J42" s="377">
        <f>(IF(NOT($I42=0),VLOOKUP(D42,'LOCK_ME - Page10 - Lookups'!$B$10:$D$43,3,FALSE),0))</f>
        <v>0</v>
      </c>
      <c r="K42" s="642">
        <f t="shared" si="6"/>
        <v>0</v>
      </c>
      <c r="L42" s="376">
        <f t="shared" si="7"/>
        <v>0</v>
      </c>
      <c r="M42" s="388">
        <f>IF(NOT($I42=0),VLOOKUP($AE42,'LOCK_ME - Page10 - Lookups'!$G$48:$N$81,8,FALSE),0)</f>
        <v>0</v>
      </c>
      <c r="N42" s="388">
        <f>IF(NOT(K42=0),'LOCK_ME - Page10 - Lookups'!$N$85,0)</f>
        <v>0</v>
      </c>
      <c r="O42" s="388">
        <f t="shared" si="8"/>
        <v>0</v>
      </c>
      <c r="P42" s="388">
        <f>IF(NOT($I42=0),VLOOKUP($AE$3,'LOCK_ME - Page10 - Lookups'!$C$89:$H$91,3,FALSE),0)*$O42</f>
        <v>0</v>
      </c>
      <c r="Q42" s="800">
        <f>IF(NOT($I42=0),VLOOKUP($AE$3,'LOCK_ME - Page10 - Lookups'!$C$89:$H$91,4,FALSE),0)*$O42</f>
        <v>0</v>
      </c>
      <c r="R42" s="1587">
        <f>IF(NOT($I42=0),VLOOKUP($AE$3,'LOCK_ME - Page10 - Lookups'!$C$89:$H$91,5,FALSE),0)*$O42</f>
        <v>0</v>
      </c>
      <c r="S42" s="1588"/>
      <c r="T42" s="390">
        <f t="shared" si="2"/>
        <v>0</v>
      </c>
      <c r="U42" s="800">
        <f t="shared" si="3"/>
        <v>0</v>
      </c>
      <c r="V42" s="385">
        <f t="shared" si="14"/>
        <v>0</v>
      </c>
      <c r="W42" s="433">
        <f t="shared" si="10"/>
        <v>0</v>
      </c>
      <c r="X42" s="483"/>
      <c r="Y42" s="800">
        <f t="shared" si="4"/>
        <v>0</v>
      </c>
      <c r="Z42" s="433">
        <f t="shared" si="11"/>
        <v>0</v>
      </c>
      <c r="AA42" s="433">
        <f t="shared" si="12"/>
        <v>0</v>
      </c>
      <c r="AB42" s="667"/>
      <c r="AC42" s="470"/>
      <c r="AD42" s="1066">
        <f>IF($J42&gt;0,VLOOKUP($D42,'LOCK_ME - Page10 - Lookups'!$B$10:$E$43,4,FALSE),0)</f>
        <v>0</v>
      </c>
      <c r="AE42" s="1067" t="str">
        <f t="shared" si="15"/>
        <v>0</v>
      </c>
      <c r="AF42" s="1068"/>
      <c r="AG42" s="1068"/>
      <c r="AH42" s="1068"/>
      <c r="AI42" s="1068"/>
      <c r="AJ42" s="1068"/>
      <c r="AK42" s="216"/>
      <c r="AL42" s="216"/>
      <c r="AM42" s="216"/>
      <c r="AN42" s="216"/>
    </row>
    <row r="43" spans="3:40" s="141" customFormat="1" ht="28.5" customHeight="1" x14ac:dyDescent="0.2">
      <c r="C43" s="372">
        <f t="shared" si="13"/>
        <v>10</v>
      </c>
      <c r="D43" s="1581"/>
      <c r="E43" s="1582"/>
      <c r="F43" s="1583"/>
      <c r="G43" s="641"/>
      <c r="H43" s="642">
        <f t="shared" si="5"/>
        <v>0</v>
      </c>
      <c r="I43" s="376">
        <f t="shared" si="1"/>
        <v>0</v>
      </c>
      <c r="J43" s="377">
        <f>(IF(NOT($I43=0),VLOOKUP(D43,'LOCK_ME - Page10 - Lookups'!$B$10:$D$43,3,FALSE),0))</f>
        <v>0</v>
      </c>
      <c r="K43" s="642">
        <f t="shared" si="6"/>
        <v>0</v>
      </c>
      <c r="L43" s="376">
        <f t="shared" si="7"/>
        <v>0</v>
      </c>
      <c r="M43" s="388">
        <f>IF(NOT($I43=0),VLOOKUP($AE43,'LOCK_ME - Page10 - Lookups'!$G$48:$N$81,8,FALSE),0)</f>
        <v>0</v>
      </c>
      <c r="N43" s="388">
        <f>IF(NOT(K43=0),'LOCK_ME - Page10 - Lookups'!$N$85,0)</f>
        <v>0</v>
      </c>
      <c r="O43" s="388">
        <f t="shared" si="8"/>
        <v>0</v>
      </c>
      <c r="P43" s="388">
        <f>IF(NOT($I43=0),VLOOKUP($AE$3,'LOCK_ME - Page10 - Lookups'!$C$89:$H$91,3,FALSE),0)*$O43</f>
        <v>0</v>
      </c>
      <c r="Q43" s="800">
        <f>IF(NOT($I43=0),VLOOKUP($AE$3,'LOCK_ME - Page10 - Lookups'!$C$89:$H$91,4,FALSE),0)*$O43</f>
        <v>0</v>
      </c>
      <c r="R43" s="1631">
        <f>IF(NOT($I43=0),VLOOKUP($AE$3,'LOCK_ME - Page10 - Lookups'!$C$89:$H$91,5,FALSE),0)*$O43</f>
        <v>0</v>
      </c>
      <c r="S43" s="1632"/>
      <c r="T43" s="390">
        <f t="shared" si="2"/>
        <v>0</v>
      </c>
      <c r="U43" s="800">
        <f t="shared" si="3"/>
        <v>0</v>
      </c>
      <c r="V43" s="385">
        <f t="shared" si="14"/>
        <v>0</v>
      </c>
      <c r="W43" s="433">
        <f t="shared" si="10"/>
        <v>0</v>
      </c>
      <c r="X43" s="483"/>
      <c r="Y43" s="800">
        <f t="shared" si="4"/>
        <v>0</v>
      </c>
      <c r="Z43" s="433">
        <f t="shared" si="11"/>
        <v>0</v>
      </c>
      <c r="AA43" s="433">
        <f t="shared" si="12"/>
        <v>0</v>
      </c>
      <c r="AB43" s="667"/>
      <c r="AC43" s="470"/>
      <c r="AD43" s="1066">
        <f>IF($J43&gt;0,VLOOKUP($D43,'LOCK_ME - Page10 - Lookups'!$B$10:$E$43,4,FALSE),0)</f>
        <v>0</v>
      </c>
      <c r="AE43" s="1067" t="str">
        <f t="shared" si="15"/>
        <v>0</v>
      </c>
      <c r="AF43" s="1068"/>
      <c r="AG43" s="1068"/>
      <c r="AH43" s="1068"/>
      <c r="AI43" s="1068"/>
      <c r="AJ43" s="1068"/>
      <c r="AK43" s="216"/>
      <c r="AL43" s="216"/>
      <c r="AM43" s="216"/>
      <c r="AN43" s="216"/>
    </row>
    <row r="44" spans="3:40" s="381" customFormat="1" ht="15" customHeight="1" thickBot="1" x14ac:dyDescent="0.25">
      <c r="C44" s="1346" t="s">
        <v>324</v>
      </c>
      <c r="D44" s="1347"/>
      <c r="E44" s="1347"/>
      <c r="F44" s="1348"/>
      <c r="G44" s="706">
        <f>SUM(G34:G43)</f>
        <v>0</v>
      </c>
      <c r="H44" s="724">
        <f>SUM(H34:H43)</f>
        <v>0</v>
      </c>
      <c r="I44" s="708">
        <f>SUM(I34:I43)</f>
        <v>0</v>
      </c>
      <c r="J44" s="707"/>
      <c r="K44" s="708">
        <f>SUM(K34:K43)</f>
        <v>0</v>
      </c>
      <c r="L44" s="708">
        <f>SUM(L34:L43)</f>
        <v>0</v>
      </c>
      <c r="M44" s="804">
        <f>IF(NOT($L$44=0),SUMPRODUCT(M$34:M$43,$L$34:$L$43)/$L$44,0)</f>
        <v>0</v>
      </c>
      <c r="N44" s="804">
        <f t="shared" ref="N44:V44" si="16">IF(NOT($L$44=0),SUMPRODUCT(N$34:N$43,$L$34:$L$43)/$L$44,0)</f>
        <v>0</v>
      </c>
      <c r="O44" s="804">
        <f t="shared" si="16"/>
        <v>0</v>
      </c>
      <c r="P44" s="804">
        <f t="shared" si="16"/>
        <v>0</v>
      </c>
      <c r="Q44" s="804">
        <f t="shared" si="16"/>
        <v>0</v>
      </c>
      <c r="R44" s="1633">
        <f>IF(NOT($L$44=0),SUMPRODUCT(S$34:S$43,$L$34:$L$43)/$L$44,0)</f>
        <v>0</v>
      </c>
      <c r="S44" s="1634"/>
      <c r="T44" s="804">
        <f t="shared" si="16"/>
        <v>0</v>
      </c>
      <c r="U44" s="804">
        <f t="shared" si="16"/>
        <v>0</v>
      </c>
      <c r="V44" s="804">
        <f t="shared" si="16"/>
        <v>0</v>
      </c>
      <c r="W44" s="434">
        <f>SUM(W34:W43)</f>
        <v>0</v>
      </c>
      <c r="X44" s="434">
        <f>SUM(X34:X43)</f>
        <v>0</v>
      </c>
      <c r="Y44" s="434">
        <f>SUM(Y34:Y43)</f>
        <v>0</v>
      </c>
      <c r="Z44" s="434">
        <f>SUM(Z34:Z43)</f>
        <v>0</v>
      </c>
      <c r="AA44" s="434">
        <f>IF(NOT($H$44=0),SUMPRODUCT(AA$34:AA$43,$H$34:$H$43)/$H$44,0)</f>
        <v>0</v>
      </c>
      <c r="AB44" s="608"/>
      <c r="AC44" s="468"/>
      <c r="AD44" s="1069"/>
      <c r="AE44" s="1069"/>
      <c r="AF44" s="1069"/>
      <c r="AG44" s="1069"/>
      <c r="AH44" s="1069"/>
      <c r="AI44" s="1069"/>
      <c r="AJ44" s="1069"/>
      <c r="AK44" s="380"/>
      <c r="AL44" s="380"/>
      <c r="AM44" s="380"/>
      <c r="AN44" s="380"/>
    </row>
    <row r="45" spans="3:40" s="141" customFormat="1" ht="9" customHeight="1" x14ac:dyDescent="0.25">
      <c r="C45" s="203"/>
      <c r="D45" s="202"/>
      <c r="H45" s="369"/>
      <c r="I45" s="370"/>
      <c r="K45" s="472"/>
      <c r="L45" s="472"/>
      <c r="M45" s="472"/>
      <c r="N45" s="472"/>
      <c r="O45" s="472"/>
      <c r="P45" s="472"/>
      <c r="Q45" s="472"/>
      <c r="R45" s="472"/>
      <c r="S45" s="472"/>
      <c r="T45" s="216"/>
      <c r="U45" s="574"/>
      <c r="V45" s="216"/>
      <c r="W45" s="216"/>
      <c r="X45" s="216"/>
      <c r="Y45" s="216"/>
      <c r="Z45" s="478"/>
      <c r="AA45" s="478"/>
      <c r="AB45" s="216"/>
      <c r="AC45" s="216"/>
      <c r="AD45" s="992"/>
      <c r="AE45" s="992"/>
      <c r="AF45" s="992"/>
      <c r="AG45" s="992"/>
      <c r="AH45" s="992"/>
      <c r="AI45" s="992"/>
      <c r="AJ45" s="992"/>
      <c r="AK45" s="463"/>
      <c r="AL45" s="216"/>
      <c r="AM45" s="216"/>
      <c r="AN45" s="216"/>
    </row>
    <row r="46" spans="3:40" x14ac:dyDescent="0.2">
      <c r="C46" s="575"/>
      <c r="D46" s="1616" t="s">
        <v>30</v>
      </c>
      <c r="E46" s="1617"/>
      <c r="F46" s="1617"/>
      <c r="G46" s="1617"/>
      <c r="H46" s="1618"/>
      <c r="I46" s="1601" t="s">
        <v>663</v>
      </c>
      <c r="J46" s="1601"/>
      <c r="K46" s="1601" t="s">
        <v>664</v>
      </c>
      <c r="L46" s="1601"/>
      <c r="M46" s="1635" t="s">
        <v>475</v>
      </c>
      <c r="N46" s="1636"/>
      <c r="O46" s="1625" t="s">
        <v>538</v>
      </c>
      <c r="P46" s="1625"/>
      <c r="Q46" s="1625"/>
      <c r="R46" s="1625"/>
      <c r="S46" s="1625"/>
      <c r="T46" s="1625"/>
      <c r="U46" s="1625"/>
      <c r="V46" s="1625"/>
      <c r="W46" s="1625"/>
      <c r="X46" s="1625"/>
      <c r="Y46" s="1625"/>
      <c r="Z46" s="34"/>
      <c r="AA46" s="34"/>
      <c r="AB46" s="34"/>
      <c r="AC46" s="476"/>
      <c r="AD46" s="993" t="s">
        <v>489</v>
      </c>
      <c r="AE46" s="993" t="s">
        <v>488</v>
      </c>
      <c r="AF46" s="993" t="s">
        <v>490</v>
      </c>
      <c r="AG46" s="994"/>
      <c r="AH46" s="994"/>
      <c r="AI46" s="994"/>
      <c r="AJ46" s="994"/>
      <c r="AK46" s="463"/>
      <c r="AM46" s="52"/>
      <c r="AN46" s="52"/>
    </row>
    <row r="47" spans="3:40" x14ac:dyDescent="0.2">
      <c r="C47" s="575"/>
      <c r="D47" s="1619"/>
      <c r="E47" s="1620"/>
      <c r="F47" s="1620"/>
      <c r="G47" s="1620"/>
      <c r="H47" s="1621"/>
      <c r="I47" s="1639" t="str">
        <f>IF(AE18&gt;0,TEXT(AE18,"mmm-yyyy")&amp;" - "&amp;TEXT(AE22,"mmm-yyyy"),"")</f>
        <v/>
      </c>
      <c r="J47" s="1640"/>
      <c r="K47" s="1639" t="str">
        <f>IF(AE23&gt;0,TEXT(AE23,"mmm-yyyy")&amp;" - "&amp;TEXT(AE25,"mmm-yyyy"),"")</f>
        <v/>
      </c>
      <c r="L47" s="1640"/>
      <c r="M47" s="1637"/>
      <c r="N47" s="1638"/>
      <c r="O47" s="1625"/>
      <c r="P47" s="1625"/>
      <c r="Q47" s="1625"/>
      <c r="R47" s="1625"/>
      <c r="S47" s="1625"/>
      <c r="T47" s="1625"/>
      <c r="U47" s="1625"/>
      <c r="V47" s="1625"/>
      <c r="W47" s="1625"/>
      <c r="X47" s="1625"/>
      <c r="Y47" s="1625"/>
      <c r="Z47" s="34"/>
      <c r="AA47" s="34"/>
      <c r="AB47" s="34"/>
      <c r="AC47" s="476"/>
      <c r="AD47" s="993"/>
      <c r="AE47" s="993"/>
      <c r="AF47" s="993"/>
      <c r="AG47" s="994"/>
      <c r="AH47" s="994"/>
      <c r="AI47" s="994"/>
      <c r="AJ47" s="994"/>
      <c r="AK47" s="463"/>
      <c r="AM47" s="52"/>
      <c r="AN47" s="52"/>
    </row>
    <row r="48" spans="3:40" x14ac:dyDescent="0.2">
      <c r="C48" s="576">
        <v>1</v>
      </c>
      <c r="D48" s="1602" t="s">
        <v>508</v>
      </c>
      <c r="E48" s="1603"/>
      <c r="F48" s="1603"/>
      <c r="G48" s="1603"/>
      <c r="H48" s="1603"/>
      <c r="I48" s="1568"/>
      <c r="J48" s="1568"/>
      <c r="K48" s="1568"/>
      <c r="L48" s="1568"/>
      <c r="M48" s="1575">
        <f>ROUND(I48,2)+ROUND(K48,2)</f>
        <v>0</v>
      </c>
      <c r="N48" s="1575"/>
      <c r="O48" s="1550"/>
      <c r="P48" s="1551"/>
      <c r="Q48" s="1551"/>
      <c r="R48" s="1551"/>
      <c r="S48" s="1551"/>
      <c r="T48" s="1551"/>
      <c r="U48" s="1551"/>
      <c r="V48" s="1551"/>
      <c r="W48" s="1551"/>
      <c r="X48" s="1551"/>
      <c r="Y48" s="1552"/>
      <c r="Z48" s="34"/>
      <c r="AA48" s="34"/>
      <c r="AB48" s="34"/>
      <c r="AC48" s="484"/>
      <c r="AD48" s="1070">
        <f>M48</f>
        <v>0</v>
      </c>
      <c r="AE48" s="1070">
        <f>ROUND($AD48*($Y$18+$Y$20),2)</f>
        <v>0</v>
      </c>
      <c r="AF48" s="1070">
        <f>SUM(AD48:AE48)</f>
        <v>0</v>
      </c>
      <c r="AG48" s="1061"/>
      <c r="AH48" s="1061"/>
      <c r="AI48" s="1061"/>
      <c r="AJ48" s="1061"/>
      <c r="AM48" s="52"/>
      <c r="AN48" s="52"/>
    </row>
    <row r="49" spans="3:40" x14ac:dyDescent="0.2">
      <c r="C49" s="576">
        <f t="shared" ref="C49:C55" si="17">C48+1</f>
        <v>2</v>
      </c>
      <c r="D49" s="1604" t="s">
        <v>325</v>
      </c>
      <c r="E49" s="1605"/>
      <c r="F49" s="1605"/>
      <c r="G49" s="1605"/>
      <c r="H49" s="1605"/>
      <c r="I49" s="1568"/>
      <c r="J49" s="1568"/>
      <c r="K49" s="1568"/>
      <c r="L49" s="1568"/>
      <c r="M49" s="1575">
        <f t="shared" ref="M49:M52" si="18">ROUND(I49,2)+ROUND(K49,2)</f>
        <v>0</v>
      </c>
      <c r="N49" s="1575"/>
      <c r="O49" s="1550"/>
      <c r="P49" s="1551"/>
      <c r="Q49" s="1551"/>
      <c r="R49" s="1551"/>
      <c r="S49" s="1551"/>
      <c r="T49" s="1551"/>
      <c r="U49" s="1551"/>
      <c r="V49" s="1551"/>
      <c r="W49" s="1551"/>
      <c r="X49" s="1551"/>
      <c r="Y49" s="1552"/>
      <c r="Z49" s="34"/>
      <c r="AA49" s="34"/>
      <c r="AB49" s="34"/>
      <c r="AC49" s="484"/>
      <c r="AD49" s="1070">
        <f t="shared" ref="AD49:AD52" si="19">M49</f>
        <v>0</v>
      </c>
      <c r="AE49" s="1070">
        <f>ROUND($AD49*($Y$18+$Y$20),2)</f>
        <v>0</v>
      </c>
      <c r="AF49" s="1070">
        <f>SUM(AD49:AE49)</f>
        <v>0</v>
      </c>
      <c r="AG49" s="1061"/>
      <c r="AH49" s="1061"/>
      <c r="AI49" s="1061"/>
      <c r="AJ49" s="1061"/>
      <c r="AM49" s="52"/>
      <c r="AN49" s="52"/>
    </row>
    <row r="50" spans="3:40" x14ac:dyDescent="0.2">
      <c r="C50" s="576">
        <f t="shared" si="17"/>
        <v>3</v>
      </c>
      <c r="D50" s="1604" t="s">
        <v>325</v>
      </c>
      <c r="E50" s="1605"/>
      <c r="F50" s="1605"/>
      <c r="G50" s="1605"/>
      <c r="H50" s="1605"/>
      <c r="I50" s="1568"/>
      <c r="J50" s="1568"/>
      <c r="K50" s="1568"/>
      <c r="L50" s="1568"/>
      <c r="M50" s="1575">
        <f t="shared" si="18"/>
        <v>0</v>
      </c>
      <c r="N50" s="1575"/>
      <c r="O50" s="1550"/>
      <c r="P50" s="1551"/>
      <c r="Q50" s="1551"/>
      <c r="R50" s="1551"/>
      <c r="S50" s="1551"/>
      <c r="T50" s="1551"/>
      <c r="U50" s="1551"/>
      <c r="V50" s="1551"/>
      <c r="W50" s="1551"/>
      <c r="X50" s="1551"/>
      <c r="Y50" s="1552"/>
      <c r="Z50" s="34"/>
      <c r="AA50" s="34"/>
      <c r="AB50" s="34"/>
      <c r="AC50" s="484"/>
      <c r="AD50" s="1070">
        <f t="shared" si="19"/>
        <v>0</v>
      </c>
      <c r="AE50" s="1070">
        <f>ROUND($AD50*($Y$18+$Y$20),2)</f>
        <v>0</v>
      </c>
      <c r="AF50" s="1070">
        <f t="shared" ref="AF50:AF52" si="20">SUM(AD50:AE50)</f>
        <v>0</v>
      </c>
      <c r="AG50" s="1061"/>
      <c r="AH50" s="1061"/>
      <c r="AI50" s="1061"/>
      <c r="AJ50" s="1061"/>
      <c r="AM50" s="52"/>
      <c r="AN50" s="52"/>
    </row>
    <row r="51" spans="3:40" x14ac:dyDescent="0.2">
      <c r="C51" s="576">
        <f t="shared" si="17"/>
        <v>4</v>
      </c>
      <c r="D51" s="1604" t="s">
        <v>325</v>
      </c>
      <c r="E51" s="1605"/>
      <c r="F51" s="1605"/>
      <c r="G51" s="1605"/>
      <c r="H51" s="1605"/>
      <c r="I51" s="1568"/>
      <c r="J51" s="1568"/>
      <c r="K51" s="1568"/>
      <c r="L51" s="1568"/>
      <c r="M51" s="1575">
        <f t="shared" si="18"/>
        <v>0</v>
      </c>
      <c r="N51" s="1575"/>
      <c r="O51" s="1550"/>
      <c r="P51" s="1551"/>
      <c r="Q51" s="1551"/>
      <c r="R51" s="1551"/>
      <c r="S51" s="1551"/>
      <c r="T51" s="1551"/>
      <c r="U51" s="1551"/>
      <c r="V51" s="1551"/>
      <c r="W51" s="1551"/>
      <c r="X51" s="1551"/>
      <c r="Y51" s="1552"/>
      <c r="Z51" s="34"/>
      <c r="AA51" s="34"/>
      <c r="AB51" s="34"/>
      <c r="AC51" s="484"/>
      <c r="AD51" s="1070">
        <f t="shared" si="19"/>
        <v>0</v>
      </c>
      <c r="AE51" s="1070">
        <f>ROUND($AD51*($Y$18+$Y$20),2)</f>
        <v>0</v>
      </c>
      <c r="AF51" s="1070">
        <f t="shared" si="20"/>
        <v>0</v>
      </c>
      <c r="AG51" s="1061"/>
      <c r="AH51" s="1061"/>
      <c r="AI51" s="1061"/>
      <c r="AJ51" s="1061"/>
      <c r="AM51" s="52"/>
      <c r="AN51" s="52"/>
    </row>
    <row r="52" spans="3:40" x14ac:dyDescent="0.2">
      <c r="C52" s="576">
        <f t="shared" si="17"/>
        <v>5</v>
      </c>
      <c r="D52" s="1604" t="s">
        <v>325</v>
      </c>
      <c r="E52" s="1605"/>
      <c r="F52" s="1605"/>
      <c r="G52" s="1605"/>
      <c r="H52" s="1605"/>
      <c r="I52" s="1568"/>
      <c r="J52" s="1568"/>
      <c r="K52" s="1568"/>
      <c r="L52" s="1568"/>
      <c r="M52" s="1575">
        <f t="shared" si="18"/>
        <v>0</v>
      </c>
      <c r="N52" s="1575"/>
      <c r="O52" s="1550"/>
      <c r="P52" s="1551"/>
      <c r="Q52" s="1551"/>
      <c r="R52" s="1551"/>
      <c r="S52" s="1551"/>
      <c r="T52" s="1551"/>
      <c r="U52" s="1551"/>
      <c r="V52" s="1551"/>
      <c r="W52" s="1551"/>
      <c r="X52" s="1551"/>
      <c r="Y52" s="1552"/>
      <c r="Z52" s="34"/>
      <c r="AA52" s="34"/>
      <c r="AB52" s="34"/>
      <c r="AC52" s="484"/>
      <c r="AD52" s="1070">
        <f t="shared" si="19"/>
        <v>0</v>
      </c>
      <c r="AE52" s="1070">
        <f>ROUND($AD52*($Y$18+$Y$20),2)</f>
        <v>0</v>
      </c>
      <c r="AF52" s="1070">
        <f t="shared" si="20"/>
        <v>0</v>
      </c>
      <c r="AG52" s="1061"/>
      <c r="AH52" s="1061"/>
      <c r="AI52" s="1061"/>
      <c r="AJ52" s="1061"/>
      <c r="AM52" s="52"/>
      <c r="AN52" s="52"/>
    </row>
    <row r="53" spans="3:40" s="55" customFormat="1" ht="15" thickBot="1" x14ac:dyDescent="0.35">
      <c r="C53" s="576">
        <f t="shared" si="17"/>
        <v>6</v>
      </c>
      <c r="D53" s="1626" t="s">
        <v>498</v>
      </c>
      <c r="E53" s="1627"/>
      <c r="F53" s="1627"/>
      <c r="G53" s="1627"/>
      <c r="H53" s="1627"/>
      <c r="I53" s="1627"/>
      <c r="J53" s="1627"/>
      <c r="K53" s="1627"/>
      <c r="L53" s="1628"/>
      <c r="M53" s="1609">
        <f>SUM(M48:N52)</f>
        <v>0</v>
      </c>
      <c r="N53" s="1609"/>
      <c r="O53" s="1550"/>
      <c r="P53" s="1551"/>
      <c r="Q53" s="1551"/>
      <c r="R53" s="1551"/>
      <c r="S53" s="1551"/>
      <c r="T53" s="1551"/>
      <c r="U53" s="1551"/>
      <c r="V53" s="1551"/>
      <c r="W53" s="1551"/>
      <c r="X53" s="1551"/>
      <c r="Y53" s="1552"/>
      <c r="AC53" s="477"/>
      <c r="AD53" s="1071">
        <f>SUM(AD48:AD52)</f>
        <v>0</v>
      </c>
      <c r="AE53" s="1071">
        <f>SUM(AE48:AE52)</f>
        <v>0</v>
      </c>
      <c r="AF53" s="1071">
        <f>SUM(AF48:AF52)</f>
        <v>0</v>
      </c>
      <c r="AG53" s="1072"/>
      <c r="AH53" s="1072"/>
      <c r="AI53" s="1072"/>
      <c r="AJ53" s="1072"/>
      <c r="AK53" s="52"/>
      <c r="AL53" s="386"/>
      <c r="AM53" s="386"/>
      <c r="AN53" s="386"/>
    </row>
    <row r="54" spans="3:40" s="387" customFormat="1" ht="15" thickTop="1" x14ac:dyDescent="0.3">
      <c r="C54" s="576">
        <f t="shared" si="17"/>
        <v>7</v>
      </c>
      <c r="D54" s="1641" t="s">
        <v>54</v>
      </c>
      <c r="E54" s="1642"/>
      <c r="F54" s="1642"/>
      <c r="G54" s="1642"/>
      <c r="H54" s="1642"/>
      <c r="I54" s="1642"/>
      <c r="J54" s="1642"/>
      <c r="K54" s="1642"/>
      <c r="L54" s="1643"/>
      <c r="M54" s="1575">
        <f>AE53</f>
        <v>0</v>
      </c>
      <c r="N54" s="1575"/>
      <c r="O54" s="1550"/>
      <c r="P54" s="1551"/>
      <c r="Q54" s="1551"/>
      <c r="R54" s="1551"/>
      <c r="S54" s="1551"/>
      <c r="T54" s="1551"/>
      <c r="U54" s="1551"/>
      <c r="V54" s="1551"/>
      <c r="W54" s="1551"/>
      <c r="X54" s="1551"/>
      <c r="Y54" s="1552"/>
      <c r="AC54" s="477"/>
      <c r="AD54" s="1073"/>
      <c r="AE54" s="1003"/>
      <c r="AF54" s="1003"/>
      <c r="AG54" s="1003"/>
      <c r="AH54" s="1003"/>
      <c r="AI54" s="1003"/>
      <c r="AJ54" s="1003"/>
      <c r="AK54" s="52"/>
      <c r="AL54" s="462"/>
      <c r="AM54" s="462"/>
      <c r="AN54" s="462"/>
    </row>
    <row r="55" spans="3:40" ht="14.25" x14ac:dyDescent="0.3">
      <c r="C55" s="576">
        <f t="shared" si="17"/>
        <v>8</v>
      </c>
      <c r="D55" s="1644" t="s">
        <v>329</v>
      </c>
      <c r="E55" s="1645"/>
      <c r="F55" s="1645"/>
      <c r="G55" s="1645"/>
      <c r="H55" s="1645"/>
      <c r="I55" s="1645"/>
      <c r="J55" s="1645"/>
      <c r="K55" s="1645"/>
      <c r="L55" s="1646"/>
      <c r="M55" s="1609">
        <f>SUM(M53:N54)</f>
        <v>0</v>
      </c>
      <c r="N55" s="1609"/>
      <c r="O55" s="1550"/>
      <c r="P55" s="1551"/>
      <c r="Q55" s="1551"/>
      <c r="R55" s="1551"/>
      <c r="S55" s="1551"/>
      <c r="T55" s="1551"/>
      <c r="U55" s="1551"/>
      <c r="V55" s="1551"/>
      <c r="W55" s="1551"/>
      <c r="X55" s="1551"/>
      <c r="Y55" s="1552"/>
      <c r="Z55" s="34"/>
      <c r="AA55" s="34"/>
      <c r="AB55" s="34"/>
      <c r="AC55" s="477"/>
      <c r="AD55" s="1073"/>
      <c r="AM55" s="52"/>
      <c r="AN55" s="52"/>
    </row>
    <row r="56" spans="3:40" s="272" customFormat="1" ht="9" customHeight="1" x14ac:dyDescent="0.2">
      <c r="C56" s="577"/>
      <c r="D56" s="577"/>
      <c r="E56" s="577"/>
      <c r="F56" s="577"/>
      <c r="G56" s="577"/>
      <c r="H56" s="577"/>
      <c r="I56" s="577"/>
      <c r="M56" s="578"/>
      <c r="N56" s="219"/>
      <c r="O56" s="577"/>
      <c r="P56" s="202"/>
      <c r="Q56" s="202"/>
      <c r="T56" s="557"/>
      <c r="U56" s="557"/>
      <c r="AC56" s="443"/>
      <c r="AD56" s="1073"/>
      <c r="AE56" s="937"/>
      <c r="AF56" s="937"/>
      <c r="AG56" s="937"/>
      <c r="AH56" s="937"/>
      <c r="AI56" s="937"/>
      <c r="AJ56" s="937"/>
      <c r="AK56" s="52"/>
      <c r="AL56" s="254"/>
      <c r="AM56" s="254"/>
      <c r="AN56" s="254"/>
    </row>
    <row r="57" spans="3:40" ht="15.75" customHeight="1" x14ac:dyDescent="0.25">
      <c r="C57" s="576">
        <f>C55+1</f>
        <v>9</v>
      </c>
      <c r="D57" s="863" t="s">
        <v>514</v>
      </c>
      <c r="E57" s="864"/>
      <c r="F57" s="864"/>
      <c r="G57" s="864"/>
      <c r="H57" s="864"/>
      <c r="I57" s="864"/>
      <c r="J57" s="864"/>
      <c r="K57" s="864"/>
      <c r="L57" s="865"/>
      <c r="M57" s="1648">
        <f>M55+Z44</f>
        <v>0</v>
      </c>
      <c r="N57" s="1648"/>
      <c r="O57" s="1550"/>
      <c r="P57" s="1551"/>
      <c r="Q57" s="1551"/>
      <c r="R57" s="1551"/>
      <c r="S57" s="1551"/>
      <c r="T57" s="1551"/>
      <c r="U57" s="1551"/>
      <c r="V57" s="1551"/>
      <c r="W57" s="1551"/>
      <c r="X57" s="1551"/>
      <c r="Y57" s="1552"/>
      <c r="Z57" s="34"/>
      <c r="AA57" s="34"/>
      <c r="AB57" s="34"/>
      <c r="AC57" s="471"/>
      <c r="AD57" s="1073"/>
      <c r="AM57" s="52"/>
      <c r="AN57" s="52"/>
    </row>
    <row r="58" spans="3:40" ht="9" customHeight="1" x14ac:dyDescent="0.2">
      <c r="C58" s="216"/>
      <c r="D58" s="216"/>
      <c r="E58" s="216"/>
      <c r="F58" s="216"/>
      <c r="G58" s="216"/>
      <c r="H58" s="216"/>
      <c r="I58" s="216"/>
      <c r="J58" s="216"/>
      <c r="K58" s="216"/>
      <c r="O58" s="216"/>
      <c r="P58" s="141"/>
      <c r="Q58" s="141"/>
      <c r="R58" s="34"/>
      <c r="S58" s="34"/>
      <c r="T58" s="557"/>
      <c r="U58" s="557"/>
      <c r="V58" s="34"/>
      <c r="W58" s="34"/>
      <c r="X58" s="34"/>
      <c r="Y58" s="34"/>
      <c r="Z58" s="34"/>
      <c r="AA58" s="34"/>
      <c r="AB58" s="34"/>
      <c r="AM58" s="52"/>
      <c r="AN58" s="52"/>
    </row>
    <row r="59" spans="3:40" ht="13.5" customHeight="1" x14ac:dyDescent="0.2">
      <c r="C59" s="52"/>
      <c r="D59" s="1563"/>
      <c r="E59" s="1563"/>
      <c r="F59" s="1563"/>
      <c r="G59" s="1563"/>
      <c r="H59" s="1563"/>
      <c r="I59" s="1563"/>
      <c r="J59" s="1563"/>
      <c r="K59" s="1563"/>
      <c r="L59" s="1563"/>
      <c r="M59" s="1562" t="s">
        <v>475</v>
      </c>
      <c r="N59" s="1562"/>
      <c r="O59" s="216"/>
      <c r="P59" s="635"/>
      <c r="Q59" s="635"/>
      <c r="R59" s="635"/>
      <c r="S59" s="636"/>
      <c r="T59" s="635"/>
      <c r="U59" s="635"/>
      <c r="V59" s="637"/>
      <c r="W59" s="34"/>
      <c r="X59" s="34"/>
      <c r="Y59" s="34"/>
      <c r="Z59" s="34"/>
      <c r="AA59" s="34"/>
      <c r="AB59" s="34"/>
      <c r="AM59" s="52"/>
      <c r="AN59" s="52"/>
    </row>
    <row r="60" spans="3:40" ht="13.5" customHeight="1" x14ac:dyDescent="0.2">
      <c r="C60" s="576">
        <f>C57+1</f>
        <v>10</v>
      </c>
      <c r="D60" s="1647" t="s">
        <v>834</v>
      </c>
      <c r="E60" s="1647"/>
      <c r="F60" s="1647"/>
      <c r="G60" s="1647"/>
      <c r="H60" s="1647"/>
      <c r="I60" s="1647"/>
      <c r="J60" s="1647"/>
      <c r="K60" s="1647"/>
      <c r="L60" s="1647"/>
      <c r="M60" s="1561"/>
      <c r="N60" s="1561"/>
      <c r="O60" s="1550"/>
      <c r="P60" s="1551"/>
      <c r="Q60" s="1551"/>
      <c r="R60" s="1551"/>
      <c r="S60" s="1551"/>
      <c r="T60" s="1551"/>
      <c r="U60" s="1551"/>
      <c r="V60" s="1551"/>
      <c r="W60" s="1551"/>
      <c r="X60" s="1551"/>
      <c r="Y60" s="1552"/>
      <c r="Z60" s="34"/>
      <c r="AA60" s="34"/>
      <c r="AB60" s="34"/>
      <c r="AM60" s="52"/>
      <c r="AN60" s="52"/>
    </row>
    <row r="61" spans="3:40" ht="9" customHeight="1" x14ac:dyDescent="0.2">
      <c r="C61" s="216"/>
      <c r="D61" s="216"/>
      <c r="E61" s="216"/>
      <c r="F61" s="216"/>
      <c r="G61" s="216"/>
      <c r="H61" s="216"/>
      <c r="I61" s="216"/>
      <c r="J61" s="216"/>
      <c r="K61" s="216"/>
      <c r="O61" s="216"/>
      <c r="P61" s="141"/>
      <c r="Q61" s="141"/>
      <c r="R61" s="34"/>
      <c r="S61" s="34"/>
      <c r="T61" s="557"/>
      <c r="U61" s="557"/>
      <c r="V61" s="34"/>
      <c r="W61" s="34"/>
      <c r="X61" s="34"/>
      <c r="Y61" s="34"/>
      <c r="Z61" s="34"/>
      <c r="AA61" s="34"/>
      <c r="AB61" s="34"/>
      <c r="AM61" s="52"/>
      <c r="AN61" s="52"/>
    </row>
    <row r="62" spans="3:40" x14ac:dyDescent="0.2">
      <c r="C62" s="216"/>
      <c r="D62" s="216"/>
      <c r="E62" s="216"/>
      <c r="F62" s="216"/>
      <c r="G62" s="216"/>
      <c r="H62" s="216"/>
      <c r="I62" s="216"/>
      <c r="M62" s="1599" t="s">
        <v>194</v>
      </c>
      <c r="N62" s="1600"/>
      <c r="O62" s="216"/>
      <c r="P62" s="141"/>
      <c r="Q62" s="141"/>
      <c r="R62" s="141"/>
      <c r="S62" s="141"/>
      <c r="T62" s="557"/>
      <c r="U62" s="557"/>
      <c r="V62" s="1630" t="s">
        <v>665</v>
      </c>
      <c r="W62" s="1630"/>
      <c r="X62" s="1630"/>
      <c r="Y62" s="746" t="s">
        <v>666</v>
      </c>
      <c r="Z62" s="34"/>
      <c r="AA62" s="34"/>
      <c r="AB62" s="34"/>
      <c r="AM62" s="52"/>
      <c r="AN62" s="52"/>
    </row>
    <row r="63" spans="3:40" ht="13.5" hidden="1" customHeight="1" outlineLevel="1" x14ac:dyDescent="0.25">
      <c r="C63" s="1606" t="s">
        <v>515</v>
      </c>
      <c r="D63" s="1607"/>
      <c r="E63" s="1607"/>
      <c r="F63" s="1607"/>
      <c r="G63" s="1607"/>
      <c r="H63" s="1607"/>
      <c r="I63" s="1607"/>
      <c r="J63" s="1607"/>
      <c r="K63" s="1607"/>
      <c r="L63" s="1608"/>
      <c r="M63" s="1629">
        <f>M57+M60</f>
        <v>0</v>
      </c>
      <c r="N63" s="1629"/>
      <c r="O63" s="216"/>
      <c r="P63" s="141"/>
      <c r="Q63" s="141"/>
      <c r="R63" s="34"/>
      <c r="S63" s="34"/>
      <c r="T63" s="557"/>
      <c r="U63" s="557"/>
      <c r="V63" s="34"/>
      <c r="W63" s="34"/>
      <c r="Y63" s="34"/>
      <c r="Z63" s="34"/>
      <c r="AA63" s="34"/>
      <c r="AB63" s="34"/>
      <c r="AM63" s="52"/>
      <c r="AN63" s="52"/>
    </row>
    <row r="64" spans="3:40" ht="9" hidden="1" customHeight="1" outlineLevel="1" x14ac:dyDescent="0.2">
      <c r="C64" s="216"/>
      <c r="D64" s="216"/>
      <c r="E64" s="216"/>
      <c r="F64" s="216"/>
      <c r="G64" s="216"/>
      <c r="H64" s="216"/>
      <c r="I64" s="216"/>
      <c r="M64" s="216"/>
      <c r="N64" s="216"/>
      <c r="O64" s="216"/>
      <c r="P64" s="141"/>
      <c r="Q64" s="141"/>
      <c r="R64" s="34"/>
      <c r="S64" s="34"/>
      <c r="T64" s="557"/>
      <c r="U64" s="557"/>
      <c r="V64" s="34"/>
      <c r="W64" s="34"/>
      <c r="Y64" s="34"/>
      <c r="Z64" s="34"/>
      <c r="AA64" s="34"/>
      <c r="AB64" s="34"/>
      <c r="AM64" s="52"/>
      <c r="AN64" s="52"/>
    </row>
    <row r="65" spans="2:40" s="137" customFormat="1" ht="30.75" customHeight="1" collapsed="1" x14ac:dyDescent="0.2">
      <c r="D65" s="1622" t="s">
        <v>539</v>
      </c>
      <c r="E65" s="1623"/>
      <c r="F65" s="1623"/>
      <c r="G65" s="1623"/>
      <c r="H65" s="1623"/>
      <c r="I65" s="1623"/>
      <c r="J65" s="1623"/>
      <c r="K65" s="1623"/>
      <c r="L65" s="1623"/>
      <c r="M65" s="1623"/>
      <c r="N65" s="1624"/>
      <c r="O65" s="1524" t="s">
        <v>585</v>
      </c>
      <c r="P65" s="1524"/>
      <c r="Q65" s="1524" t="s">
        <v>661</v>
      </c>
      <c r="R65" s="1524"/>
      <c r="S65" s="1524"/>
      <c r="T65" s="1524" t="s">
        <v>702</v>
      </c>
      <c r="U65" s="1524"/>
      <c r="V65" s="1524" t="s">
        <v>769</v>
      </c>
      <c r="W65" s="1524"/>
      <c r="X65" s="1524"/>
      <c r="Y65" s="744" t="s">
        <v>487</v>
      </c>
      <c r="AC65" s="745"/>
      <c r="AD65" s="942"/>
      <c r="AE65" s="942"/>
      <c r="AF65" s="942"/>
      <c r="AG65" s="942"/>
      <c r="AH65" s="942"/>
      <c r="AI65" s="942"/>
      <c r="AJ65" s="942"/>
      <c r="AK65" s="745"/>
      <c r="AL65" s="745"/>
      <c r="AM65" s="745"/>
      <c r="AN65" s="745"/>
    </row>
    <row r="66" spans="2:40" ht="13.5" customHeight="1" x14ac:dyDescent="0.2">
      <c r="B66" s="52"/>
      <c r="C66" s="576">
        <f>C60+1</f>
        <v>11</v>
      </c>
      <c r="D66" s="1572" t="s">
        <v>543</v>
      </c>
      <c r="E66" s="1573"/>
      <c r="F66" s="1573"/>
      <c r="G66" s="1573"/>
      <c r="H66" s="1573"/>
      <c r="I66" s="1573"/>
      <c r="J66" s="1573"/>
      <c r="K66" s="1573"/>
      <c r="L66" s="1574"/>
      <c r="M66" s="1532">
        <f>AD48</f>
        <v>0</v>
      </c>
      <c r="N66" s="1532"/>
      <c r="O66" s="1525">
        <f>L80</f>
        <v>0</v>
      </c>
      <c r="P66" s="1525"/>
      <c r="Q66" s="1534">
        <f>IF(O66&gt;0,1,0)</f>
        <v>0</v>
      </c>
      <c r="R66" s="1534"/>
      <c r="S66" s="1534"/>
      <c r="T66" s="1525">
        <f>ROUND(O66*E83,2)</f>
        <v>0</v>
      </c>
      <c r="U66" s="1525"/>
      <c r="V66" s="1531">
        <f>ROUND(Q66*T66,2)</f>
        <v>0</v>
      </c>
      <c r="W66" s="1531"/>
      <c r="X66" s="1531"/>
      <c r="Y66" s="740">
        <f>M66-V66</f>
        <v>0</v>
      </c>
      <c r="Z66" s="34"/>
      <c r="AA66" s="34"/>
      <c r="AB66" s="34"/>
      <c r="AM66" s="52"/>
      <c r="AN66" s="52"/>
    </row>
    <row r="67" spans="2:40" ht="13.5" customHeight="1" x14ac:dyDescent="0.2">
      <c r="B67" s="52"/>
      <c r="C67" s="576">
        <f>C66+1</f>
        <v>12</v>
      </c>
      <c r="D67" s="1572" t="s">
        <v>459</v>
      </c>
      <c r="E67" s="1573"/>
      <c r="F67" s="1573"/>
      <c r="G67" s="1573"/>
      <c r="H67" s="1573"/>
      <c r="I67" s="1573"/>
      <c r="J67" s="1573"/>
      <c r="K67" s="1573"/>
      <c r="L67" s="1574"/>
      <c r="M67" s="1532">
        <f>M63-M66</f>
        <v>0</v>
      </c>
      <c r="N67" s="1532"/>
      <c r="O67" s="1525">
        <f>N80</f>
        <v>0</v>
      </c>
      <c r="P67" s="1525"/>
      <c r="Q67" s="1534">
        <f>ROUND(P80*E83,2)</f>
        <v>0</v>
      </c>
      <c r="R67" s="1534"/>
      <c r="S67" s="1534"/>
      <c r="T67" s="1565">
        <f>IF(ISERROR(ROUND(M67/H33,2)),0,ROUND(M67/H33,2))</f>
        <v>0</v>
      </c>
      <c r="U67" s="1565"/>
      <c r="V67" s="1531">
        <f>ROUND(Q67*T67,2)</f>
        <v>0</v>
      </c>
      <c r="W67" s="1531"/>
      <c r="X67" s="1531"/>
      <c r="Y67" s="740">
        <f>M67-V67</f>
        <v>0</v>
      </c>
      <c r="Z67" s="34"/>
      <c r="AA67" s="34"/>
      <c r="AB67" s="34"/>
      <c r="AM67" s="52"/>
      <c r="AN67" s="52"/>
    </row>
    <row r="68" spans="2:40" ht="13.5" customHeight="1" x14ac:dyDescent="0.25">
      <c r="B68" s="52"/>
      <c r="C68" s="576">
        <f>C67+1</f>
        <v>13</v>
      </c>
      <c r="D68" s="1553" t="s">
        <v>515</v>
      </c>
      <c r="E68" s="1554"/>
      <c r="F68" s="1554"/>
      <c r="G68" s="1554"/>
      <c r="H68" s="1554"/>
      <c r="I68" s="1554"/>
      <c r="J68" s="1554"/>
      <c r="K68" s="1554"/>
      <c r="L68" s="1555"/>
      <c r="M68" s="1533">
        <f>SUM(M66:N67)</f>
        <v>0</v>
      </c>
      <c r="N68" s="1533"/>
      <c r="O68" s="1526"/>
      <c r="P68" s="1527"/>
      <c r="Q68" s="1526"/>
      <c r="R68" s="1571"/>
      <c r="S68" s="1527"/>
      <c r="T68" s="1526"/>
      <c r="U68" s="1527"/>
      <c r="V68" s="1557">
        <f>SUM(V66:X67)</f>
        <v>0</v>
      </c>
      <c r="W68" s="1557"/>
      <c r="X68" s="1557"/>
      <c r="Y68" s="807">
        <f>SUM(Y66:Y67)</f>
        <v>0</v>
      </c>
      <c r="Z68" s="34"/>
      <c r="AA68" s="34"/>
      <c r="AB68" s="34"/>
      <c r="AM68" s="52"/>
      <c r="AN68" s="52"/>
    </row>
    <row r="69" spans="2:40" ht="9" customHeight="1" x14ac:dyDescent="0.2">
      <c r="B69" s="52"/>
      <c r="D69" s="616"/>
      <c r="E69" s="219"/>
      <c r="F69" s="219"/>
      <c r="G69" s="219"/>
      <c r="H69" s="219"/>
      <c r="I69" s="219"/>
      <c r="J69" s="272"/>
      <c r="K69" s="272"/>
      <c r="L69" s="272"/>
      <c r="M69" s="219"/>
      <c r="N69" s="617"/>
      <c r="O69" s="219"/>
      <c r="P69" s="219"/>
      <c r="Q69" s="219"/>
      <c r="R69" s="254"/>
      <c r="S69" s="254"/>
      <c r="T69" s="557"/>
      <c r="U69" s="557"/>
      <c r="V69" s="34"/>
      <c r="W69" s="34"/>
      <c r="X69" s="34"/>
      <c r="Y69" s="34"/>
      <c r="Z69" s="34"/>
      <c r="AA69" s="34"/>
      <c r="AB69" s="34"/>
      <c r="AM69" s="52"/>
      <c r="AN69" s="52"/>
    </row>
    <row r="70" spans="2:40" x14ac:dyDescent="0.2">
      <c r="B70" s="52"/>
      <c r="C70" s="576">
        <f>C68+1</f>
        <v>14</v>
      </c>
      <c r="D70" s="1346" t="s">
        <v>541</v>
      </c>
      <c r="E70" s="1347"/>
      <c r="F70" s="1347"/>
      <c r="G70" s="1347"/>
      <c r="H70" s="1347"/>
      <c r="I70" s="1347"/>
      <c r="J70" s="1347"/>
      <c r="K70" s="1347"/>
      <c r="L70" s="1348"/>
      <c r="M70" s="1564"/>
      <c r="N70" s="1564"/>
      <c r="O70" s="770"/>
      <c r="P70" s="770"/>
      <c r="Q70" s="770"/>
      <c r="R70" s="770"/>
      <c r="S70" s="770"/>
      <c r="T70" s="770"/>
      <c r="U70" s="770"/>
      <c r="V70" s="54"/>
      <c r="Z70" s="34"/>
      <c r="AA70" s="34"/>
      <c r="AB70" s="34"/>
      <c r="AM70" s="52"/>
      <c r="AN70" s="52"/>
    </row>
    <row r="71" spans="2:40" x14ac:dyDescent="0.2">
      <c r="B71" s="52"/>
      <c r="C71" s="576">
        <f>C70+1</f>
        <v>15</v>
      </c>
      <c r="D71" s="1553" t="s">
        <v>516</v>
      </c>
      <c r="E71" s="1554"/>
      <c r="F71" s="1554"/>
      <c r="G71" s="1554"/>
      <c r="H71" s="1554"/>
      <c r="I71" s="1554"/>
      <c r="J71" s="1554"/>
      <c r="K71" s="1554"/>
      <c r="L71" s="1555"/>
      <c r="M71" s="1556">
        <f>M63-M70</f>
        <v>0</v>
      </c>
      <c r="N71" s="1556"/>
      <c r="O71" s="770"/>
      <c r="P71" s="770"/>
      <c r="Q71" s="770"/>
      <c r="R71" s="770"/>
      <c r="S71" s="770"/>
      <c r="T71" s="770"/>
      <c r="U71" s="770"/>
      <c r="W71" s="34"/>
      <c r="X71" s="34"/>
      <c r="Y71" s="34"/>
      <c r="Z71" s="34"/>
      <c r="AA71" s="34"/>
      <c r="AB71" s="34"/>
      <c r="AM71" s="52"/>
      <c r="AN71" s="52"/>
    </row>
    <row r="72" spans="2:40" ht="15" customHeight="1" x14ac:dyDescent="0.2">
      <c r="Q72" s="606"/>
      <c r="R72" s="606"/>
      <c r="T72" s="186"/>
      <c r="U72" s="186"/>
      <c r="V72" s="186"/>
      <c r="W72" s="186"/>
      <c r="X72" s="186"/>
      <c r="Y72" s="186"/>
      <c r="Z72" s="460"/>
      <c r="AA72" s="460"/>
      <c r="AM72" s="52"/>
      <c r="AN72" s="52"/>
    </row>
    <row r="73" spans="2:40" s="141" customFormat="1" ht="15.75" x14ac:dyDescent="0.25">
      <c r="C73" s="1383" t="s">
        <v>542</v>
      </c>
      <c r="D73" s="1383"/>
      <c r="E73" s="1383"/>
      <c r="F73" s="1383"/>
      <c r="G73" s="1383"/>
      <c r="H73" s="1383"/>
      <c r="I73" s="1383"/>
      <c r="J73" s="1383"/>
      <c r="K73" s="1383"/>
      <c r="L73" s="1383"/>
      <c r="M73" s="1383"/>
      <c r="N73" s="1383"/>
      <c r="O73" s="1383"/>
      <c r="P73" s="1383"/>
      <c r="Q73" s="1383"/>
      <c r="R73" s="1383"/>
      <c r="S73" s="1383"/>
      <c r="T73" s="1383"/>
      <c r="U73" s="1383"/>
      <c r="V73" s="776"/>
      <c r="W73" s="776"/>
      <c r="X73" s="776"/>
      <c r="Y73" s="776"/>
      <c r="Z73" s="468"/>
      <c r="AA73" s="468"/>
      <c r="AB73" s="216"/>
      <c r="AC73" s="216"/>
      <c r="AD73" s="992"/>
      <c r="AE73" s="992"/>
      <c r="AF73" s="992"/>
      <c r="AG73" s="992"/>
      <c r="AH73" s="992"/>
      <c r="AI73" s="992"/>
      <c r="AJ73" s="992"/>
      <c r="AK73" s="216"/>
      <c r="AL73" s="216"/>
      <c r="AM73" s="216"/>
      <c r="AN73" s="216"/>
    </row>
    <row r="74" spans="2:40" s="216" customFormat="1" ht="7.9" customHeight="1" x14ac:dyDescent="0.25">
      <c r="C74" s="790"/>
      <c r="D74" s="790"/>
      <c r="E74" s="790"/>
      <c r="F74" s="790"/>
      <c r="G74" s="790"/>
      <c r="H74" s="790"/>
      <c r="I74" s="790"/>
      <c r="J74" s="790"/>
      <c r="K74" s="790"/>
      <c r="L74" s="790"/>
      <c r="M74" s="790"/>
      <c r="N74" s="790"/>
      <c r="O74" s="790"/>
      <c r="P74" s="790"/>
      <c r="Q74" s="790"/>
      <c r="R74" s="790"/>
      <c r="S74" s="790"/>
      <c r="T74" s="790"/>
      <c r="U74" s="790"/>
      <c r="V74" s="776"/>
      <c r="W74" s="776"/>
      <c r="X74" s="776"/>
      <c r="Y74" s="776"/>
      <c r="Z74" s="468"/>
      <c r="AA74" s="468"/>
      <c r="AD74" s="992"/>
      <c r="AE74" s="992"/>
      <c r="AF74" s="992"/>
      <c r="AG74" s="992"/>
      <c r="AH74" s="992"/>
      <c r="AI74" s="992"/>
      <c r="AJ74" s="992"/>
    </row>
    <row r="75" spans="2:40" s="141" customFormat="1" ht="15.75" hidden="1" outlineLevel="1" x14ac:dyDescent="0.25">
      <c r="C75" s="790"/>
      <c r="D75" s="790"/>
      <c r="E75" s="790"/>
      <c r="F75" s="790"/>
      <c r="G75" s="790"/>
      <c r="H75" s="790"/>
      <c r="I75" s="790"/>
      <c r="J75" s="790"/>
      <c r="K75" s="790"/>
      <c r="L75" s="790"/>
      <c r="M75" s="790"/>
      <c r="N75" s="790"/>
      <c r="O75" s="790"/>
      <c r="P75" s="790"/>
      <c r="Q75" s="790"/>
      <c r="R75" s="606"/>
      <c r="S75" s="216"/>
      <c r="T75" s="776"/>
      <c r="U75" s="776"/>
      <c r="V75" s="776"/>
      <c r="W75" s="776"/>
      <c r="X75" s="776"/>
      <c r="Y75" s="776"/>
      <c r="Z75" s="468"/>
      <c r="AA75" s="468"/>
      <c r="AB75" s="216"/>
      <c r="AC75" s="216"/>
      <c r="AD75" s="994"/>
      <c r="AE75" s="1074"/>
      <c r="AF75" s="992"/>
      <c r="AG75" s="992"/>
      <c r="AH75" s="992"/>
      <c r="AI75" s="992"/>
      <c r="AJ75" s="992"/>
      <c r="AK75" s="216"/>
      <c r="AL75" s="216"/>
      <c r="AM75" s="216"/>
      <c r="AN75" s="216"/>
    </row>
    <row r="76" spans="2:40" s="141" customFormat="1" ht="15.75" hidden="1" outlineLevel="1" x14ac:dyDescent="0.25">
      <c r="C76" s="609" t="s">
        <v>644</v>
      </c>
      <c r="D76" s="790"/>
      <c r="E76" s="790"/>
      <c r="F76" s="790"/>
      <c r="G76" s="790"/>
      <c r="H76" s="790"/>
      <c r="I76" s="790"/>
      <c r="J76" s="790"/>
      <c r="K76" s="790"/>
      <c r="L76" s="790"/>
      <c r="M76" s="790"/>
      <c r="N76" s="790"/>
      <c r="O76" s="790"/>
      <c r="P76" s="790"/>
      <c r="Q76" s="790"/>
      <c r="R76" s="606"/>
      <c r="S76" s="216"/>
      <c r="T76" s="776"/>
      <c r="U76" s="776"/>
      <c r="V76" s="776"/>
      <c r="W76" s="776"/>
      <c r="X76" s="776"/>
      <c r="Y76" s="776"/>
      <c r="Z76" s="468"/>
      <c r="AA76" s="468"/>
      <c r="AB76" s="216"/>
      <c r="AC76" s="216"/>
      <c r="AD76" s="992"/>
      <c r="AE76" s="992"/>
      <c r="AF76" s="992"/>
      <c r="AG76" s="992"/>
      <c r="AH76" s="992"/>
      <c r="AI76" s="992"/>
      <c r="AJ76" s="992"/>
      <c r="AK76" s="216"/>
      <c r="AL76" s="216"/>
      <c r="AM76" s="216"/>
      <c r="AN76" s="216"/>
    </row>
    <row r="77" spans="2:40" s="141" customFormat="1" ht="15.75" hidden="1" outlineLevel="1" x14ac:dyDescent="0.25">
      <c r="C77" s="790"/>
      <c r="D77" s="790"/>
      <c r="E77" s="790"/>
      <c r="F77" s="790"/>
      <c r="G77" s="790"/>
      <c r="H77" s="790"/>
      <c r="I77" s="790"/>
      <c r="J77" s="790"/>
      <c r="K77" s="790"/>
      <c r="L77" s="790"/>
      <c r="M77" s="790"/>
      <c r="N77" s="790"/>
      <c r="O77" s="790"/>
      <c r="P77" s="790"/>
      <c r="Q77" s="790"/>
      <c r="R77" s="606"/>
      <c r="S77" s="216"/>
      <c r="T77" s="776"/>
      <c r="U77" s="776"/>
      <c r="V77" s="776"/>
      <c r="W77" s="776"/>
      <c r="X77" s="776"/>
      <c r="Y77" s="776"/>
      <c r="Z77" s="468"/>
      <c r="AA77" s="468"/>
      <c r="AB77" s="216"/>
      <c r="AC77" s="216"/>
      <c r="AD77" s="992"/>
      <c r="AE77" s="992"/>
      <c r="AF77" s="992"/>
      <c r="AG77" s="992"/>
      <c r="AH77" s="992"/>
      <c r="AI77" s="992"/>
      <c r="AJ77" s="992"/>
      <c r="AK77" s="216"/>
      <c r="AL77" s="216"/>
      <c r="AM77" s="216"/>
      <c r="AN77" s="216"/>
    </row>
    <row r="78" spans="2:40" s="141" customFormat="1" ht="15.75" hidden="1" outlineLevel="1" x14ac:dyDescent="0.25">
      <c r="C78" s="790"/>
      <c r="D78" s="790"/>
      <c r="E78" s="790"/>
      <c r="F78" s="790"/>
      <c r="G78" s="790"/>
      <c r="H78" s="790"/>
      <c r="I78" s="790"/>
      <c r="J78" s="790"/>
      <c r="K78" s="790"/>
      <c r="L78" s="1530" t="s">
        <v>643</v>
      </c>
      <c r="M78" s="1530"/>
      <c r="N78" s="1530"/>
      <c r="O78" s="1530"/>
      <c r="P78" s="1530"/>
      <c r="Q78" s="1530"/>
      <c r="R78" s="606"/>
      <c r="S78" s="216"/>
      <c r="T78" s="776"/>
      <c r="U78" s="776"/>
      <c r="V78" s="776"/>
      <c r="W78" s="776"/>
      <c r="X78" s="776"/>
      <c r="Y78" s="776"/>
      <c r="Z78" s="468"/>
      <c r="AA78" s="468"/>
      <c r="AB78" s="216"/>
      <c r="AC78" s="216"/>
      <c r="AD78" s="992"/>
      <c r="AE78" s="992"/>
      <c r="AF78" s="992"/>
      <c r="AG78" s="992"/>
      <c r="AH78" s="992"/>
      <c r="AI78" s="992"/>
      <c r="AJ78" s="992"/>
      <c r="AK78" s="216"/>
      <c r="AL78" s="216"/>
      <c r="AM78" s="216"/>
      <c r="AN78" s="216"/>
    </row>
    <row r="79" spans="2:40" s="141" customFormat="1" ht="27.75" hidden="1" customHeight="1" outlineLevel="1" x14ac:dyDescent="0.2">
      <c r="C79" s="140"/>
      <c r="D79" s="140"/>
      <c r="F79" s="140"/>
      <c r="G79" s="806"/>
      <c r="H79" s="1522" t="s">
        <v>639</v>
      </c>
      <c r="I79" s="1523"/>
      <c r="J79" s="1522" t="s">
        <v>640</v>
      </c>
      <c r="K79" s="1523"/>
      <c r="L79" s="1522" t="s">
        <v>367</v>
      </c>
      <c r="M79" s="1523"/>
      <c r="N79" s="1522" t="s">
        <v>641</v>
      </c>
      <c r="O79" s="1523"/>
      <c r="P79" s="1522" t="s">
        <v>642</v>
      </c>
      <c r="Q79" s="1523"/>
      <c r="R79" s="606"/>
      <c r="S79" s="216"/>
      <c r="T79" s="776"/>
      <c r="U79" s="776"/>
      <c r="V79" s="776"/>
      <c r="W79" s="776"/>
      <c r="X79" s="776"/>
      <c r="Y79" s="776"/>
      <c r="Z79" s="468"/>
      <c r="AA79" s="468"/>
      <c r="AB79" s="216"/>
      <c r="AC79" s="216"/>
      <c r="AD79" s="1075" t="s">
        <v>587</v>
      </c>
      <c r="AE79" s="1076">
        <f>I18</f>
        <v>41899</v>
      </c>
      <c r="AF79" s="992"/>
      <c r="AG79" s="992"/>
      <c r="AH79" s="992"/>
      <c r="AI79" s="992"/>
      <c r="AJ79" s="992"/>
      <c r="AK79" s="216"/>
      <c r="AL79" s="216"/>
      <c r="AM79" s="216"/>
      <c r="AN79" s="216"/>
    </row>
    <row r="80" spans="2:40" s="141" customFormat="1" hidden="1" outlineLevel="1" x14ac:dyDescent="0.2">
      <c r="C80" s="141" t="s">
        <v>493</v>
      </c>
      <c r="E80" s="597">
        <f>IF(NOT(H80=0),IF(H92="NO",(YEAR(J80)-YEAR(H80))*12+MONTH(J80)-MONTH(H80)+IF(H84="no",1,0)+IF(J84="yes",-1,0),0),0)</f>
        <v>0</v>
      </c>
      <c r="G80" s="796"/>
      <c r="H80" s="1559">
        <f>Q18</f>
        <v>0</v>
      </c>
      <c r="I80" s="1560"/>
      <c r="J80" s="1559">
        <f>Q20</f>
        <v>0</v>
      </c>
      <c r="K80" s="1560"/>
      <c r="L80" s="1541">
        <f>ROUND(IF(E83&gt;0,M66/E83,0),2)</f>
        <v>0</v>
      </c>
      <c r="M80" s="1541"/>
      <c r="N80" s="1541">
        <f>ROUND(IF(E83&gt;0,M67/E83,0),2)</f>
        <v>0</v>
      </c>
      <c r="O80" s="1541"/>
      <c r="P80" s="1558">
        <f>ROUND(IF(E83&gt;0,H33/E83,0),2)</f>
        <v>0</v>
      </c>
      <c r="Q80" s="1558"/>
      <c r="R80" s="606"/>
      <c r="S80" s="216"/>
      <c r="T80" s="776"/>
      <c r="U80" s="776"/>
      <c r="V80" s="776"/>
      <c r="W80" s="776"/>
      <c r="X80" s="776"/>
      <c r="Y80" s="776"/>
      <c r="Z80" s="468"/>
      <c r="AA80" s="468"/>
      <c r="AB80" s="216"/>
      <c r="AC80" s="216"/>
      <c r="AD80" s="1075" t="s">
        <v>596</v>
      </c>
      <c r="AE80" s="1076">
        <f>I20</f>
        <v>42079</v>
      </c>
      <c r="AF80" s="992"/>
      <c r="AG80" s="992"/>
      <c r="AH80" s="992"/>
      <c r="AI80" s="992"/>
      <c r="AJ80" s="992"/>
      <c r="AK80" s="216"/>
      <c r="AL80" s="216"/>
      <c r="AM80" s="216"/>
      <c r="AN80" s="216"/>
    </row>
    <row r="81" spans="3:40" s="141" customFormat="1" ht="15.75" hidden="1" outlineLevel="1" x14ac:dyDescent="0.25">
      <c r="C81" s="141" t="s">
        <v>494</v>
      </c>
      <c r="E81" s="598">
        <f>IF(NOT(H80=0),H96,0)</f>
        <v>0</v>
      </c>
      <c r="H81" s="141">
        <f>H87</f>
        <v>31</v>
      </c>
      <c r="J81" s="141">
        <f>J87</f>
        <v>31</v>
      </c>
      <c r="K81" s="803" t="s">
        <v>391</v>
      </c>
      <c r="L81" s="790"/>
      <c r="M81" s="790"/>
      <c r="N81" s="790"/>
      <c r="O81" s="790"/>
      <c r="P81" s="790"/>
      <c r="Q81" s="790"/>
      <c r="R81" s="606"/>
      <c r="S81" s="216"/>
      <c r="T81" s="776"/>
      <c r="U81" s="776"/>
      <c r="V81" s="776"/>
      <c r="W81" s="776"/>
      <c r="X81" s="776"/>
      <c r="Y81" s="776"/>
      <c r="Z81" s="468"/>
      <c r="AA81" s="468"/>
      <c r="AB81" s="216"/>
      <c r="AC81" s="216"/>
      <c r="AD81" s="1077" t="s">
        <v>597</v>
      </c>
      <c r="AE81" s="1076"/>
      <c r="AF81" s="992" t="s">
        <v>677</v>
      </c>
      <c r="AG81" s="992"/>
      <c r="AH81" s="992"/>
      <c r="AI81" s="992"/>
      <c r="AJ81" s="992"/>
      <c r="AK81" s="216"/>
      <c r="AL81" s="216"/>
      <c r="AM81" s="216"/>
      <c r="AN81" s="216"/>
    </row>
    <row r="82" spans="3:40" s="141" customFormat="1" ht="15.75" hidden="1" outlineLevel="1" x14ac:dyDescent="0.25">
      <c r="C82" s="141" t="s">
        <v>495</v>
      </c>
      <c r="E82" s="599">
        <f>IF(NOT(H80=0),J96,0)</f>
        <v>0</v>
      </c>
      <c r="H82" s="141">
        <v>1</v>
      </c>
      <c r="J82" s="141">
        <v>1</v>
      </c>
      <c r="K82" s="803" t="s">
        <v>392</v>
      </c>
      <c r="L82" s="790"/>
      <c r="M82" s="790"/>
      <c r="N82" s="790"/>
      <c r="O82" s="790"/>
      <c r="P82" s="790"/>
      <c r="Q82" s="790"/>
      <c r="R82" s="606"/>
      <c r="S82" s="216"/>
      <c r="T82" s="776"/>
      <c r="U82" s="776"/>
      <c r="V82" s="776"/>
      <c r="W82" s="776"/>
      <c r="X82" s="776"/>
      <c r="Y82" s="776"/>
      <c r="Z82" s="468"/>
      <c r="AA82" s="468"/>
      <c r="AB82" s="216"/>
      <c r="AC82" s="216"/>
      <c r="AD82" s="1077" t="s">
        <v>598</v>
      </c>
      <c r="AE82" s="1114">
        <f>IF(AE81&gt;AE80,AE81,AE80)</f>
        <v>42079</v>
      </c>
      <c r="AF82" s="992"/>
      <c r="AG82" s="992"/>
      <c r="AH82" s="992"/>
      <c r="AI82" s="992"/>
      <c r="AJ82" s="992"/>
      <c r="AK82" s="216"/>
      <c r="AL82" s="216"/>
      <c r="AM82" s="216"/>
      <c r="AN82" s="216"/>
    </row>
    <row r="83" spans="3:40" s="141" customFormat="1" ht="15.75" hidden="1" outlineLevel="1" x14ac:dyDescent="0.25">
      <c r="C83" s="219" t="s">
        <v>496</v>
      </c>
      <c r="E83" s="597">
        <f>SUM(E80:E82)</f>
        <v>0</v>
      </c>
      <c r="H83" s="141">
        <f>DAY(H80)</f>
        <v>0</v>
      </c>
      <c r="J83" s="141">
        <f>DAY(J80)</f>
        <v>0</v>
      </c>
      <c r="K83" s="803" t="s">
        <v>393</v>
      </c>
      <c r="L83" s="790"/>
      <c r="M83" s="790"/>
      <c r="N83" s="790"/>
      <c r="O83" s="790"/>
      <c r="P83" s="790"/>
      <c r="Q83" s="790"/>
      <c r="R83" s="606"/>
      <c r="S83" s="216"/>
      <c r="T83" s="776"/>
      <c r="U83" s="776"/>
      <c r="V83" s="776"/>
      <c r="W83" s="776"/>
      <c r="X83" s="776"/>
      <c r="Y83" s="776"/>
      <c r="Z83" s="468"/>
      <c r="AA83" s="468"/>
      <c r="AB83" s="216"/>
      <c r="AC83" s="216"/>
      <c r="AD83" s="992"/>
      <c r="AE83" s="992"/>
      <c r="AF83" s="992"/>
      <c r="AG83" s="992"/>
      <c r="AH83" s="992"/>
      <c r="AI83" s="992"/>
      <c r="AJ83" s="992"/>
      <c r="AK83" s="216"/>
      <c r="AL83" s="216"/>
      <c r="AM83" s="216"/>
      <c r="AN83" s="216"/>
    </row>
    <row r="84" spans="3:40" s="141" customFormat="1" ht="15.75" hidden="1" outlineLevel="1" x14ac:dyDescent="0.25">
      <c r="C84" s="219"/>
      <c r="D84" s="216"/>
      <c r="E84" s="601"/>
      <c r="F84" s="216"/>
      <c r="H84" s="516" t="str">
        <f>IF(H83=H82,"No","Yes")</f>
        <v>Yes</v>
      </c>
      <c r="J84" s="516" t="str">
        <f>IF(J83=J81,"No","Yes")</f>
        <v>Yes</v>
      </c>
      <c r="K84" s="803" t="s">
        <v>394</v>
      </c>
      <c r="L84" s="790"/>
      <c r="M84" s="790"/>
      <c r="N84" s="790"/>
      <c r="O84" s="790"/>
      <c r="P84" s="790"/>
      <c r="Q84" s="790"/>
      <c r="R84" s="606"/>
      <c r="S84" s="216"/>
      <c r="T84" s="776"/>
      <c r="U84" s="776"/>
      <c r="V84" s="776"/>
      <c r="W84" s="776"/>
      <c r="X84" s="776"/>
      <c r="Y84" s="776"/>
      <c r="Z84" s="468"/>
      <c r="AA84" s="468"/>
      <c r="AB84" s="216"/>
      <c r="AC84" s="216"/>
      <c r="AD84" s="992"/>
      <c r="AE84" s="1076"/>
      <c r="AF84" s="992"/>
      <c r="AG84" s="992"/>
      <c r="AH84" s="992"/>
      <c r="AI84" s="992"/>
      <c r="AJ84" s="992"/>
      <c r="AK84" s="216"/>
      <c r="AL84" s="216"/>
      <c r="AM84" s="216"/>
      <c r="AN84" s="216"/>
    </row>
    <row r="85" spans="3:40" s="141" customFormat="1" ht="15.75" hidden="1" outlineLevel="1" x14ac:dyDescent="0.25">
      <c r="C85" s="219"/>
      <c r="D85" s="216"/>
      <c r="E85" s="601"/>
      <c r="H85" s="219"/>
      <c r="J85" s="219"/>
      <c r="K85" s="803"/>
      <c r="L85" s="790"/>
      <c r="M85" s="790"/>
      <c r="P85" s="790"/>
      <c r="Q85" s="790"/>
      <c r="R85" s="606"/>
      <c r="S85" s="216"/>
      <c r="T85" s="776"/>
      <c r="U85" s="776"/>
      <c r="V85" s="776"/>
      <c r="W85" s="776"/>
      <c r="X85" s="776"/>
      <c r="Y85" s="776"/>
      <c r="Z85" s="468"/>
      <c r="AA85" s="468"/>
      <c r="AB85" s="216"/>
      <c r="AC85" s="216"/>
      <c r="AD85" s="992"/>
      <c r="AE85" s="1076"/>
      <c r="AF85" s="992"/>
      <c r="AG85" s="992"/>
      <c r="AH85" s="992"/>
      <c r="AI85" s="992"/>
      <c r="AJ85" s="992"/>
      <c r="AK85" s="216"/>
      <c r="AL85" s="216"/>
      <c r="AM85" s="216"/>
      <c r="AN85" s="216"/>
    </row>
    <row r="86" spans="3:40" s="141" customFormat="1" ht="15.75" hidden="1" outlineLevel="1" x14ac:dyDescent="0.25">
      <c r="C86" s="219"/>
      <c r="E86" s="216"/>
      <c r="H86" s="518">
        <f>EOMONTH(H80,0)</f>
        <v>31</v>
      </c>
      <c r="J86" s="518">
        <f>EOMONTH(J80,0)</f>
        <v>31</v>
      </c>
      <c r="K86" s="803" t="s">
        <v>395</v>
      </c>
      <c r="L86" s="790"/>
      <c r="M86" s="790"/>
      <c r="P86" s="790"/>
      <c r="Q86" s="790"/>
      <c r="R86" s="606"/>
      <c r="S86" s="216"/>
      <c r="T86" s="776"/>
      <c r="U86" s="776"/>
      <c r="V86" s="776"/>
      <c r="W86" s="776"/>
      <c r="X86" s="776"/>
      <c r="Y86" s="776"/>
      <c r="Z86" s="468"/>
      <c r="AA86" s="468"/>
      <c r="AB86" s="216"/>
      <c r="AC86" s="216"/>
      <c r="AD86" s="992"/>
      <c r="AE86" s="1076"/>
      <c r="AF86" s="992"/>
      <c r="AG86" s="992"/>
      <c r="AH86" s="992"/>
      <c r="AI86" s="992"/>
      <c r="AJ86" s="992"/>
      <c r="AK86" s="216"/>
      <c r="AL86" s="216"/>
      <c r="AM86" s="216"/>
      <c r="AN86" s="216"/>
    </row>
    <row r="87" spans="3:40" s="141" customFormat="1" ht="15.75" hidden="1" outlineLevel="1" x14ac:dyDescent="0.25">
      <c r="D87" s="803"/>
      <c r="H87" s="141">
        <f>DAY(H86)</f>
        <v>31</v>
      </c>
      <c r="J87" s="141">
        <f>DAY(J86)</f>
        <v>31</v>
      </c>
      <c r="K87" s="803" t="s">
        <v>396</v>
      </c>
      <c r="L87" s="790"/>
      <c r="M87" s="790"/>
      <c r="P87" s="790"/>
      <c r="Q87" s="790"/>
      <c r="R87" s="606"/>
      <c r="S87" s="216"/>
      <c r="T87" s="776"/>
      <c r="U87" s="776"/>
      <c r="V87" s="776"/>
      <c r="W87" s="776"/>
      <c r="X87" s="776"/>
      <c r="Y87" s="776"/>
      <c r="Z87" s="468"/>
      <c r="AA87" s="468"/>
      <c r="AB87" s="216"/>
      <c r="AC87" s="216"/>
      <c r="AD87" s="992"/>
      <c r="AE87" s="1076"/>
      <c r="AF87" s="992"/>
      <c r="AG87" s="992"/>
      <c r="AH87" s="992"/>
      <c r="AI87" s="992"/>
      <c r="AJ87" s="992"/>
      <c r="AK87" s="216"/>
      <c r="AL87" s="216"/>
      <c r="AM87" s="216"/>
      <c r="AN87" s="216"/>
    </row>
    <row r="88" spans="3:40" s="141" customFormat="1" ht="15.75" hidden="1" outlineLevel="1" x14ac:dyDescent="0.25">
      <c r="D88" s="803"/>
      <c r="H88" s="520">
        <f>H86-H80+1</f>
        <v>32</v>
      </c>
      <c r="J88" s="520">
        <f>J86-J80</f>
        <v>31</v>
      </c>
      <c r="K88" s="803" t="s">
        <v>628</v>
      </c>
      <c r="L88" s="790"/>
      <c r="M88" s="790"/>
      <c r="N88" s="790"/>
      <c r="O88" s="790"/>
      <c r="P88" s="790"/>
      <c r="Q88" s="790"/>
      <c r="R88" s="606"/>
      <c r="S88" s="216"/>
      <c r="T88" s="776"/>
      <c r="U88" s="776"/>
      <c r="V88" s="776"/>
      <c r="W88" s="776"/>
      <c r="X88" s="776"/>
      <c r="Y88" s="776"/>
      <c r="Z88" s="468"/>
      <c r="AA88" s="468"/>
      <c r="AB88" s="216"/>
      <c r="AC88" s="216"/>
      <c r="AD88" s="992"/>
      <c r="AE88" s="1076"/>
      <c r="AF88" s="992"/>
      <c r="AG88" s="992"/>
      <c r="AH88" s="992"/>
      <c r="AI88" s="992"/>
      <c r="AJ88" s="992"/>
      <c r="AK88" s="216"/>
      <c r="AL88" s="216"/>
      <c r="AM88" s="216"/>
      <c r="AN88" s="216"/>
    </row>
    <row r="89" spans="3:40" s="141" customFormat="1" ht="15.75" hidden="1" outlineLevel="1" x14ac:dyDescent="0.25">
      <c r="D89" s="803"/>
      <c r="H89" s="141">
        <f>H87-H88</f>
        <v>-1</v>
      </c>
      <c r="J89" s="141">
        <f>J87-J88</f>
        <v>0</v>
      </c>
      <c r="K89" s="803" t="s">
        <v>397</v>
      </c>
      <c r="L89" s="790"/>
      <c r="M89" s="790"/>
      <c r="N89" s="790"/>
      <c r="O89" s="790"/>
      <c r="P89" s="790"/>
      <c r="Q89" s="790"/>
      <c r="R89" s="606"/>
      <c r="S89" s="216"/>
      <c r="T89" s="776"/>
      <c r="U89" s="776"/>
      <c r="V89" s="776"/>
      <c r="W89" s="776"/>
      <c r="X89" s="776"/>
      <c r="Y89" s="776"/>
      <c r="Z89" s="468"/>
      <c r="AA89" s="468"/>
      <c r="AB89" s="216"/>
      <c r="AC89" s="216"/>
      <c r="AD89" s="992"/>
      <c r="AE89" s="992"/>
      <c r="AF89" s="992"/>
      <c r="AG89" s="992"/>
      <c r="AH89" s="992"/>
      <c r="AI89" s="992"/>
      <c r="AJ89" s="992"/>
      <c r="AK89" s="216"/>
      <c r="AL89" s="216"/>
      <c r="AM89" s="216"/>
      <c r="AN89" s="216"/>
    </row>
    <row r="90" spans="3:40" s="141" customFormat="1" ht="15.75" hidden="1" outlineLevel="1" x14ac:dyDescent="0.25">
      <c r="D90" s="803"/>
      <c r="H90" s="718">
        <f>IF(H84="Yes",ROUND(H88/H87,6),0)</f>
        <v>1.0322579999999999</v>
      </c>
      <c r="I90" s="719"/>
      <c r="J90" s="718">
        <f>IF(J84="Yes",ROUND(J89/J87,6),0)</f>
        <v>0</v>
      </c>
      <c r="K90" s="803" t="s">
        <v>398</v>
      </c>
      <c r="L90" s="790"/>
      <c r="M90" s="790"/>
      <c r="N90" s="790"/>
      <c r="O90" s="790"/>
      <c r="P90" s="790"/>
      <c r="Q90" s="790"/>
      <c r="R90" s="606"/>
      <c r="S90" s="216"/>
      <c r="T90" s="776"/>
      <c r="U90" s="776"/>
      <c r="V90" s="776"/>
      <c r="W90" s="776"/>
      <c r="X90" s="776"/>
      <c r="Y90" s="776"/>
      <c r="Z90" s="468"/>
      <c r="AA90" s="468"/>
      <c r="AB90" s="216"/>
      <c r="AC90" s="216"/>
      <c r="AD90" s="992"/>
      <c r="AE90" s="992"/>
      <c r="AF90" s="992"/>
      <c r="AG90" s="992"/>
      <c r="AH90" s="992"/>
      <c r="AI90" s="992"/>
      <c r="AJ90" s="992"/>
      <c r="AK90" s="216"/>
      <c r="AL90" s="216"/>
      <c r="AM90" s="216"/>
      <c r="AN90" s="216"/>
    </row>
    <row r="91" spans="3:40" s="141" customFormat="1" ht="15.75" hidden="1" outlineLevel="1" x14ac:dyDescent="0.25">
      <c r="D91" s="803"/>
      <c r="K91" s="803"/>
      <c r="L91" s="790"/>
      <c r="M91" s="790"/>
      <c r="N91" s="790"/>
      <c r="O91" s="790"/>
      <c r="P91" s="790"/>
      <c r="Q91" s="790"/>
      <c r="R91" s="606"/>
      <c r="S91" s="216"/>
      <c r="T91" s="776"/>
      <c r="U91" s="776"/>
      <c r="V91" s="776"/>
      <c r="W91" s="776"/>
      <c r="X91" s="776"/>
      <c r="Y91" s="776"/>
      <c r="Z91" s="468"/>
      <c r="AA91" s="468"/>
      <c r="AB91" s="216"/>
      <c r="AC91" s="216"/>
      <c r="AD91" s="992"/>
      <c r="AE91" s="992"/>
      <c r="AF91" s="992"/>
      <c r="AG91" s="992"/>
      <c r="AH91" s="992"/>
      <c r="AI91" s="992"/>
      <c r="AJ91" s="992"/>
      <c r="AK91" s="216"/>
      <c r="AL91" s="216"/>
      <c r="AM91" s="216"/>
      <c r="AN91" s="216"/>
    </row>
    <row r="92" spans="3:40" s="141" customFormat="1" ht="15.75" hidden="1" outlineLevel="1" x14ac:dyDescent="0.25">
      <c r="D92" s="803"/>
      <c r="H92" s="542" t="str">
        <f>IF(AND(YEAR(H80)=YEAR(J80),MONTH(H80)=MONTH(J80),H84="YES",J84="YES"),"YES","NO")</f>
        <v>YES</v>
      </c>
      <c r="K92" s="803" t="s">
        <v>410</v>
      </c>
      <c r="L92" s="790"/>
      <c r="M92" s="790"/>
      <c r="N92" s="790"/>
      <c r="O92" s="790"/>
      <c r="P92" s="790"/>
      <c r="Q92" s="790"/>
      <c r="R92" s="606"/>
      <c r="S92" s="216"/>
      <c r="T92" s="776"/>
      <c r="U92" s="776"/>
      <c r="V92" s="776"/>
      <c r="W92" s="776"/>
      <c r="X92" s="776"/>
      <c r="Y92" s="776"/>
      <c r="Z92" s="468"/>
      <c r="AA92" s="468"/>
      <c r="AB92" s="216"/>
      <c r="AC92" s="216"/>
      <c r="AD92" s="992"/>
      <c r="AE92" s="992"/>
      <c r="AF92" s="992"/>
      <c r="AG92" s="992"/>
      <c r="AH92" s="992"/>
      <c r="AI92" s="992"/>
      <c r="AJ92" s="992"/>
      <c r="AK92" s="216"/>
      <c r="AL92" s="216"/>
      <c r="AM92" s="216"/>
      <c r="AN92" s="216"/>
    </row>
    <row r="93" spans="3:40" s="141" customFormat="1" ht="15.75" hidden="1" outlineLevel="1" x14ac:dyDescent="0.25">
      <c r="D93" s="803"/>
      <c r="H93" s="141">
        <f>IF(H92="yes",J80-H80+1,0)</f>
        <v>1</v>
      </c>
      <c r="K93" s="803" t="s">
        <v>411</v>
      </c>
      <c r="L93" s="790"/>
      <c r="M93" s="790"/>
      <c r="N93" s="790"/>
      <c r="O93" s="790"/>
      <c r="P93" s="790"/>
      <c r="Q93" s="790"/>
      <c r="R93" s="606"/>
      <c r="S93" s="216"/>
      <c r="T93" s="776"/>
      <c r="U93" s="776"/>
      <c r="V93" s="776"/>
      <c r="W93" s="776"/>
      <c r="X93" s="776"/>
      <c r="Y93" s="776"/>
      <c r="Z93" s="468"/>
      <c r="AA93" s="468"/>
      <c r="AB93" s="216"/>
      <c r="AC93" s="216"/>
      <c r="AD93" s="992"/>
      <c r="AE93" s="992"/>
      <c r="AF93" s="992"/>
      <c r="AG93" s="992"/>
      <c r="AH93" s="992"/>
      <c r="AI93" s="992"/>
      <c r="AJ93" s="992"/>
      <c r="AK93" s="216"/>
      <c r="AL93" s="216"/>
      <c r="AM93" s="216"/>
      <c r="AN93" s="216"/>
    </row>
    <row r="94" spans="3:40" s="141" customFormat="1" ht="15.75" hidden="1" outlineLevel="1" x14ac:dyDescent="0.25">
      <c r="D94" s="803"/>
      <c r="H94" s="720">
        <f>ROUND(H93/H87,6)</f>
        <v>3.2258000000000002E-2</v>
      </c>
      <c r="K94" s="803" t="s">
        <v>398</v>
      </c>
      <c r="L94" s="790"/>
      <c r="M94" s="790"/>
      <c r="N94" s="790"/>
      <c r="O94" s="790"/>
      <c r="P94" s="790"/>
      <c r="Q94" s="790"/>
      <c r="R94" s="606"/>
      <c r="S94" s="216"/>
      <c r="T94" s="776"/>
      <c r="U94" s="776"/>
      <c r="V94" s="776"/>
      <c r="W94" s="776"/>
      <c r="X94" s="776"/>
      <c r="Y94" s="776"/>
      <c r="Z94" s="468"/>
      <c r="AA94" s="468"/>
      <c r="AB94" s="216"/>
      <c r="AC94" s="216"/>
      <c r="AD94" s="992"/>
      <c r="AE94" s="992"/>
      <c r="AF94" s="992"/>
      <c r="AG94" s="992"/>
      <c r="AH94" s="992"/>
      <c r="AI94" s="992"/>
      <c r="AJ94" s="992"/>
      <c r="AK94" s="216"/>
      <c r="AL94" s="216"/>
      <c r="AM94" s="216"/>
      <c r="AN94" s="216"/>
    </row>
    <row r="95" spans="3:40" s="141" customFormat="1" ht="15.75" hidden="1" outlineLevel="1" x14ac:dyDescent="0.25">
      <c r="L95" s="790"/>
      <c r="M95" s="790"/>
      <c r="N95" s="790"/>
      <c r="O95" s="790"/>
      <c r="P95" s="790"/>
      <c r="Q95" s="790"/>
      <c r="R95" s="606"/>
      <c r="S95" s="216"/>
      <c r="T95" s="776"/>
      <c r="U95" s="776"/>
      <c r="V95" s="776"/>
      <c r="W95" s="776"/>
      <c r="X95" s="776"/>
      <c r="Y95" s="776"/>
      <c r="Z95" s="468"/>
      <c r="AA95" s="468"/>
      <c r="AB95" s="216"/>
      <c r="AC95" s="216"/>
      <c r="AD95" s="992"/>
      <c r="AE95" s="992"/>
      <c r="AF95" s="992"/>
      <c r="AG95" s="992"/>
      <c r="AH95" s="992"/>
      <c r="AI95" s="992"/>
      <c r="AJ95" s="992"/>
      <c r="AK95" s="216"/>
      <c r="AL95" s="216"/>
      <c r="AM95" s="216"/>
      <c r="AN95" s="216"/>
    </row>
    <row r="96" spans="3:40" s="141" customFormat="1" ht="16.5" hidden="1" outlineLevel="1" thickBot="1" x14ac:dyDescent="0.3">
      <c r="H96" s="722">
        <f>IF(H92="No",H90,H94)</f>
        <v>3.2258000000000002E-2</v>
      </c>
      <c r="I96" s="723"/>
      <c r="J96" s="722">
        <f>IF(H92="No",J90,0)</f>
        <v>0</v>
      </c>
      <c r="K96" s="141" t="s">
        <v>492</v>
      </c>
      <c r="L96" s="790"/>
      <c r="M96" s="790"/>
      <c r="N96" s="790"/>
      <c r="O96" s="790"/>
      <c r="P96" s="790"/>
      <c r="Q96" s="790"/>
      <c r="R96" s="606"/>
      <c r="S96" s="216"/>
      <c r="T96" s="776"/>
      <c r="U96" s="776"/>
      <c r="V96" s="776"/>
      <c r="W96" s="776"/>
      <c r="X96" s="776"/>
      <c r="Y96" s="776"/>
      <c r="Z96" s="468"/>
      <c r="AA96" s="468"/>
      <c r="AB96" s="216"/>
      <c r="AC96" s="216"/>
      <c r="AD96" s="992"/>
      <c r="AE96" s="992"/>
      <c r="AF96" s="992"/>
      <c r="AG96" s="992"/>
      <c r="AH96" s="992"/>
      <c r="AI96" s="992"/>
      <c r="AJ96" s="992"/>
      <c r="AK96" s="216"/>
      <c r="AL96" s="216"/>
      <c r="AM96" s="216"/>
      <c r="AN96" s="216"/>
    </row>
    <row r="97" spans="1:40" s="141" customFormat="1" ht="15.75" hidden="1" outlineLevel="1" x14ac:dyDescent="0.25">
      <c r="C97" s="790"/>
      <c r="D97" s="790"/>
      <c r="E97" s="790"/>
      <c r="F97" s="790"/>
      <c r="G97" s="790"/>
      <c r="H97" s="790"/>
      <c r="I97" s="790"/>
      <c r="J97" s="790"/>
      <c r="K97" s="790"/>
      <c r="L97" s="790"/>
      <c r="M97" s="790"/>
      <c r="N97" s="790"/>
      <c r="O97" s="790"/>
      <c r="P97" s="790"/>
      <c r="Q97" s="790"/>
      <c r="R97" s="606"/>
      <c r="S97" s="216"/>
      <c r="T97" s="776"/>
      <c r="U97" s="776"/>
      <c r="V97" s="776"/>
      <c r="W97" s="776"/>
      <c r="X97" s="776"/>
      <c r="Y97" s="776"/>
      <c r="Z97" s="468"/>
      <c r="AA97" s="468"/>
      <c r="AB97" s="216"/>
      <c r="AC97" s="216"/>
      <c r="AD97" s="992"/>
      <c r="AE97" s="992"/>
      <c r="AF97" s="992"/>
      <c r="AG97" s="992"/>
      <c r="AH97" s="992"/>
      <c r="AI97" s="992"/>
      <c r="AJ97" s="992"/>
      <c r="AK97" s="216"/>
      <c r="AL97" s="216"/>
      <c r="AM97" s="216"/>
      <c r="AN97" s="216"/>
    </row>
    <row r="98" spans="1:40" s="141" customFormat="1" ht="27.75" hidden="1" customHeight="1" outlineLevel="1" x14ac:dyDescent="0.25">
      <c r="C98" s="790"/>
      <c r="D98" s="790"/>
      <c r="E98" s="790"/>
      <c r="F98" s="790"/>
      <c r="G98" s="790"/>
      <c r="H98" s="790"/>
      <c r="I98" s="790"/>
      <c r="J98" s="790"/>
      <c r="K98" s="790"/>
      <c r="L98" s="790"/>
      <c r="M98" s="790"/>
      <c r="N98" s="790"/>
      <c r="O98" s="790"/>
      <c r="P98" s="790"/>
      <c r="Q98" s="790"/>
      <c r="R98" s="606"/>
      <c r="S98" s="216"/>
      <c r="T98" s="1518" t="s">
        <v>472</v>
      </c>
      <c r="U98" s="1518"/>
      <c r="V98" s="1518" t="s">
        <v>473</v>
      </c>
      <c r="W98" s="1518"/>
      <c r="X98" s="1518" t="s">
        <v>366</v>
      </c>
      <c r="Y98" s="1518"/>
      <c r="Z98" s="747" t="s">
        <v>609</v>
      </c>
      <c r="AA98" s="614" t="s">
        <v>136</v>
      </c>
      <c r="AB98" s="202"/>
      <c r="AC98" s="202"/>
      <c r="AD98" s="1078" t="s">
        <v>513</v>
      </c>
      <c r="AE98" s="1067" t="s">
        <v>491</v>
      </c>
      <c r="AF98" s="992"/>
      <c r="AG98" s="992"/>
      <c r="AH98" s="992"/>
      <c r="AI98" s="992"/>
      <c r="AJ98" s="992"/>
      <c r="AK98" s="216"/>
      <c r="AL98" s="216"/>
      <c r="AM98" s="216"/>
      <c r="AN98" s="216"/>
    </row>
    <row r="99" spans="1:40" s="141" customFormat="1" ht="15.75" hidden="1" outlineLevel="1" x14ac:dyDescent="0.25">
      <c r="C99" s="790"/>
      <c r="D99" s="790"/>
      <c r="E99" s="790"/>
      <c r="F99" s="790"/>
      <c r="G99" s="790"/>
      <c r="H99" s="790"/>
      <c r="I99" s="790"/>
      <c r="J99" s="790"/>
      <c r="K99" s="790"/>
      <c r="L99" s="790"/>
      <c r="M99" s="790"/>
      <c r="N99" s="790"/>
      <c r="O99" s="790"/>
      <c r="P99" s="790"/>
      <c r="Q99" s="790"/>
      <c r="R99" s="606"/>
      <c r="S99" s="216"/>
      <c r="T99" s="1528">
        <f>ROUND(IF(ISERROR(V99/H33),0,V99/H33),2)</f>
        <v>0</v>
      </c>
      <c r="U99" s="1528"/>
      <c r="V99" s="1521">
        <f>Z44</f>
        <v>0</v>
      </c>
      <c r="W99" s="1521"/>
      <c r="X99" s="1521">
        <f>M55-X100</f>
        <v>0</v>
      </c>
      <c r="Y99" s="1521"/>
      <c r="Z99" s="748">
        <f>M60</f>
        <v>0</v>
      </c>
      <c r="AA99" s="615">
        <f>SUM(V99:Z99)</f>
        <v>0</v>
      </c>
      <c r="AB99" s="202"/>
      <c r="AC99" s="202"/>
      <c r="AD99" s="1079" t="s">
        <v>415</v>
      </c>
      <c r="AE99" s="1079" t="str">
        <f>IF(AND(NOT(X99=0),V99=0),"Yes","No")</f>
        <v>No</v>
      </c>
      <c r="AF99" s="992"/>
      <c r="AG99" s="992"/>
      <c r="AH99" s="992"/>
      <c r="AI99" s="992"/>
      <c r="AJ99" s="992"/>
      <c r="AK99" s="216"/>
      <c r="AL99" s="216"/>
      <c r="AM99" s="216"/>
      <c r="AN99" s="216"/>
    </row>
    <row r="100" spans="1:40" s="141" customFormat="1" ht="15.75" hidden="1" outlineLevel="1" x14ac:dyDescent="0.25">
      <c r="C100" s="790"/>
      <c r="D100" s="790"/>
      <c r="E100" s="790"/>
      <c r="F100" s="790"/>
      <c r="G100" s="790"/>
      <c r="H100" s="790"/>
      <c r="I100" s="790"/>
      <c r="J100" s="790"/>
      <c r="K100" s="790"/>
      <c r="L100" s="790"/>
      <c r="M100" s="790"/>
      <c r="N100" s="790"/>
      <c r="O100" s="790"/>
      <c r="P100" s="790"/>
      <c r="Q100" s="790"/>
      <c r="R100" s="606"/>
      <c r="S100" s="216"/>
      <c r="T100" s="1528" t="s">
        <v>511</v>
      </c>
      <c r="U100" s="1528"/>
      <c r="V100" s="1521" t="s">
        <v>512</v>
      </c>
      <c r="W100" s="1521"/>
      <c r="X100" s="1521">
        <f>M66</f>
        <v>0</v>
      </c>
      <c r="Y100" s="1521"/>
      <c r="Z100" s="747" t="s">
        <v>512</v>
      </c>
      <c r="AA100" s="615">
        <f>SUM(V100:Z100)</f>
        <v>0</v>
      </c>
      <c r="AD100" s="1079" t="s">
        <v>367</v>
      </c>
      <c r="AE100" s="1079" t="str">
        <f>IF(AND(NOT(X100=0),V100=0),"Yes","No")</f>
        <v>No</v>
      </c>
      <c r="AF100" s="992"/>
      <c r="AG100" s="992"/>
      <c r="AH100" s="992"/>
      <c r="AI100" s="992"/>
      <c r="AJ100" s="992"/>
      <c r="AK100" s="216"/>
      <c r="AL100" s="216"/>
      <c r="AM100" s="216"/>
      <c r="AN100" s="216"/>
    </row>
    <row r="101" spans="1:40" s="141" customFormat="1" ht="15.75" hidden="1" outlineLevel="1" x14ac:dyDescent="0.25">
      <c r="C101" s="790"/>
      <c r="D101" s="790"/>
      <c r="E101" s="790"/>
      <c r="F101" s="790"/>
      <c r="G101" s="790"/>
      <c r="H101" s="790"/>
      <c r="I101" s="790"/>
      <c r="J101" s="790"/>
      <c r="K101" s="790"/>
      <c r="L101" s="790"/>
      <c r="M101" s="790"/>
      <c r="N101" s="790"/>
      <c r="O101" s="790"/>
      <c r="P101" s="790"/>
      <c r="Q101" s="790"/>
      <c r="R101" s="606"/>
      <c r="S101" s="216"/>
      <c r="T101" s="1529" t="s">
        <v>136</v>
      </c>
      <c r="U101" s="1529"/>
      <c r="V101" s="1519">
        <f>SUM(V99:W100)</f>
        <v>0</v>
      </c>
      <c r="W101" s="1520"/>
      <c r="X101" s="1519">
        <f>SUM(X99:Y100)</f>
        <v>0</v>
      </c>
      <c r="Y101" s="1520"/>
      <c r="Z101" s="615">
        <f>SUM(Z99:Z100)</f>
        <v>0</v>
      </c>
      <c r="AA101" s="615">
        <f>SUM(AA99:AA100)</f>
        <v>0</v>
      </c>
      <c r="AB101" s="216"/>
      <c r="AC101" s="216"/>
      <c r="AD101" s="1080"/>
      <c r="AE101" s="1081"/>
      <c r="AF101" s="992"/>
      <c r="AG101" s="992"/>
      <c r="AH101" s="992"/>
      <c r="AI101" s="992"/>
      <c r="AJ101" s="992"/>
      <c r="AK101" s="216"/>
      <c r="AL101" s="216"/>
      <c r="AM101" s="216"/>
      <c r="AN101" s="216"/>
    </row>
    <row r="102" spans="1:40" s="141" customFormat="1" ht="15.75" hidden="1" outlineLevel="1" x14ac:dyDescent="0.25">
      <c r="C102" s="790"/>
      <c r="D102" s="790"/>
      <c r="E102" s="790"/>
      <c r="F102" s="790"/>
      <c r="G102" s="790"/>
      <c r="H102" s="790"/>
      <c r="I102" s="790"/>
      <c r="J102" s="790"/>
      <c r="K102" s="790"/>
      <c r="L102" s="790"/>
      <c r="M102" s="790"/>
      <c r="N102" s="790"/>
      <c r="O102" s="790"/>
      <c r="P102" s="790"/>
      <c r="Q102" s="790"/>
      <c r="R102" s="606"/>
      <c r="S102" s="216"/>
      <c r="T102" s="776"/>
      <c r="U102" s="776"/>
      <c r="V102" s="776"/>
      <c r="W102" s="776"/>
      <c r="X102" s="776"/>
      <c r="Y102" s="776"/>
      <c r="Z102" s="468"/>
      <c r="AA102" s="468"/>
      <c r="AB102" s="216"/>
      <c r="AC102" s="216"/>
      <c r="AD102" s="992"/>
      <c r="AE102" s="992"/>
      <c r="AF102" s="992"/>
      <c r="AG102" s="992"/>
      <c r="AH102" s="992"/>
      <c r="AI102" s="992"/>
      <c r="AJ102" s="992"/>
      <c r="AK102" s="216"/>
      <c r="AL102" s="216"/>
      <c r="AM102" s="216"/>
      <c r="AN102" s="216"/>
    </row>
    <row r="103" spans="1:40" s="141" customFormat="1" ht="15.75" collapsed="1" x14ac:dyDescent="0.25">
      <c r="C103" s="1569" t="s">
        <v>695</v>
      </c>
      <c r="D103" s="1569"/>
      <c r="E103" s="1569"/>
      <c r="F103" s="1569"/>
      <c r="G103" s="1569"/>
      <c r="H103" s="1569"/>
      <c r="I103" s="1569"/>
      <c r="J103" s="1569"/>
      <c r="K103" s="1569"/>
      <c r="L103" s="1569"/>
      <c r="M103" s="1569"/>
      <c r="N103" s="1569"/>
      <c r="O103" s="1569"/>
      <c r="P103" s="1569"/>
      <c r="Q103" s="1569"/>
      <c r="R103" s="1569"/>
      <c r="S103" s="1569"/>
      <c r="T103" s="1569"/>
      <c r="U103" s="1569"/>
      <c r="V103" s="776"/>
      <c r="W103" s="776"/>
      <c r="X103" s="776"/>
      <c r="Y103" s="776"/>
      <c r="Z103" s="468"/>
      <c r="AA103" s="468"/>
      <c r="AB103" s="216"/>
      <c r="AC103" s="216"/>
      <c r="AD103" s="992"/>
      <c r="AE103" s="992"/>
      <c r="AF103" s="992"/>
      <c r="AG103" s="992"/>
      <c r="AH103" s="992"/>
      <c r="AI103" s="992"/>
      <c r="AJ103" s="992"/>
      <c r="AK103" s="216"/>
      <c r="AL103" s="216"/>
      <c r="AM103" s="216"/>
      <c r="AN103" s="216"/>
    </row>
    <row r="104" spans="1:40" s="141" customFormat="1" ht="15" customHeight="1" x14ac:dyDescent="0.25">
      <c r="C104" s="525" t="s">
        <v>654</v>
      </c>
      <c r="G104" s="848" t="str">
        <f>IF(SUM(AI106,AI124,AI142)&gt;0,"WARNING: Generally, you may not cross a CLBC March 31 fiscal year end, please re-check below your payment line dates.","")</f>
        <v/>
      </c>
      <c r="Q104" s="496"/>
      <c r="R104" s="496"/>
      <c r="S104" s="704"/>
      <c r="T104" s="704"/>
      <c r="U104" s="704"/>
      <c r="V104" s="704"/>
      <c r="W104" s="704"/>
      <c r="X104" s="704"/>
      <c r="Y104" s="704"/>
      <c r="Z104" s="704"/>
      <c r="AA104" s="468"/>
      <c r="AB104" s="216"/>
      <c r="AC104" s="216"/>
      <c r="AD104" s="992"/>
      <c r="AE104" s="992"/>
      <c r="AF104" s="992"/>
      <c r="AG104" s="992"/>
      <c r="AH104" s="992"/>
      <c r="AI104" s="992"/>
      <c r="AJ104" s="992"/>
      <c r="AK104" s="216"/>
      <c r="AL104" s="216"/>
      <c r="AM104" s="216"/>
      <c r="AN104" s="216"/>
    </row>
    <row r="105" spans="1:40" s="141" customFormat="1" ht="25.5" x14ac:dyDescent="0.2">
      <c r="C105" s="789" t="s">
        <v>464</v>
      </c>
      <c r="D105" s="1537" t="s">
        <v>351</v>
      </c>
      <c r="E105" s="1537"/>
      <c r="F105" s="788" t="s">
        <v>481</v>
      </c>
      <c r="G105" s="1537" t="s">
        <v>519</v>
      </c>
      <c r="H105" s="1537"/>
      <c r="I105" s="1537" t="s">
        <v>520</v>
      </c>
      <c r="J105" s="1537"/>
      <c r="K105" s="1537" t="s">
        <v>469</v>
      </c>
      <c r="L105" s="1537"/>
      <c r="M105" s="789" t="s">
        <v>470</v>
      </c>
      <c r="N105" s="1535" t="s">
        <v>471</v>
      </c>
      <c r="O105" s="1536"/>
      <c r="P105" s="1535" t="s">
        <v>388</v>
      </c>
      <c r="Q105" s="1536"/>
      <c r="R105" s="732"/>
      <c r="S105" s="733"/>
      <c r="AA105" s="586"/>
      <c r="AD105" s="992"/>
      <c r="AE105" s="1067" t="s">
        <v>646</v>
      </c>
      <c r="AF105" s="1067" t="s">
        <v>647</v>
      </c>
      <c r="AG105" s="1067"/>
      <c r="AH105" s="1067"/>
      <c r="AI105" s="1067" t="s">
        <v>622</v>
      </c>
      <c r="AJ105" s="1067" t="s">
        <v>662</v>
      </c>
      <c r="AK105" s="216"/>
      <c r="AL105" s="216"/>
      <c r="AM105" s="216"/>
      <c r="AN105" s="216"/>
    </row>
    <row r="106" spans="1:40" s="141" customFormat="1" ht="15" customHeight="1" x14ac:dyDescent="0.2">
      <c r="B106" s="141" t="s">
        <v>648</v>
      </c>
      <c r="C106" s="666"/>
      <c r="D106" s="1544"/>
      <c r="E106" s="1544"/>
      <c r="F106" s="730" t="s">
        <v>671</v>
      </c>
      <c r="G106" s="1540"/>
      <c r="H106" s="1540"/>
      <c r="I106" s="1540"/>
      <c r="J106" s="1540"/>
      <c r="K106" s="1538">
        <f>ROUND(IF(N109=0,0,IF($AE$99="No",K109)),2)</f>
        <v>0</v>
      </c>
      <c r="L106" s="1538"/>
      <c r="M106" s="808" t="str">
        <f>IF(K106&gt;0,"Hours","")</f>
        <v/>
      </c>
      <c r="N106" s="1542">
        <f>ROUND(IF($AE$99="yes",0,$P$80*E115),2)</f>
        <v>0</v>
      </c>
      <c r="O106" s="1542"/>
      <c r="P106" s="1538">
        <f>IF($AE$99="yes","Combo Not Allowed",ROUND(K106*N106,2))</f>
        <v>0</v>
      </c>
      <c r="Q106" s="1538"/>
      <c r="R106" s="741" t="str">
        <f>IF(AG106&gt;0,"ERRO Alert! The date range you entered for this payment line is INVALID. Please check and re-enter.","")</f>
        <v/>
      </c>
      <c r="S106" s="729"/>
      <c r="AA106" s="468"/>
      <c r="AD106" s="992"/>
      <c r="AE106" s="1059">
        <f>IF(G106&gt;0,IF(MONTH(G106)&gt;3,DATE(YEAR(G106)+1,3,31),DATE(YEAR(G106),3,31)),0)</f>
        <v>0</v>
      </c>
      <c r="AF106" s="1059">
        <f>IF(AE106&gt;$Q$20,$Q$20,AE106)</f>
        <v>0</v>
      </c>
      <c r="AG106" s="1070"/>
      <c r="AH106" s="1070"/>
      <c r="AI106" s="1070">
        <f>IF(AND(G106&gt;0,I106&gt;0,I106&gt;AF106),1,0)</f>
        <v>0</v>
      </c>
      <c r="AJ106" s="1070">
        <f>IF(AND(G106&gt;0,I106&gt;0),IF(OR(G106&lt;$Q$18,I106&gt;$Q$20),1,0),0)</f>
        <v>0</v>
      </c>
      <c r="AK106" s="216"/>
      <c r="AL106" s="216"/>
      <c r="AM106" s="216"/>
      <c r="AN106" s="216"/>
    </row>
    <row r="107" spans="1:40" s="141" customFormat="1" ht="15" hidden="1" customHeight="1" outlineLevel="1" x14ac:dyDescent="0.2">
      <c r="A107" s="202"/>
      <c r="B107" s="202"/>
      <c r="C107" s="551"/>
      <c r="D107" s="771"/>
      <c r="E107" s="771"/>
      <c r="F107" s="484"/>
      <c r="G107" s="141">
        <f>G113</f>
        <v>31</v>
      </c>
      <c r="I107" s="141">
        <f>I113</f>
        <v>31</v>
      </c>
      <c r="J107" s="772"/>
      <c r="K107" s="802"/>
      <c r="L107" s="802"/>
      <c r="M107" s="796"/>
      <c r="N107" s="795"/>
      <c r="O107" s="795"/>
      <c r="P107" s="802"/>
      <c r="Q107" s="802"/>
      <c r="R107" s="735"/>
      <c r="S107" s="729"/>
      <c r="T107" s="727"/>
      <c r="U107" s="727"/>
      <c r="V107" s="728"/>
      <c r="W107" s="728"/>
      <c r="X107" s="728"/>
      <c r="Y107" s="728"/>
      <c r="Z107" s="705"/>
      <c r="AA107" s="468"/>
      <c r="AB107" s="202"/>
      <c r="AC107" s="202"/>
      <c r="AD107" s="1081"/>
      <c r="AE107" s="1081"/>
      <c r="AF107" s="1074"/>
      <c r="AG107" s="1061"/>
      <c r="AH107" s="1061"/>
      <c r="AI107" s="1061"/>
      <c r="AJ107" s="1061"/>
      <c r="AK107" s="216"/>
      <c r="AL107" s="216"/>
      <c r="AM107" s="216"/>
      <c r="AN107" s="216"/>
    </row>
    <row r="108" spans="1:40" s="141" customFormat="1" ht="30.75" hidden="1" customHeight="1" outlineLevel="1" x14ac:dyDescent="0.2">
      <c r="A108" s="202"/>
      <c r="B108" s="202"/>
      <c r="C108" s="551"/>
      <c r="D108" s="771"/>
      <c r="E108" s="771"/>
      <c r="F108" s="484"/>
      <c r="G108" s="141">
        <v>1</v>
      </c>
      <c r="I108" s="141">
        <v>1</v>
      </c>
      <c r="J108" s="772"/>
      <c r="K108" s="1543" t="s">
        <v>651</v>
      </c>
      <c r="L108" s="1543"/>
      <c r="M108" s="796"/>
      <c r="N108" s="1522" t="s">
        <v>650</v>
      </c>
      <c r="O108" s="1523"/>
      <c r="P108" s="802"/>
      <c r="Q108" s="802"/>
      <c r="R108" s="735"/>
      <c r="S108" s="729"/>
      <c r="AD108" s="992"/>
      <c r="AE108" s="992"/>
      <c r="AF108" s="1074"/>
      <c r="AG108" s="1061"/>
      <c r="AH108" s="1061"/>
      <c r="AI108" s="1061"/>
      <c r="AJ108" s="1061"/>
      <c r="AK108" s="216"/>
      <c r="AL108" s="216"/>
      <c r="AM108" s="216"/>
      <c r="AN108" s="216"/>
    </row>
    <row r="109" spans="1:40" s="141" customFormat="1" ht="15" hidden="1" customHeight="1" outlineLevel="1" x14ac:dyDescent="0.2">
      <c r="A109" s="202"/>
      <c r="B109" s="202"/>
      <c r="C109" s="773"/>
      <c r="D109" s="771"/>
      <c r="E109" s="771"/>
      <c r="F109" s="484"/>
      <c r="G109" s="141">
        <f>DAY(G106)</f>
        <v>0</v>
      </c>
      <c r="I109" s="141">
        <f>DAY(I106)</f>
        <v>0</v>
      </c>
      <c r="J109" s="772"/>
      <c r="K109" s="1541">
        <f>ROUND(IF(N109=0,0,IF($AE$99="No",$AA$99/N109)),2)</f>
        <v>0</v>
      </c>
      <c r="L109" s="1541"/>
      <c r="M109" s="796"/>
      <c r="N109" s="1558">
        <f>IF($AE$99="Yes",0,$H$33)</f>
        <v>0</v>
      </c>
      <c r="O109" s="1558"/>
      <c r="P109" s="735"/>
      <c r="Q109" s="802"/>
      <c r="R109" s="735"/>
      <c r="S109" s="729"/>
      <c r="AD109" s="992"/>
      <c r="AE109" s="992"/>
      <c r="AF109" s="1074"/>
      <c r="AG109" s="1061"/>
      <c r="AH109" s="1061"/>
      <c r="AI109" s="1061"/>
      <c r="AJ109" s="1061"/>
      <c r="AK109" s="216"/>
      <c r="AL109" s="216"/>
      <c r="AM109" s="216"/>
      <c r="AN109" s="216"/>
    </row>
    <row r="110" spans="1:40" s="141" customFormat="1" ht="15" hidden="1" customHeight="1" outlineLevel="1" x14ac:dyDescent="0.2">
      <c r="A110" s="202"/>
      <c r="B110" s="202"/>
      <c r="C110" s="773"/>
      <c r="D110" s="771"/>
      <c r="E110" s="771"/>
      <c r="F110" s="484"/>
      <c r="G110" s="516" t="str">
        <f>IF(G109=G108,"No","Yes")</f>
        <v>Yes</v>
      </c>
      <c r="I110" s="516" t="str">
        <f>IF(I109=I107,"No","Yes")</f>
        <v>Yes</v>
      </c>
      <c r="J110" s="772"/>
      <c r="K110" s="1546"/>
      <c r="L110" s="1546"/>
      <c r="M110" s="796"/>
      <c r="N110" s="1539"/>
      <c r="O110" s="1539"/>
      <c r="P110" s="735"/>
      <c r="Q110" s="802"/>
      <c r="R110" s="735"/>
      <c r="S110" s="729"/>
      <c r="T110" s="727"/>
      <c r="U110" s="727"/>
      <c r="V110" s="728"/>
      <c r="W110" s="728"/>
      <c r="X110" s="728"/>
      <c r="Y110" s="728"/>
      <c r="Z110" s="705"/>
      <c r="AA110" s="468"/>
      <c r="AB110" s="202"/>
      <c r="AC110" s="202"/>
      <c r="AD110" s="1081"/>
      <c r="AE110" s="1081"/>
      <c r="AF110" s="1074"/>
      <c r="AG110" s="1061"/>
      <c r="AH110" s="1061"/>
      <c r="AI110" s="1061"/>
      <c r="AJ110" s="1061"/>
      <c r="AK110" s="216"/>
      <c r="AL110" s="216"/>
      <c r="AM110" s="216"/>
      <c r="AN110" s="216"/>
    </row>
    <row r="111" spans="1:40" s="141" customFormat="1" ht="15" hidden="1" customHeight="1" outlineLevel="1" x14ac:dyDescent="0.2">
      <c r="A111" s="202"/>
      <c r="B111" s="202"/>
      <c r="F111" s="484"/>
      <c r="G111" s="219"/>
      <c r="I111" s="219"/>
      <c r="J111" s="772"/>
      <c r="L111" s="802"/>
      <c r="M111" s="796"/>
      <c r="N111" s="795"/>
      <c r="O111" s="795"/>
      <c r="P111" s="802"/>
      <c r="Q111" s="802"/>
      <c r="R111" s="735"/>
      <c r="S111" s="729"/>
      <c r="T111" s="727"/>
      <c r="U111" s="727"/>
      <c r="V111" s="728"/>
      <c r="W111" s="728"/>
      <c r="X111" s="728"/>
      <c r="Y111" s="728"/>
      <c r="Z111" s="705"/>
      <c r="AA111" s="468"/>
      <c r="AB111" s="202"/>
      <c r="AC111" s="202"/>
      <c r="AD111" s="1081"/>
      <c r="AE111" s="1081"/>
      <c r="AF111" s="1074"/>
      <c r="AG111" s="1061"/>
      <c r="AH111" s="1061"/>
      <c r="AI111" s="1061"/>
      <c r="AJ111" s="1061"/>
      <c r="AK111" s="216"/>
      <c r="AL111" s="216"/>
      <c r="AM111" s="216"/>
      <c r="AN111" s="216"/>
    </row>
    <row r="112" spans="1:40" s="141" customFormat="1" ht="15" hidden="1" customHeight="1" outlineLevel="1" x14ac:dyDescent="0.2">
      <c r="A112" s="202"/>
      <c r="B112" s="202"/>
      <c r="C112" s="141" t="s">
        <v>493</v>
      </c>
      <c r="D112" s="771"/>
      <c r="E112" s="597">
        <f>IF(NOT(G106=0),IF(G118="NO",(YEAR(I106)-YEAR(G106))*12+MONTH(I106)-MONTH(G106)+IF(G110="no",1,0)+IF(I110="yes",-1,0),0),0)</f>
        <v>0</v>
      </c>
      <c r="F112" s="484"/>
      <c r="G112" s="518">
        <f>EOMONTH(G106,0)</f>
        <v>31</v>
      </c>
      <c r="I112" s="518">
        <f>EOMONTH(I106,0)</f>
        <v>31</v>
      </c>
      <c r="J112" s="772"/>
      <c r="Q112" s="802"/>
      <c r="R112" s="735"/>
      <c r="S112" s="729"/>
      <c r="T112" s="727"/>
      <c r="U112" s="727"/>
      <c r="V112" s="728"/>
      <c r="W112" s="728"/>
      <c r="X112" s="728"/>
      <c r="Y112" s="728"/>
      <c r="Z112" s="705"/>
      <c r="AA112" s="468"/>
      <c r="AB112" s="202"/>
      <c r="AC112" s="202"/>
      <c r="AD112" s="1081"/>
      <c r="AE112" s="1081"/>
      <c r="AF112" s="1074"/>
      <c r="AG112" s="1061"/>
      <c r="AH112" s="1061"/>
      <c r="AI112" s="1061"/>
      <c r="AJ112" s="1061"/>
      <c r="AK112" s="216"/>
      <c r="AL112" s="216"/>
      <c r="AM112" s="216"/>
      <c r="AN112" s="216"/>
    </row>
    <row r="113" spans="1:40" s="141" customFormat="1" ht="15" hidden="1" customHeight="1" outlineLevel="1" x14ac:dyDescent="0.2">
      <c r="A113" s="202"/>
      <c r="B113" s="202"/>
      <c r="C113" s="141" t="s">
        <v>494</v>
      </c>
      <c r="D113" s="771"/>
      <c r="E113" s="736">
        <f>IF(NOT(G106=0),G122,0)</f>
        <v>0</v>
      </c>
      <c r="F113" s="484"/>
      <c r="G113" s="141">
        <f>DAY(G112)</f>
        <v>31</v>
      </c>
      <c r="I113" s="141">
        <f>DAY(I112)</f>
        <v>31</v>
      </c>
      <c r="J113" s="772"/>
      <c r="K113" s="802"/>
      <c r="L113" s="802"/>
      <c r="M113" s="796"/>
      <c r="N113" s="795"/>
      <c r="O113" s="795"/>
      <c r="P113" s="802"/>
      <c r="Q113" s="802"/>
      <c r="R113" s="735"/>
      <c r="S113" s="729"/>
      <c r="T113" s="727"/>
      <c r="U113" s="727"/>
      <c r="V113" s="728"/>
      <c r="W113" s="728"/>
      <c r="X113" s="728"/>
      <c r="Y113" s="728"/>
      <c r="Z113" s="705"/>
      <c r="AA113" s="468"/>
      <c r="AB113" s="202"/>
      <c r="AC113" s="202"/>
      <c r="AD113" s="1081"/>
      <c r="AE113" s="1081"/>
      <c r="AF113" s="1074"/>
      <c r="AG113" s="1061"/>
      <c r="AH113" s="1061"/>
      <c r="AI113" s="1061"/>
      <c r="AJ113" s="1061"/>
      <c r="AK113" s="216"/>
      <c r="AL113" s="216"/>
      <c r="AM113" s="216"/>
      <c r="AN113" s="216"/>
    </row>
    <row r="114" spans="1:40" s="141" customFormat="1" ht="15" hidden="1" customHeight="1" outlineLevel="1" x14ac:dyDescent="0.2">
      <c r="A114" s="202"/>
      <c r="B114" s="202"/>
      <c r="C114" s="141" t="s">
        <v>495</v>
      </c>
      <c r="D114" s="771"/>
      <c r="E114" s="737">
        <f>IF(NOT(G106=0),I122,0)</f>
        <v>0</v>
      </c>
      <c r="F114" s="484"/>
      <c r="G114" s="520">
        <f>G112-G106+1</f>
        <v>32</v>
      </c>
      <c r="I114" s="520">
        <f>I112-I106</f>
        <v>31</v>
      </c>
      <c r="J114" s="772"/>
      <c r="K114" s="802"/>
      <c r="L114" s="802"/>
      <c r="M114" s="796"/>
      <c r="N114" s="795"/>
      <c r="O114" s="795"/>
      <c r="P114" s="802"/>
      <c r="Q114" s="802"/>
      <c r="R114" s="735"/>
      <c r="S114" s="729"/>
      <c r="T114" s="727"/>
      <c r="U114" s="727"/>
      <c r="V114" s="728"/>
      <c r="W114" s="728"/>
      <c r="X114" s="728"/>
      <c r="Y114" s="728"/>
      <c r="Z114" s="705"/>
      <c r="AA114" s="468"/>
      <c r="AB114" s="202"/>
      <c r="AC114" s="202"/>
      <c r="AD114" s="1081"/>
      <c r="AE114" s="1081"/>
      <c r="AF114" s="1074"/>
      <c r="AG114" s="1061"/>
      <c r="AH114" s="1061"/>
      <c r="AI114" s="1061"/>
      <c r="AJ114" s="1061"/>
      <c r="AK114" s="216"/>
      <c r="AL114" s="216"/>
      <c r="AM114" s="216"/>
      <c r="AN114" s="216"/>
    </row>
    <row r="115" spans="1:40" s="141" customFormat="1" ht="15" hidden="1" customHeight="1" outlineLevel="1" x14ac:dyDescent="0.2">
      <c r="A115" s="202"/>
      <c r="B115" s="202"/>
      <c r="C115" s="219" t="s">
        <v>496</v>
      </c>
      <c r="D115" s="771"/>
      <c r="E115" s="736">
        <f>SUM(E112:E114)</f>
        <v>0</v>
      </c>
      <c r="F115" s="484"/>
      <c r="G115" s="141">
        <f>G113-G114</f>
        <v>-1</v>
      </c>
      <c r="I115" s="141">
        <f>I113-I114</f>
        <v>0</v>
      </c>
      <c r="J115" s="772"/>
      <c r="K115" s="802"/>
      <c r="L115" s="802"/>
      <c r="M115" s="796"/>
      <c r="N115" s="795"/>
      <c r="O115" s="795"/>
      <c r="P115" s="802"/>
      <c r="Q115" s="802"/>
      <c r="R115" s="735"/>
      <c r="S115" s="729"/>
      <c r="T115" s="727"/>
      <c r="U115" s="727"/>
      <c r="V115" s="728"/>
      <c r="W115" s="728"/>
      <c r="X115" s="728"/>
      <c r="Y115" s="728"/>
      <c r="Z115" s="705"/>
      <c r="AA115" s="468"/>
      <c r="AB115" s="202"/>
      <c r="AC115" s="202"/>
      <c r="AD115" s="1081"/>
      <c r="AE115" s="1081"/>
      <c r="AF115" s="1074"/>
      <c r="AG115" s="1061"/>
      <c r="AH115" s="1061"/>
      <c r="AI115" s="1061"/>
      <c r="AJ115" s="1061"/>
      <c r="AK115" s="216"/>
      <c r="AL115" s="216"/>
      <c r="AM115" s="216"/>
      <c r="AN115" s="216"/>
    </row>
    <row r="116" spans="1:40" s="141" customFormat="1" ht="15" hidden="1" customHeight="1" outlineLevel="1" x14ac:dyDescent="0.2">
      <c r="A116" s="202"/>
      <c r="B116" s="202"/>
      <c r="F116" s="484"/>
      <c r="G116" s="718">
        <f>IF(G110="Yes",ROUND(G114/G113,6),0)</f>
        <v>1.0322579999999999</v>
      </c>
      <c r="H116" s="719"/>
      <c r="I116" s="718">
        <f>IF(I110="Yes",ROUND(I115/I113,6),0)</f>
        <v>0</v>
      </c>
      <c r="J116" s="772"/>
      <c r="K116" s="802"/>
      <c r="L116" s="802"/>
      <c r="M116" s="796"/>
      <c r="N116" s="795"/>
      <c r="O116" s="795"/>
      <c r="P116" s="802"/>
      <c r="Q116" s="802"/>
      <c r="R116" s="735"/>
      <c r="S116" s="729"/>
      <c r="T116" s="727"/>
      <c r="U116" s="727"/>
      <c r="V116" s="728"/>
      <c r="W116" s="728"/>
      <c r="X116" s="728"/>
      <c r="Y116" s="728"/>
      <c r="Z116" s="705"/>
      <c r="AA116" s="468"/>
      <c r="AB116" s="202"/>
      <c r="AC116" s="202"/>
      <c r="AD116" s="1081"/>
      <c r="AE116" s="1081"/>
      <c r="AF116" s="1074"/>
      <c r="AG116" s="1061"/>
      <c r="AH116" s="1061"/>
      <c r="AI116" s="1061"/>
      <c r="AJ116" s="1061"/>
      <c r="AK116" s="216"/>
      <c r="AL116" s="216"/>
      <c r="AM116" s="216"/>
      <c r="AN116" s="216"/>
    </row>
    <row r="117" spans="1:40" s="141" customFormat="1" ht="15" hidden="1" customHeight="1" outlineLevel="1" x14ac:dyDescent="0.2">
      <c r="A117" s="202"/>
      <c r="B117" s="202"/>
      <c r="C117" s="773"/>
      <c r="D117" s="771"/>
      <c r="E117" s="771"/>
      <c r="F117" s="484"/>
      <c r="J117" s="772"/>
      <c r="K117" s="802"/>
      <c r="L117" s="802"/>
      <c r="M117" s="796"/>
      <c r="N117" s="795"/>
      <c r="O117" s="795"/>
      <c r="P117" s="802"/>
      <c r="Q117" s="802"/>
      <c r="R117" s="735"/>
      <c r="S117" s="729"/>
      <c r="T117" s="727"/>
      <c r="U117" s="727"/>
      <c r="V117" s="728"/>
      <c r="W117" s="728"/>
      <c r="X117" s="728"/>
      <c r="Y117" s="728"/>
      <c r="Z117" s="705"/>
      <c r="AA117" s="468"/>
      <c r="AB117" s="202"/>
      <c r="AC117" s="202"/>
      <c r="AD117" s="1081"/>
      <c r="AE117" s="1081"/>
      <c r="AF117" s="1074"/>
      <c r="AG117" s="1061"/>
      <c r="AH117" s="1061"/>
      <c r="AI117" s="1061"/>
      <c r="AJ117" s="1061"/>
      <c r="AK117" s="216"/>
      <c r="AL117" s="216"/>
      <c r="AM117" s="216"/>
      <c r="AN117" s="216"/>
    </row>
    <row r="118" spans="1:40" s="141" customFormat="1" ht="15" hidden="1" customHeight="1" outlineLevel="1" x14ac:dyDescent="0.2">
      <c r="A118" s="202"/>
      <c r="B118" s="202"/>
      <c r="C118" s="773"/>
      <c r="D118" s="771"/>
      <c r="E118" s="771"/>
      <c r="F118" s="484"/>
      <c r="G118" s="542" t="str">
        <f>IF(AND(YEAR(G106)=YEAR(I106),MONTH(G106)=MONTH(I106),G110="YES",I110="YES"),"YES","NO")</f>
        <v>YES</v>
      </c>
      <c r="J118" s="772"/>
      <c r="K118" s="802"/>
      <c r="L118" s="802"/>
      <c r="M118" s="796"/>
      <c r="N118" s="795"/>
      <c r="O118" s="795"/>
      <c r="P118" s="802"/>
      <c r="Q118" s="802"/>
      <c r="R118" s="735"/>
      <c r="S118" s="729"/>
      <c r="T118" s="727"/>
      <c r="U118" s="727"/>
      <c r="V118" s="728"/>
      <c r="W118" s="728"/>
      <c r="X118" s="728"/>
      <c r="Y118" s="728"/>
      <c r="Z118" s="705"/>
      <c r="AA118" s="468"/>
      <c r="AB118" s="202"/>
      <c r="AC118" s="202"/>
      <c r="AD118" s="1081"/>
      <c r="AE118" s="1081"/>
      <c r="AF118" s="1074"/>
      <c r="AG118" s="1061"/>
      <c r="AH118" s="1061"/>
      <c r="AI118" s="1061"/>
      <c r="AJ118" s="1061"/>
      <c r="AK118" s="216"/>
      <c r="AL118" s="216"/>
      <c r="AM118" s="216"/>
      <c r="AN118" s="216"/>
    </row>
    <row r="119" spans="1:40" s="141" customFormat="1" ht="15" hidden="1" customHeight="1" outlineLevel="1" x14ac:dyDescent="0.2">
      <c r="A119" s="202"/>
      <c r="B119" s="202"/>
      <c r="C119" s="773"/>
      <c r="D119" s="771"/>
      <c r="E119" s="771"/>
      <c r="F119" s="484"/>
      <c r="G119" s="141">
        <f>IF(G118="yes",I106-G106+1,0)</f>
        <v>1</v>
      </c>
      <c r="J119" s="772"/>
      <c r="K119" s="802"/>
      <c r="L119" s="802"/>
      <c r="M119" s="796"/>
      <c r="N119" s="795"/>
      <c r="O119" s="795"/>
      <c r="P119" s="802"/>
      <c r="Q119" s="802"/>
      <c r="R119" s="735"/>
      <c r="S119" s="729"/>
      <c r="T119" s="727"/>
      <c r="U119" s="727"/>
      <c r="V119" s="728"/>
      <c r="W119" s="728"/>
      <c r="X119" s="728"/>
      <c r="Y119" s="728"/>
      <c r="Z119" s="705"/>
      <c r="AA119" s="468"/>
      <c r="AB119" s="202"/>
      <c r="AC119" s="202"/>
      <c r="AD119" s="1081"/>
      <c r="AE119" s="1081"/>
      <c r="AF119" s="1074"/>
      <c r="AG119" s="1061"/>
      <c r="AH119" s="1061"/>
      <c r="AI119" s="1061"/>
      <c r="AJ119" s="1061"/>
      <c r="AK119" s="216"/>
      <c r="AL119" s="216"/>
      <c r="AM119" s="216"/>
      <c r="AN119" s="216"/>
    </row>
    <row r="120" spans="1:40" s="141" customFormat="1" ht="15" hidden="1" customHeight="1" outlineLevel="1" x14ac:dyDescent="0.2">
      <c r="A120" s="202"/>
      <c r="B120" s="202"/>
      <c r="C120" s="773"/>
      <c r="D120" s="771"/>
      <c r="E120" s="771"/>
      <c r="F120" s="484"/>
      <c r="G120" s="720">
        <f>ROUND(G119/G113,6)</f>
        <v>3.2258000000000002E-2</v>
      </c>
      <c r="J120" s="772"/>
      <c r="K120" s="802"/>
      <c r="L120" s="802"/>
      <c r="M120" s="796"/>
      <c r="N120" s="795"/>
      <c r="O120" s="795"/>
      <c r="P120" s="802"/>
      <c r="Q120" s="802"/>
      <c r="R120" s="735"/>
      <c r="S120" s="729"/>
      <c r="T120" s="727"/>
      <c r="U120" s="727"/>
      <c r="V120" s="728"/>
      <c r="W120" s="728"/>
      <c r="X120" s="728"/>
      <c r="Y120" s="728"/>
      <c r="Z120" s="705"/>
      <c r="AA120" s="468"/>
      <c r="AB120" s="202"/>
      <c r="AC120" s="202"/>
      <c r="AD120" s="1081"/>
      <c r="AE120" s="1081"/>
      <c r="AF120" s="1074"/>
      <c r="AG120" s="1061"/>
      <c r="AH120" s="1061"/>
      <c r="AI120" s="1061"/>
      <c r="AJ120" s="1061"/>
      <c r="AK120" s="216"/>
      <c r="AL120" s="216"/>
      <c r="AM120" s="216"/>
      <c r="AN120" s="216"/>
    </row>
    <row r="121" spans="1:40" s="141" customFormat="1" ht="15" hidden="1" customHeight="1" outlineLevel="1" x14ac:dyDescent="0.2">
      <c r="A121" s="202"/>
      <c r="B121" s="202"/>
      <c r="C121" s="773"/>
      <c r="D121" s="771"/>
      <c r="E121" s="771"/>
      <c r="F121" s="484"/>
      <c r="J121" s="772"/>
      <c r="K121" s="802"/>
      <c r="L121" s="802"/>
      <c r="M121" s="796"/>
      <c r="N121" s="795"/>
      <c r="O121" s="795"/>
      <c r="P121" s="802"/>
      <c r="Q121" s="802"/>
      <c r="R121" s="735"/>
      <c r="S121" s="729"/>
      <c r="T121" s="727"/>
      <c r="U121" s="727"/>
      <c r="V121" s="728"/>
      <c r="W121" s="728"/>
      <c r="X121" s="728"/>
      <c r="Y121" s="728"/>
      <c r="Z121" s="705"/>
      <c r="AA121" s="468"/>
      <c r="AB121" s="202"/>
      <c r="AC121" s="202"/>
      <c r="AD121" s="1081"/>
      <c r="AE121" s="1081"/>
      <c r="AF121" s="1074"/>
      <c r="AG121" s="1061"/>
      <c r="AH121" s="1061"/>
      <c r="AI121" s="1061"/>
      <c r="AJ121" s="1061"/>
      <c r="AK121" s="216"/>
      <c r="AL121" s="216"/>
      <c r="AM121" s="216"/>
      <c r="AN121" s="216"/>
    </row>
    <row r="122" spans="1:40" s="141" customFormat="1" ht="15" hidden="1" customHeight="1" outlineLevel="1" thickBot="1" x14ac:dyDescent="0.25">
      <c r="A122" s="202"/>
      <c r="B122" s="202"/>
      <c r="C122" s="551"/>
      <c r="D122" s="771"/>
      <c r="E122" s="771"/>
      <c r="F122" s="484"/>
      <c r="G122" s="722">
        <f>IF(G118="No",G116,G120)</f>
        <v>3.2258000000000002E-2</v>
      </c>
      <c r="H122" s="723"/>
      <c r="I122" s="722">
        <f>IF(G118="No",I116,0)</f>
        <v>0</v>
      </c>
      <c r="J122" s="772"/>
      <c r="K122" s="802"/>
      <c r="L122" s="802"/>
      <c r="M122" s="796"/>
      <c r="N122" s="795"/>
      <c r="O122" s="795"/>
      <c r="P122" s="802"/>
      <c r="Q122" s="802"/>
      <c r="R122" s="735"/>
      <c r="S122" s="729"/>
      <c r="T122" s="727"/>
      <c r="U122" s="727"/>
      <c r="V122" s="728"/>
      <c r="W122" s="728"/>
      <c r="X122" s="728"/>
      <c r="Y122" s="728"/>
      <c r="Z122" s="705"/>
      <c r="AA122" s="468"/>
      <c r="AB122" s="202"/>
      <c r="AC122" s="202"/>
      <c r="AD122" s="1081"/>
      <c r="AE122" s="1081"/>
      <c r="AF122" s="1074"/>
      <c r="AG122" s="1061"/>
      <c r="AH122" s="1061"/>
      <c r="AI122" s="1061"/>
      <c r="AJ122" s="1061"/>
      <c r="AK122" s="216"/>
      <c r="AL122" s="216"/>
      <c r="AM122" s="216"/>
      <c r="AN122" s="216"/>
    </row>
    <row r="123" spans="1:40" s="141" customFormat="1" ht="15" hidden="1" customHeight="1" outlineLevel="1" x14ac:dyDescent="0.2">
      <c r="A123" s="202"/>
      <c r="B123" s="202"/>
      <c r="C123" s="551"/>
      <c r="D123" s="771"/>
      <c r="E123" s="771"/>
      <c r="F123" s="484"/>
      <c r="G123" s="772"/>
      <c r="H123" s="772"/>
      <c r="I123" s="772"/>
      <c r="J123" s="772"/>
      <c r="K123" s="802"/>
      <c r="L123" s="802"/>
      <c r="M123" s="796"/>
      <c r="N123" s="795"/>
      <c r="O123" s="795"/>
      <c r="P123" s="802"/>
      <c r="Q123" s="802"/>
      <c r="R123" s="735"/>
      <c r="S123" s="729"/>
      <c r="T123" s="727"/>
      <c r="U123" s="727"/>
      <c r="V123" s="728"/>
      <c r="W123" s="728"/>
      <c r="X123" s="728"/>
      <c r="Y123" s="728"/>
      <c r="Z123" s="705"/>
      <c r="AA123" s="468"/>
      <c r="AB123" s="202"/>
      <c r="AC123" s="202"/>
      <c r="AD123" s="1081"/>
      <c r="AE123" s="1081"/>
      <c r="AF123" s="1074"/>
      <c r="AG123" s="1061"/>
      <c r="AH123" s="1061"/>
      <c r="AI123" s="1061"/>
      <c r="AJ123" s="1061"/>
      <c r="AK123" s="216"/>
      <c r="AL123" s="216"/>
      <c r="AM123" s="216"/>
      <c r="AN123" s="216"/>
    </row>
    <row r="124" spans="1:40" s="141" customFormat="1" ht="15" customHeight="1" collapsed="1" x14ac:dyDescent="0.2">
      <c r="B124" s="141" t="s">
        <v>649</v>
      </c>
      <c r="C124" s="666"/>
      <c r="D124" s="1544"/>
      <c r="E124" s="1544"/>
      <c r="F124" s="730" t="s">
        <v>671</v>
      </c>
      <c r="G124" s="1540"/>
      <c r="H124" s="1540"/>
      <c r="I124" s="1540"/>
      <c r="J124" s="1540"/>
      <c r="K124" s="1538">
        <f>IF(G124&gt;0,IF(N127=0,0,IF($AE$99="No",K127)),0)</f>
        <v>0</v>
      </c>
      <c r="L124" s="1538"/>
      <c r="M124" s="808" t="str">
        <f>IF(K124&gt;0,"Hours","")</f>
        <v/>
      </c>
      <c r="N124" s="1542">
        <f>ROUND(IF($AE$99="yes",0,$P$80*E133),2)</f>
        <v>0</v>
      </c>
      <c r="O124" s="1542"/>
      <c r="P124" s="1538">
        <f>IF($AE$99="yes","Combo Not Allowed",ROUND(K124*N124,2))</f>
        <v>0</v>
      </c>
      <c r="Q124" s="1538"/>
      <c r="R124" s="741" t="str">
        <f>IF(AG124&gt;0,"ERRO Alert! The date range you entered for this payment line is INVALID. Please check and re-enter.","")</f>
        <v/>
      </c>
      <c r="S124" s="729"/>
      <c r="AA124" s="468"/>
      <c r="AD124" s="992"/>
      <c r="AE124" s="1059">
        <f>IF(G124&gt;0,IF(MONTH(G124)&gt;3,DATE(YEAR(G124)+1,3,31),DATE(YEAR(G124),3,31)),0)</f>
        <v>0</v>
      </c>
      <c r="AF124" s="1059">
        <f>IF(AE124&gt;$Q$20,$Q$20,AE124)</f>
        <v>0</v>
      </c>
      <c r="AG124" s="1070"/>
      <c r="AH124" s="1070"/>
      <c r="AI124" s="1070">
        <f>IF(AND(G124&gt;0,I124&gt;0,I124&gt;AF124),1,0)</f>
        <v>0</v>
      </c>
      <c r="AJ124" s="1070">
        <f>IF(AND(G124&gt;0,I124&gt;0),IF(OR(G124&lt;$Q$18,I124&gt;$Q$20),1,0),0)</f>
        <v>0</v>
      </c>
      <c r="AK124" s="216"/>
      <c r="AL124" s="216"/>
      <c r="AM124" s="216"/>
      <c r="AN124" s="216"/>
    </row>
    <row r="125" spans="1:40" s="141" customFormat="1" ht="15" hidden="1" customHeight="1" outlineLevel="1" x14ac:dyDescent="0.2">
      <c r="A125" s="202"/>
      <c r="B125" s="202"/>
      <c r="C125" s="551"/>
      <c r="D125" s="771"/>
      <c r="E125" s="771"/>
      <c r="F125" s="484"/>
      <c r="G125" s="141">
        <f>G131</f>
        <v>31</v>
      </c>
      <c r="I125" s="141">
        <f>I131</f>
        <v>31</v>
      </c>
      <c r="J125" s="772"/>
      <c r="K125" s="802"/>
      <c r="L125" s="802"/>
      <c r="M125" s="796"/>
      <c r="N125" s="795"/>
      <c r="O125" s="795"/>
      <c r="P125" s="802"/>
      <c r="Q125" s="802"/>
      <c r="R125" s="802"/>
      <c r="S125" s="729"/>
      <c r="T125" s="727"/>
      <c r="U125" s="727"/>
      <c r="V125" s="728"/>
      <c r="W125" s="728"/>
      <c r="X125" s="728"/>
      <c r="Y125" s="728"/>
      <c r="Z125" s="705"/>
      <c r="AA125" s="468"/>
      <c r="AB125" s="202"/>
      <c r="AC125" s="202"/>
      <c r="AD125" s="1081"/>
      <c r="AE125" s="1081"/>
      <c r="AF125" s="1074"/>
      <c r="AG125" s="1061"/>
      <c r="AH125" s="1061"/>
      <c r="AI125" s="1061"/>
      <c r="AJ125" s="1061"/>
      <c r="AK125" s="216"/>
      <c r="AL125" s="216"/>
      <c r="AM125" s="216"/>
      <c r="AN125" s="216"/>
    </row>
    <row r="126" spans="1:40" s="141" customFormat="1" ht="23.25" hidden="1" customHeight="1" outlineLevel="1" x14ac:dyDescent="0.2">
      <c r="A126" s="202"/>
      <c r="B126" s="202"/>
      <c r="C126" s="551"/>
      <c r="D126" s="771"/>
      <c r="E126" s="771"/>
      <c r="F126" s="484"/>
      <c r="G126" s="141">
        <v>1</v>
      </c>
      <c r="I126" s="141">
        <v>1</v>
      </c>
      <c r="J126" s="772"/>
      <c r="K126" s="1543" t="s">
        <v>651</v>
      </c>
      <c r="L126" s="1543"/>
      <c r="M126" s="796"/>
      <c r="N126" s="1522" t="s">
        <v>650</v>
      </c>
      <c r="O126" s="1523"/>
      <c r="P126" s="802"/>
      <c r="Q126" s="802"/>
      <c r="R126" s="802"/>
      <c r="S126" s="729"/>
      <c r="AD126" s="992"/>
      <c r="AE126" s="992"/>
      <c r="AF126" s="1074"/>
      <c r="AG126" s="1061"/>
      <c r="AH126" s="1061"/>
      <c r="AI126" s="1061"/>
      <c r="AJ126" s="1061"/>
      <c r="AK126" s="216"/>
      <c r="AL126" s="216"/>
      <c r="AM126" s="216"/>
      <c r="AN126" s="216"/>
    </row>
    <row r="127" spans="1:40" s="141" customFormat="1" ht="15" hidden="1" customHeight="1" outlineLevel="1" x14ac:dyDescent="0.2">
      <c r="A127" s="202"/>
      <c r="B127" s="202"/>
      <c r="C127" s="773"/>
      <c r="D127" s="771"/>
      <c r="E127" s="771"/>
      <c r="F127" s="484"/>
      <c r="G127" s="141">
        <f>DAY(G124)</f>
        <v>0</v>
      </c>
      <c r="I127" s="141">
        <f>DAY(I124)</f>
        <v>0</v>
      </c>
      <c r="J127" s="772"/>
      <c r="K127" s="1541">
        <f>ROUND(IF(N127=0,0,IF($AE$99="No",$AA$99/N127)),2)</f>
        <v>0</v>
      </c>
      <c r="L127" s="1541"/>
      <c r="M127" s="796"/>
      <c r="N127" s="1566">
        <f>IF($AE$99="Yes",0,$H$33)</f>
        <v>0</v>
      </c>
      <c r="O127" s="1567"/>
      <c r="P127" s="735"/>
      <c r="Q127" s="802"/>
      <c r="R127" s="802"/>
      <c r="S127" s="729"/>
      <c r="AD127" s="992"/>
      <c r="AE127" s="992"/>
      <c r="AF127" s="1074"/>
      <c r="AG127" s="1061"/>
      <c r="AH127" s="1061"/>
      <c r="AI127" s="1061"/>
      <c r="AJ127" s="1061"/>
      <c r="AK127" s="216"/>
      <c r="AL127" s="216"/>
      <c r="AM127" s="216"/>
      <c r="AN127" s="216"/>
    </row>
    <row r="128" spans="1:40" s="141" customFormat="1" ht="15" hidden="1" customHeight="1" outlineLevel="1" x14ac:dyDescent="0.2">
      <c r="A128" s="202"/>
      <c r="B128" s="202"/>
      <c r="C128" s="773"/>
      <c r="D128" s="771"/>
      <c r="E128" s="771"/>
      <c r="F128" s="484"/>
      <c r="G128" s="516" t="str">
        <f>IF(G127=G126,"No","Yes")</f>
        <v>Yes</v>
      </c>
      <c r="I128" s="516" t="str">
        <f>IF(I127=I125,"No","Yes")</f>
        <v>Yes</v>
      </c>
      <c r="J128" s="772"/>
      <c r="K128" s="1546"/>
      <c r="L128" s="1546"/>
      <c r="M128" s="796"/>
      <c r="N128" s="1539"/>
      <c r="O128" s="1539"/>
      <c r="P128" s="735"/>
      <c r="Q128" s="802"/>
      <c r="R128" s="802"/>
      <c r="S128" s="729"/>
      <c r="T128" s="727"/>
      <c r="U128" s="727"/>
      <c r="V128" s="728"/>
      <c r="W128" s="728"/>
      <c r="X128" s="728"/>
      <c r="Y128" s="728"/>
      <c r="Z128" s="705"/>
      <c r="AA128" s="468"/>
      <c r="AB128" s="202"/>
      <c r="AC128" s="202"/>
      <c r="AD128" s="1081"/>
      <c r="AE128" s="1081"/>
      <c r="AF128" s="1074"/>
      <c r="AG128" s="1061"/>
      <c r="AH128" s="1061"/>
      <c r="AI128" s="1061"/>
      <c r="AJ128" s="1061"/>
      <c r="AK128" s="216"/>
      <c r="AL128" s="216"/>
      <c r="AM128" s="216"/>
      <c r="AN128" s="216"/>
    </row>
    <row r="129" spans="1:40" s="141" customFormat="1" ht="15" hidden="1" customHeight="1" outlineLevel="1" x14ac:dyDescent="0.2">
      <c r="A129" s="202"/>
      <c r="B129" s="202"/>
      <c r="F129" s="484"/>
      <c r="G129" s="219"/>
      <c r="I129" s="219"/>
      <c r="J129" s="772"/>
      <c r="L129" s="802"/>
      <c r="M129" s="796"/>
      <c r="N129" s="795"/>
      <c r="O129" s="795"/>
      <c r="P129" s="802"/>
      <c r="Q129" s="802"/>
      <c r="R129" s="802"/>
      <c r="S129" s="729"/>
      <c r="T129" s="727"/>
      <c r="U129" s="727"/>
      <c r="V129" s="728"/>
      <c r="W129" s="728"/>
      <c r="X129" s="728"/>
      <c r="Y129" s="728"/>
      <c r="Z129" s="705"/>
      <c r="AA129" s="468"/>
      <c r="AB129" s="202"/>
      <c r="AC129" s="202"/>
      <c r="AD129" s="1081"/>
      <c r="AE129" s="1081"/>
      <c r="AF129" s="1074"/>
      <c r="AG129" s="1061"/>
      <c r="AH129" s="1061"/>
      <c r="AI129" s="1061"/>
      <c r="AJ129" s="1061"/>
      <c r="AK129" s="216"/>
      <c r="AL129" s="216"/>
      <c r="AM129" s="216"/>
      <c r="AN129" s="216"/>
    </row>
    <row r="130" spans="1:40" s="141" customFormat="1" ht="15" hidden="1" customHeight="1" outlineLevel="1" x14ac:dyDescent="0.2">
      <c r="A130" s="202"/>
      <c r="B130" s="202"/>
      <c r="C130" s="141" t="s">
        <v>493</v>
      </c>
      <c r="D130" s="771"/>
      <c r="E130" s="597">
        <f>IF(NOT(G124=0),IF(G136="NO",(YEAR(I124)-YEAR(G124))*12+MONTH(I124)-MONTH(G124)+IF(G128="no",1,0)+IF(I128="yes",-1,0),0),0)</f>
        <v>0</v>
      </c>
      <c r="F130" s="484"/>
      <c r="G130" s="518">
        <f>EOMONTH(G124,0)</f>
        <v>31</v>
      </c>
      <c r="I130" s="518">
        <f>EOMONTH(I124,0)</f>
        <v>31</v>
      </c>
      <c r="J130" s="772"/>
      <c r="Q130" s="802"/>
      <c r="R130" s="802"/>
      <c r="S130" s="729"/>
      <c r="T130" s="727"/>
      <c r="U130" s="727"/>
      <c r="V130" s="728"/>
      <c r="W130" s="728"/>
      <c r="X130" s="728"/>
      <c r="Y130" s="728"/>
      <c r="Z130" s="705"/>
      <c r="AA130" s="468"/>
      <c r="AB130" s="202"/>
      <c r="AC130" s="202"/>
      <c r="AD130" s="1081"/>
      <c r="AE130" s="1081"/>
      <c r="AF130" s="1074"/>
      <c r="AG130" s="1061"/>
      <c r="AH130" s="1061"/>
      <c r="AI130" s="1061"/>
      <c r="AJ130" s="1061"/>
      <c r="AK130" s="216"/>
      <c r="AL130" s="216"/>
      <c r="AM130" s="216"/>
      <c r="AN130" s="216"/>
    </row>
    <row r="131" spans="1:40" s="141" customFormat="1" ht="15" hidden="1" customHeight="1" outlineLevel="1" x14ac:dyDescent="0.2">
      <c r="A131" s="202"/>
      <c r="B131" s="202"/>
      <c r="C131" s="141" t="s">
        <v>494</v>
      </c>
      <c r="D131" s="771"/>
      <c r="E131" s="736">
        <f>IF(NOT(G124=0),G140,0)</f>
        <v>0</v>
      </c>
      <c r="F131" s="484"/>
      <c r="G131" s="141">
        <f>DAY(G130)</f>
        <v>31</v>
      </c>
      <c r="I131" s="141">
        <f>DAY(I130)</f>
        <v>31</v>
      </c>
      <c r="J131" s="772"/>
      <c r="K131" s="802"/>
      <c r="L131" s="802"/>
      <c r="M131" s="796"/>
      <c r="N131" s="795"/>
      <c r="O131" s="795"/>
      <c r="P131" s="802"/>
      <c r="Q131" s="802"/>
      <c r="R131" s="802"/>
      <c r="S131" s="729"/>
      <c r="T131" s="727"/>
      <c r="U131" s="727"/>
      <c r="V131" s="728"/>
      <c r="W131" s="728"/>
      <c r="X131" s="728"/>
      <c r="Y131" s="728"/>
      <c r="Z131" s="705"/>
      <c r="AA131" s="468"/>
      <c r="AB131" s="202"/>
      <c r="AC131" s="202"/>
      <c r="AD131" s="1081"/>
      <c r="AE131" s="1081"/>
      <c r="AF131" s="1074"/>
      <c r="AG131" s="1061"/>
      <c r="AH131" s="1061"/>
      <c r="AI131" s="1061"/>
      <c r="AJ131" s="1061"/>
      <c r="AK131" s="216"/>
      <c r="AL131" s="216"/>
      <c r="AM131" s="216"/>
      <c r="AN131" s="216"/>
    </row>
    <row r="132" spans="1:40" s="141" customFormat="1" ht="15" hidden="1" customHeight="1" outlineLevel="1" x14ac:dyDescent="0.2">
      <c r="A132" s="202"/>
      <c r="B132" s="202"/>
      <c r="C132" s="141" t="s">
        <v>495</v>
      </c>
      <c r="D132" s="771"/>
      <c r="E132" s="737">
        <f>IF(NOT(G124=0),I140,0)</f>
        <v>0</v>
      </c>
      <c r="F132" s="484"/>
      <c r="G132" s="520">
        <f>G130-G124+1</f>
        <v>32</v>
      </c>
      <c r="I132" s="520">
        <f>I130-I124</f>
        <v>31</v>
      </c>
      <c r="J132" s="772"/>
      <c r="K132" s="802"/>
      <c r="L132" s="802"/>
      <c r="M132" s="796"/>
      <c r="N132" s="795"/>
      <c r="O132" s="795"/>
      <c r="P132" s="802"/>
      <c r="Q132" s="802"/>
      <c r="R132" s="802"/>
      <c r="S132" s="729"/>
      <c r="T132" s="727"/>
      <c r="U132" s="727"/>
      <c r="V132" s="728"/>
      <c r="W132" s="728"/>
      <c r="X132" s="728"/>
      <c r="Y132" s="728"/>
      <c r="Z132" s="705"/>
      <c r="AA132" s="468"/>
      <c r="AB132" s="202"/>
      <c r="AC132" s="202"/>
      <c r="AD132" s="1081"/>
      <c r="AE132" s="1081"/>
      <c r="AF132" s="1074"/>
      <c r="AG132" s="1061"/>
      <c r="AH132" s="1061"/>
      <c r="AI132" s="1061"/>
      <c r="AJ132" s="1061"/>
      <c r="AK132" s="216"/>
      <c r="AL132" s="216"/>
      <c r="AM132" s="216"/>
      <c r="AN132" s="216"/>
    </row>
    <row r="133" spans="1:40" s="141" customFormat="1" ht="15" hidden="1" customHeight="1" outlineLevel="1" x14ac:dyDescent="0.2">
      <c r="A133" s="202"/>
      <c r="B133" s="202"/>
      <c r="C133" s="219" t="s">
        <v>496</v>
      </c>
      <c r="D133" s="771"/>
      <c r="E133" s="736">
        <f>SUM(E130:E132)</f>
        <v>0</v>
      </c>
      <c r="F133" s="484"/>
      <c r="G133" s="141">
        <f>G131-G132</f>
        <v>-1</v>
      </c>
      <c r="I133" s="141">
        <f>I131-I132</f>
        <v>0</v>
      </c>
      <c r="J133" s="772"/>
      <c r="K133" s="802"/>
      <c r="L133" s="802"/>
      <c r="M133" s="796"/>
      <c r="N133" s="795"/>
      <c r="O133" s="795"/>
      <c r="P133" s="802"/>
      <c r="Q133" s="802"/>
      <c r="R133" s="802"/>
      <c r="S133" s="729"/>
      <c r="T133" s="727"/>
      <c r="U133" s="727"/>
      <c r="V133" s="728"/>
      <c r="W133" s="728"/>
      <c r="X133" s="728"/>
      <c r="Y133" s="728"/>
      <c r="Z133" s="705"/>
      <c r="AA133" s="468"/>
      <c r="AB133" s="202"/>
      <c r="AC133" s="202"/>
      <c r="AD133" s="1081"/>
      <c r="AE133" s="1081"/>
      <c r="AF133" s="1074"/>
      <c r="AG133" s="1061"/>
      <c r="AH133" s="1061"/>
      <c r="AI133" s="1061"/>
      <c r="AJ133" s="1061"/>
      <c r="AK133" s="216"/>
      <c r="AL133" s="216"/>
      <c r="AM133" s="216"/>
      <c r="AN133" s="216"/>
    </row>
    <row r="134" spans="1:40" s="141" customFormat="1" ht="15" hidden="1" customHeight="1" outlineLevel="1" x14ac:dyDescent="0.2">
      <c r="A134" s="202"/>
      <c r="B134" s="202"/>
      <c r="F134" s="484"/>
      <c r="G134" s="718">
        <f>IF(G128="Yes",ROUND(G132/G131,6),0)</f>
        <v>1.0322579999999999</v>
      </c>
      <c r="H134" s="719"/>
      <c r="I134" s="718">
        <f>IF(I128="Yes",ROUND(I133/I131,6),0)</f>
        <v>0</v>
      </c>
      <c r="J134" s="772"/>
      <c r="K134" s="802"/>
      <c r="L134" s="802"/>
      <c r="M134" s="796"/>
      <c r="N134" s="795"/>
      <c r="O134" s="795"/>
      <c r="P134" s="802"/>
      <c r="Q134" s="802"/>
      <c r="R134" s="802"/>
      <c r="S134" s="729"/>
      <c r="T134" s="727"/>
      <c r="U134" s="727"/>
      <c r="V134" s="728"/>
      <c r="W134" s="728"/>
      <c r="X134" s="728"/>
      <c r="Y134" s="728"/>
      <c r="Z134" s="705"/>
      <c r="AA134" s="468"/>
      <c r="AB134" s="202"/>
      <c r="AC134" s="202"/>
      <c r="AD134" s="1081"/>
      <c r="AE134" s="1081"/>
      <c r="AF134" s="1074"/>
      <c r="AG134" s="1061"/>
      <c r="AH134" s="1061"/>
      <c r="AI134" s="1061"/>
      <c r="AJ134" s="1061"/>
      <c r="AK134" s="216"/>
      <c r="AL134" s="216"/>
      <c r="AM134" s="216"/>
      <c r="AN134" s="216"/>
    </row>
    <row r="135" spans="1:40" s="141" customFormat="1" ht="15" hidden="1" customHeight="1" outlineLevel="1" x14ac:dyDescent="0.2">
      <c r="A135" s="202"/>
      <c r="B135" s="202"/>
      <c r="C135" s="773"/>
      <c r="D135" s="771"/>
      <c r="E135" s="771"/>
      <c r="F135" s="484"/>
      <c r="J135" s="772"/>
      <c r="K135" s="802"/>
      <c r="L135" s="802"/>
      <c r="M135" s="796"/>
      <c r="N135" s="795"/>
      <c r="O135" s="795"/>
      <c r="P135" s="802"/>
      <c r="Q135" s="802"/>
      <c r="R135" s="802"/>
      <c r="S135" s="729"/>
      <c r="T135" s="727"/>
      <c r="U135" s="727"/>
      <c r="V135" s="728"/>
      <c r="W135" s="728"/>
      <c r="X135" s="728"/>
      <c r="Y135" s="728"/>
      <c r="Z135" s="705"/>
      <c r="AA135" s="468"/>
      <c r="AB135" s="202"/>
      <c r="AC135" s="202"/>
      <c r="AD135" s="1081"/>
      <c r="AE135" s="1081"/>
      <c r="AF135" s="1074"/>
      <c r="AG135" s="1061"/>
      <c r="AH135" s="1061"/>
      <c r="AI135" s="1061"/>
      <c r="AJ135" s="1061"/>
      <c r="AK135" s="216"/>
      <c r="AL135" s="216"/>
      <c r="AM135" s="216"/>
      <c r="AN135" s="216"/>
    </row>
    <row r="136" spans="1:40" s="141" customFormat="1" ht="15" hidden="1" customHeight="1" outlineLevel="1" x14ac:dyDescent="0.2">
      <c r="A136" s="202"/>
      <c r="B136" s="202"/>
      <c r="C136" s="773"/>
      <c r="D136" s="771"/>
      <c r="E136" s="771"/>
      <c r="F136" s="484"/>
      <c r="G136" s="542" t="str">
        <f>IF(AND(YEAR(G124)=YEAR(I124),MONTH(G124)=MONTH(I124),G128="YES",I128="YES"),"YES","NO")</f>
        <v>YES</v>
      </c>
      <c r="J136" s="772"/>
      <c r="K136" s="802"/>
      <c r="L136" s="802"/>
      <c r="M136" s="796"/>
      <c r="N136" s="795"/>
      <c r="O136" s="795"/>
      <c r="P136" s="802"/>
      <c r="Q136" s="802"/>
      <c r="R136" s="802"/>
      <c r="S136" s="729"/>
      <c r="T136" s="727"/>
      <c r="U136" s="727"/>
      <c r="V136" s="728"/>
      <c r="W136" s="728"/>
      <c r="X136" s="728"/>
      <c r="Y136" s="728"/>
      <c r="Z136" s="705"/>
      <c r="AA136" s="468"/>
      <c r="AB136" s="202"/>
      <c r="AC136" s="202"/>
      <c r="AD136" s="1081"/>
      <c r="AE136" s="1081"/>
      <c r="AF136" s="1074"/>
      <c r="AG136" s="1061"/>
      <c r="AH136" s="1061"/>
      <c r="AI136" s="1061"/>
      <c r="AJ136" s="1061"/>
      <c r="AK136" s="216"/>
      <c r="AL136" s="216"/>
      <c r="AM136" s="216"/>
      <c r="AN136" s="216"/>
    </row>
    <row r="137" spans="1:40" s="141" customFormat="1" ht="15" hidden="1" customHeight="1" outlineLevel="1" x14ac:dyDescent="0.2">
      <c r="A137" s="202"/>
      <c r="B137" s="202"/>
      <c r="C137" s="773"/>
      <c r="D137" s="771"/>
      <c r="E137" s="771"/>
      <c r="F137" s="484"/>
      <c r="G137" s="141">
        <f>IF(G136="yes",I124-G124+1,0)</f>
        <v>1</v>
      </c>
      <c r="J137" s="772"/>
      <c r="K137" s="802"/>
      <c r="L137" s="802"/>
      <c r="M137" s="796"/>
      <c r="N137" s="795"/>
      <c r="O137" s="795"/>
      <c r="P137" s="802"/>
      <c r="Q137" s="802"/>
      <c r="R137" s="802"/>
      <c r="S137" s="729"/>
      <c r="T137" s="727"/>
      <c r="U137" s="727"/>
      <c r="V137" s="728"/>
      <c r="W137" s="728"/>
      <c r="X137" s="728"/>
      <c r="Y137" s="728"/>
      <c r="Z137" s="705"/>
      <c r="AA137" s="468"/>
      <c r="AB137" s="202"/>
      <c r="AC137" s="202"/>
      <c r="AD137" s="1081"/>
      <c r="AE137" s="1081"/>
      <c r="AF137" s="1074"/>
      <c r="AG137" s="1061"/>
      <c r="AH137" s="1061"/>
      <c r="AI137" s="1061"/>
      <c r="AJ137" s="1061"/>
      <c r="AK137" s="216"/>
      <c r="AL137" s="216"/>
      <c r="AM137" s="216"/>
      <c r="AN137" s="216"/>
    </row>
    <row r="138" spans="1:40" s="141" customFormat="1" ht="15" hidden="1" customHeight="1" outlineLevel="1" x14ac:dyDescent="0.2">
      <c r="A138" s="202"/>
      <c r="B138" s="202"/>
      <c r="C138" s="773"/>
      <c r="D138" s="771"/>
      <c r="E138" s="771"/>
      <c r="F138" s="484"/>
      <c r="G138" s="720">
        <f>ROUND(G137/G131,6)</f>
        <v>3.2258000000000002E-2</v>
      </c>
      <c r="J138" s="772"/>
      <c r="K138" s="802"/>
      <c r="L138" s="802"/>
      <c r="M138" s="796"/>
      <c r="N138" s="795"/>
      <c r="O138" s="795"/>
      <c r="P138" s="802"/>
      <c r="Q138" s="802"/>
      <c r="R138" s="802"/>
      <c r="S138" s="729"/>
      <c r="T138" s="727"/>
      <c r="U138" s="727"/>
      <c r="V138" s="728"/>
      <c r="W138" s="728"/>
      <c r="X138" s="728"/>
      <c r="Y138" s="728"/>
      <c r="Z138" s="705"/>
      <c r="AA138" s="468"/>
      <c r="AB138" s="202"/>
      <c r="AC138" s="202"/>
      <c r="AD138" s="1081"/>
      <c r="AE138" s="1081"/>
      <c r="AF138" s="1074"/>
      <c r="AG138" s="1061"/>
      <c r="AH138" s="1061"/>
      <c r="AI138" s="1061"/>
      <c r="AJ138" s="1061"/>
      <c r="AK138" s="216"/>
      <c r="AL138" s="216"/>
      <c r="AM138" s="216"/>
      <c r="AN138" s="216"/>
    </row>
    <row r="139" spans="1:40" s="141" customFormat="1" ht="15" hidden="1" customHeight="1" outlineLevel="1" x14ac:dyDescent="0.2">
      <c r="A139" s="202"/>
      <c r="B139" s="202"/>
      <c r="C139" s="773"/>
      <c r="D139" s="771"/>
      <c r="E139" s="771"/>
      <c r="F139" s="484"/>
      <c r="J139" s="772"/>
      <c r="K139" s="802"/>
      <c r="L139" s="802"/>
      <c r="M139" s="796"/>
      <c r="N139" s="795"/>
      <c r="O139" s="795"/>
      <c r="P139" s="802"/>
      <c r="Q139" s="802"/>
      <c r="R139" s="802"/>
      <c r="S139" s="729"/>
      <c r="T139" s="727"/>
      <c r="U139" s="727"/>
      <c r="V139" s="728"/>
      <c r="W139" s="728"/>
      <c r="X139" s="728"/>
      <c r="Y139" s="728"/>
      <c r="Z139" s="705"/>
      <c r="AA139" s="468"/>
      <c r="AB139" s="202"/>
      <c r="AC139" s="202"/>
      <c r="AD139" s="1081"/>
      <c r="AE139" s="1081"/>
      <c r="AF139" s="1074"/>
      <c r="AG139" s="1061"/>
      <c r="AH139" s="1061"/>
      <c r="AI139" s="1061"/>
      <c r="AJ139" s="1061"/>
      <c r="AK139" s="216"/>
      <c r="AL139" s="216"/>
      <c r="AM139" s="216"/>
      <c r="AN139" s="216"/>
    </row>
    <row r="140" spans="1:40" s="141" customFormat="1" ht="15" hidden="1" customHeight="1" outlineLevel="1" thickBot="1" x14ac:dyDescent="0.25">
      <c r="A140" s="202"/>
      <c r="B140" s="202"/>
      <c r="C140" s="551"/>
      <c r="D140" s="771"/>
      <c r="E140" s="771"/>
      <c r="F140" s="484"/>
      <c r="G140" s="722">
        <f>IF(G136="No",G134,G138)</f>
        <v>3.2258000000000002E-2</v>
      </c>
      <c r="H140" s="723"/>
      <c r="I140" s="722">
        <f>IF(G136="No",I134,0)</f>
        <v>0</v>
      </c>
      <c r="J140" s="772"/>
      <c r="K140" s="802"/>
      <c r="L140" s="802"/>
      <c r="M140" s="796"/>
      <c r="N140" s="795"/>
      <c r="O140" s="795"/>
      <c r="P140" s="802"/>
      <c r="Q140" s="802"/>
      <c r="R140" s="802"/>
      <c r="S140" s="729"/>
      <c r="T140" s="727"/>
      <c r="U140" s="727"/>
      <c r="V140" s="728"/>
      <c r="W140" s="728"/>
      <c r="X140" s="728"/>
      <c r="Y140" s="728"/>
      <c r="Z140" s="705"/>
      <c r="AA140" s="468"/>
      <c r="AB140" s="202"/>
      <c r="AC140" s="202"/>
      <c r="AD140" s="1081"/>
      <c r="AE140" s="1081"/>
      <c r="AF140" s="1074"/>
      <c r="AG140" s="1061"/>
      <c r="AH140" s="1061"/>
      <c r="AI140" s="1061"/>
      <c r="AJ140" s="1061"/>
      <c r="AK140" s="216"/>
      <c r="AL140" s="216"/>
      <c r="AM140" s="216"/>
      <c r="AN140" s="216"/>
    </row>
    <row r="141" spans="1:40" s="141" customFormat="1" ht="15" hidden="1" customHeight="1" outlineLevel="1" x14ac:dyDescent="0.2">
      <c r="A141" s="202"/>
      <c r="B141" s="202"/>
      <c r="C141" s="551"/>
      <c r="D141" s="771"/>
      <c r="E141" s="771"/>
      <c r="F141" s="484"/>
      <c r="G141" s="772"/>
      <c r="H141" s="772"/>
      <c r="I141" s="772"/>
      <c r="J141" s="772"/>
      <c r="K141" s="802"/>
      <c r="L141" s="802"/>
      <c r="M141" s="796"/>
      <c r="N141" s="795"/>
      <c r="O141" s="795"/>
      <c r="P141" s="802"/>
      <c r="Q141" s="802"/>
      <c r="R141" s="802"/>
      <c r="S141" s="729"/>
      <c r="T141" s="727"/>
      <c r="U141" s="727"/>
      <c r="V141" s="728"/>
      <c r="W141" s="728"/>
      <c r="X141" s="728"/>
      <c r="Y141" s="728"/>
      <c r="Z141" s="705"/>
      <c r="AA141" s="468"/>
      <c r="AB141" s="202"/>
      <c r="AC141" s="202"/>
      <c r="AD141" s="1081"/>
      <c r="AE141" s="1081"/>
      <c r="AF141" s="1074"/>
      <c r="AG141" s="1061"/>
      <c r="AH141" s="1061"/>
      <c r="AI141" s="1061"/>
      <c r="AJ141" s="1061"/>
      <c r="AK141" s="216"/>
      <c r="AL141" s="216"/>
      <c r="AM141" s="216"/>
      <c r="AN141" s="216"/>
    </row>
    <row r="142" spans="1:40" s="141" customFormat="1" ht="15" customHeight="1" collapsed="1" x14ac:dyDescent="0.2">
      <c r="B142" s="141" t="s">
        <v>670</v>
      </c>
      <c r="C142" s="666"/>
      <c r="D142" s="1544"/>
      <c r="E142" s="1544"/>
      <c r="F142" s="730" t="s">
        <v>671</v>
      </c>
      <c r="G142" s="1540"/>
      <c r="H142" s="1540"/>
      <c r="I142" s="1540"/>
      <c r="J142" s="1540"/>
      <c r="K142" s="1538">
        <f>IF(G142&gt;0,IF(N145=0,0,IF($AE$99="No",K145)),0)</f>
        <v>0</v>
      </c>
      <c r="L142" s="1538"/>
      <c r="M142" s="808" t="str">
        <f>IF(K142&gt;0,"Hours","")</f>
        <v/>
      </c>
      <c r="N142" s="1542">
        <f>ROUND(IF($AE$99="yes",0,$P$80*E151),2)</f>
        <v>0</v>
      </c>
      <c r="O142" s="1542"/>
      <c r="P142" s="1538">
        <f>IF($AE$99="yes","Combo Not Allowed",ROUND(K142*N142,2))</f>
        <v>0</v>
      </c>
      <c r="Q142" s="1538"/>
      <c r="R142" s="741" t="str">
        <f>IF(AG142&gt;0,"ERRO Alert! The date range you entered for this payment line is INVALID. Please check and re-enter.","")</f>
        <v/>
      </c>
      <c r="S142" s="729"/>
      <c r="AA142" s="468"/>
      <c r="AD142" s="992"/>
      <c r="AE142" s="1059">
        <f>IF(G142&gt;0,IF(MONTH(G142)&gt;3,DATE(YEAR(G142)+1,3,31),DATE(YEAR(G142),3,31)),0)</f>
        <v>0</v>
      </c>
      <c r="AF142" s="1059">
        <f>IF(AE142&gt;$Q$20,$Q$20,AE142)</f>
        <v>0</v>
      </c>
      <c r="AG142" s="1070"/>
      <c r="AH142" s="1070"/>
      <c r="AI142" s="1070">
        <f>IF(AND(G142&gt;0,I142&gt;0,I142&gt;AF142),1,0)</f>
        <v>0</v>
      </c>
      <c r="AJ142" s="1070">
        <f>IF(AND(G142&gt;0,I142&gt;0),IF(OR(G142&lt;$Q$18,I142&gt;$Q$20),1,0),0)</f>
        <v>0</v>
      </c>
      <c r="AK142" s="216"/>
      <c r="AL142" s="216"/>
      <c r="AM142" s="216"/>
      <c r="AN142" s="216"/>
    </row>
    <row r="143" spans="1:40" s="141" customFormat="1" ht="15" hidden="1" customHeight="1" outlineLevel="1" x14ac:dyDescent="0.2">
      <c r="A143" s="202"/>
      <c r="B143" s="202"/>
      <c r="C143" s="551"/>
      <c r="D143" s="771"/>
      <c r="E143" s="771"/>
      <c r="F143" s="484"/>
      <c r="G143" s="141">
        <f>G149</f>
        <v>31</v>
      </c>
      <c r="I143" s="141">
        <f>I149</f>
        <v>31</v>
      </c>
      <c r="J143" s="772"/>
      <c r="K143" s="802"/>
      <c r="L143" s="802"/>
      <c r="M143" s="796"/>
      <c r="N143" s="795"/>
      <c r="O143" s="795"/>
      <c r="P143" s="802"/>
      <c r="Q143" s="802"/>
      <c r="R143" s="802"/>
      <c r="S143" s="729"/>
      <c r="T143" s="727"/>
      <c r="U143" s="727"/>
      <c r="V143" s="728"/>
      <c r="W143" s="728"/>
      <c r="X143" s="728"/>
      <c r="Y143" s="728"/>
      <c r="Z143" s="705"/>
      <c r="AA143" s="468"/>
      <c r="AB143" s="202"/>
      <c r="AC143" s="202"/>
      <c r="AD143" s="1081"/>
      <c r="AE143" s="1081"/>
      <c r="AF143" s="1074"/>
      <c r="AG143" s="1061"/>
      <c r="AH143" s="1061"/>
      <c r="AI143" s="1061"/>
      <c r="AJ143" s="1061"/>
      <c r="AK143" s="216"/>
      <c r="AL143" s="216"/>
      <c r="AM143" s="216"/>
      <c r="AN143" s="216"/>
    </row>
    <row r="144" spans="1:40" s="141" customFormat="1" ht="23.25" hidden="1" customHeight="1" outlineLevel="1" x14ac:dyDescent="0.2">
      <c r="A144" s="202"/>
      <c r="B144" s="202"/>
      <c r="C144" s="551"/>
      <c r="D144" s="771"/>
      <c r="E144" s="771"/>
      <c r="F144" s="484"/>
      <c r="G144" s="141">
        <v>1</v>
      </c>
      <c r="I144" s="141">
        <v>1</v>
      </c>
      <c r="J144" s="772"/>
      <c r="K144" s="1543" t="s">
        <v>651</v>
      </c>
      <c r="L144" s="1543"/>
      <c r="M144" s="796"/>
      <c r="N144" s="1522" t="s">
        <v>650</v>
      </c>
      <c r="O144" s="1523"/>
      <c r="P144" s="802"/>
      <c r="Q144" s="802"/>
      <c r="R144" s="802"/>
      <c r="S144" s="729"/>
      <c r="AD144" s="992"/>
      <c r="AE144" s="992"/>
      <c r="AF144" s="1074"/>
      <c r="AG144" s="1061"/>
      <c r="AH144" s="1061"/>
      <c r="AI144" s="1061"/>
      <c r="AJ144" s="1061"/>
      <c r="AK144" s="216"/>
      <c r="AL144" s="216"/>
      <c r="AM144" s="216"/>
      <c r="AN144" s="216"/>
    </row>
    <row r="145" spans="1:40" s="141" customFormat="1" ht="15" hidden="1" customHeight="1" outlineLevel="1" x14ac:dyDescent="0.2">
      <c r="A145" s="202"/>
      <c r="B145" s="202"/>
      <c r="C145" s="773"/>
      <c r="D145" s="771"/>
      <c r="E145" s="771"/>
      <c r="F145" s="484"/>
      <c r="G145" s="141">
        <f>DAY(G142)</f>
        <v>0</v>
      </c>
      <c r="I145" s="141">
        <f>DAY(I142)</f>
        <v>0</v>
      </c>
      <c r="J145" s="772"/>
      <c r="K145" s="1541">
        <f>ROUND(IF(N145=0,0,IF($AE$99="No",$AA$99/N145)),2)</f>
        <v>0</v>
      </c>
      <c r="L145" s="1541"/>
      <c r="M145" s="796"/>
      <c r="N145" s="1566">
        <f>IF($AE$99="Yes",0,$H$33)</f>
        <v>0</v>
      </c>
      <c r="O145" s="1567"/>
      <c r="P145" s="735"/>
      <c r="Q145" s="802"/>
      <c r="R145" s="802"/>
      <c r="S145" s="729"/>
      <c r="AD145" s="992"/>
      <c r="AE145" s="992"/>
      <c r="AF145" s="1074"/>
      <c r="AG145" s="1061"/>
      <c r="AH145" s="1061"/>
      <c r="AI145" s="1061"/>
      <c r="AJ145" s="1061"/>
      <c r="AK145" s="216"/>
      <c r="AL145" s="216"/>
      <c r="AM145" s="216"/>
      <c r="AN145" s="216"/>
    </row>
    <row r="146" spans="1:40" s="141" customFormat="1" ht="15" hidden="1" customHeight="1" outlineLevel="1" x14ac:dyDescent="0.2">
      <c r="A146" s="202"/>
      <c r="B146" s="202"/>
      <c r="C146" s="773"/>
      <c r="D146" s="771"/>
      <c r="E146" s="771"/>
      <c r="F146" s="484"/>
      <c r="G146" s="516" t="str">
        <f>IF(G145=G144,"No","Yes")</f>
        <v>Yes</v>
      </c>
      <c r="I146" s="516" t="str">
        <f>IF(I145=I143,"No","Yes")</f>
        <v>Yes</v>
      </c>
      <c r="J146" s="772"/>
      <c r="K146" s="1546"/>
      <c r="L146" s="1546"/>
      <c r="M146" s="796"/>
      <c r="N146" s="1539"/>
      <c r="O146" s="1539"/>
      <c r="P146" s="735"/>
      <c r="Q146" s="802"/>
      <c r="R146" s="802"/>
      <c r="S146" s="729"/>
      <c r="T146" s="727"/>
      <c r="U146" s="727"/>
      <c r="V146" s="728"/>
      <c r="W146" s="728"/>
      <c r="X146" s="728"/>
      <c r="Y146" s="728"/>
      <c r="Z146" s="705"/>
      <c r="AA146" s="468"/>
      <c r="AB146" s="202"/>
      <c r="AC146" s="202"/>
      <c r="AD146" s="1081"/>
      <c r="AE146" s="1081"/>
      <c r="AF146" s="1074"/>
      <c r="AG146" s="1061"/>
      <c r="AH146" s="1061"/>
      <c r="AI146" s="1061"/>
      <c r="AJ146" s="1061"/>
      <c r="AK146" s="216"/>
      <c r="AL146" s="216"/>
      <c r="AM146" s="216"/>
      <c r="AN146" s="216"/>
    </row>
    <row r="147" spans="1:40" s="141" customFormat="1" ht="15" hidden="1" customHeight="1" outlineLevel="1" x14ac:dyDescent="0.2">
      <c r="A147" s="202"/>
      <c r="B147" s="202"/>
      <c r="F147" s="484"/>
      <c r="G147" s="219"/>
      <c r="I147" s="219"/>
      <c r="J147" s="772"/>
      <c r="L147" s="802"/>
      <c r="M147" s="796"/>
      <c r="N147" s="795"/>
      <c r="O147" s="795"/>
      <c r="P147" s="802"/>
      <c r="Q147" s="802"/>
      <c r="R147" s="802"/>
      <c r="S147" s="729"/>
      <c r="T147" s="727"/>
      <c r="U147" s="727"/>
      <c r="V147" s="728"/>
      <c r="W147" s="728"/>
      <c r="X147" s="728"/>
      <c r="Y147" s="728"/>
      <c r="Z147" s="705"/>
      <c r="AA147" s="468"/>
      <c r="AB147" s="202"/>
      <c r="AC147" s="202"/>
      <c r="AD147" s="1081"/>
      <c r="AE147" s="1081"/>
      <c r="AF147" s="1074"/>
      <c r="AG147" s="1061"/>
      <c r="AH147" s="1061"/>
      <c r="AI147" s="1061"/>
      <c r="AJ147" s="1061"/>
      <c r="AK147" s="216"/>
      <c r="AL147" s="216"/>
      <c r="AM147" s="216"/>
      <c r="AN147" s="216"/>
    </row>
    <row r="148" spans="1:40" s="141" customFormat="1" ht="15" hidden="1" customHeight="1" outlineLevel="1" x14ac:dyDescent="0.2">
      <c r="A148" s="202"/>
      <c r="B148" s="202"/>
      <c r="C148" s="141" t="s">
        <v>493</v>
      </c>
      <c r="D148" s="771"/>
      <c r="E148" s="597">
        <f>IF(NOT(G142=0),IF(G154="NO",(YEAR(I142)-YEAR(G142))*12+MONTH(I142)-MONTH(G142)+IF(G146="no",1,0)+IF(I146="yes",-1,0),0),0)</f>
        <v>0</v>
      </c>
      <c r="F148" s="484"/>
      <c r="G148" s="518">
        <f>EOMONTH(G142,0)</f>
        <v>31</v>
      </c>
      <c r="I148" s="518">
        <f>EOMONTH(I142,0)</f>
        <v>31</v>
      </c>
      <c r="J148" s="772"/>
      <c r="Q148" s="802"/>
      <c r="R148" s="802"/>
      <c r="S148" s="729"/>
      <c r="T148" s="727"/>
      <c r="U148" s="727"/>
      <c r="V148" s="728"/>
      <c r="W148" s="728"/>
      <c r="X148" s="728"/>
      <c r="Y148" s="728"/>
      <c r="Z148" s="705"/>
      <c r="AA148" s="468"/>
      <c r="AB148" s="202"/>
      <c r="AC148" s="202"/>
      <c r="AD148" s="1081"/>
      <c r="AE148" s="1081"/>
      <c r="AF148" s="1074"/>
      <c r="AG148" s="1061"/>
      <c r="AH148" s="1061"/>
      <c r="AI148" s="1061"/>
      <c r="AJ148" s="1061"/>
      <c r="AK148" s="216"/>
      <c r="AL148" s="216"/>
      <c r="AM148" s="216"/>
      <c r="AN148" s="216"/>
    </row>
    <row r="149" spans="1:40" s="141" customFormat="1" ht="15" hidden="1" customHeight="1" outlineLevel="1" x14ac:dyDescent="0.2">
      <c r="A149" s="202"/>
      <c r="B149" s="202"/>
      <c r="C149" s="141" t="s">
        <v>494</v>
      </c>
      <c r="D149" s="771"/>
      <c r="E149" s="736">
        <f>IF(NOT(G142=0),G158,0)</f>
        <v>0</v>
      </c>
      <c r="F149" s="484"/>
      <c r="G149" s="141">
        <f>DAY(G148)</f>
        <v>31</v>
      </c>
      <c r="I149" s="141">
        <f>DAY(I148)</f>
        <v>31</v>
      </c>
      <c r="J149" s="772"/>
      <c r="K149" s="802"/>
      <c r="L149" s="802"/>
      <c r="M149" s="796"/>
      <c r="N149" s="795"/>
      <c r="O149" s="795"/>
      <c r="P149" s="802"/>
      <c r="Q149" s="802"/>
      <c r="R149" s="802"/>
      <c r="S149" s="729"/>
      <c r="T149" s="727"/>
      <c r="U149" s="727"/>
      <c r="V149" s="728"/>
      <c r="W149" s="728"/>
      <c r="X149" s="728"/>
      <c r="Y149" s="728"/>
      <c r="Z149" s="705"/>
      <c r="AA149" s="468"/>
      <c r="AB149" s="202"/>
      <c r="AC149" s="202"/>
      <c r="AD149" s="1081"/>
      <c r="AE149" s="1081"/>
      <c r="AF149" s="1074"/>
      <c r="AG149" s="1061"/>
      <c r="AH149" s="1061"/>
      <c r="AI149" s="1061"/>
      <c r="AJ149" s="1061"/>
      <c r="AK149" s="216"/>
      <c r="AL149" s="216"/>
      <c r="AM149" s="216"/>
      <c r="AN149" s="216"/>
    </row>
    <row r="150" spans="1:40" s="141" customFormat="1" ht="15" hidden="1" customHeight="1" outlineLevel="1" x14ac:dyDescent="0.2">
      <c r="A150" s="202"/>
      <c r="B150" s="202"/>
      <c r="C150" s="141" t="s">
        <v>495</v>
      </c>
      <c r="D150" s="771"/>
      <c r="E150" s="737">
        <f>IF(NOT(G142=0),I158,0)</f>
        <v>0</v>
      </c>
      <c r="F150" s="484"/>
      <c r="G150" s="520">
        <f>G148-G142+1</f>
        <v>32</v>
      </c>
      <c r="I150" s="520">
        <f>I148-I142</f>
        <v>31</v>
      </c>
      <c r="J150" s="772"/>
      <c r="K150" s="802"/>
      <c r="L150" s="802"/>
      <c r="M150" s="796"/>
      <c r="N150" s="795"/>
      <c r="O150" s="795"/>
      <c r="P150" s="802"/>
      <c r="Q150" s="802"/>
      <c r="R150" s="802"/>
      <c r="S150" s="729"/>
      <c r="T150" s="727"/>
      <c r="U150" s="727"/>
      <c r="V150" s="728"/>
      <c r="W150" s="728"/>
      <c r="X150" s="728"/>
      <c r="Y150" s="728"/>
      <c r="Z150" s="705"/>
      <c r="AA150" s="468"/>
      <c r="AB150" s="202"/>
      <c r="AC150" s="202"/>
      <c r="AD150" s="1081"/>
      <c r="AE150" s="1081"/>
      <c r="AF150" s="1074"/>
      <c r="AG150" s="1061"/>
      <c r="AH150" s="1061"/>
      <c r="AI150" s="1061"/>
      <c r="AJ150" s="1061"/>
      <c r="AK150" s="216"/>
      <c r="AL150" s="216"/>
      <c r="AM150" s="216"/>
      <c r="AN150" s="216"/>
    </row>
    <row r="151" spans="1:40" s="141" customFormat="1" ht="15" hidden="1" customHeight="1" outlineLevel="1" x14ac:dyDescent="0.2">
      <c r="A151" s="202"/>
      <c r="B151" s="202"/>
      <c r="C151" s="219" t="s">
        <v>496</v>
      </c>
      <c r="D151" s="771"/>
      <c r="E151" s="736">
        <f>SUM(E148:E150)</f>
        <v>0</v>
      </c>
      <c r="F151" s="484"/>
      <c r="G151" s="141">
        <f>G149-G150</f>
        <v>-1</v>
      </c>
      <c r="I151" s="141">
        <f>I149-I150</f>
        <v>0</v>
      </c>
      <c r="J151" s="772"/>
      <c r="K151" s="802"/>
      <c r="L151" s="802"/>
      <c r="M151" s="796"/>
      <c r="N151" s="795"/>
      <c r="O151" s="795"/>
      <c r="P151" s="802"/>
      <c r="Q151" s="802"/>
      <c r="R151" s="802"/>
      <c r="S151" s="729"/>
      <c r="T151" s="727"/>
      <c r="U151" s="727"/>
      <c r="V151" s="728"/>
      <c r="W151" s="728"/>
      <c r="X151" s="728"/>
      <c r="Y151" s="728"/>
      <c r="Z151" s="705"/>
      <c r="AA151" s="468"/>
      <c r="AB151" s="202"/>
      <c r="AC151" s="202"/>
      <c r="AD151" s="1081"/>
      <c r="AE151" s="1081"/>
      <c r="AF151" s="1074"/>
      <c r="AG151" s="1061"/>
      <c r="AH151" s="1061"/>
      <c r="AI151" s="1061"/>
      <c r="AJ151" s="1061"/>
      <c r="AK151" s="216"/>
      <c r="AL151" s="216"/>
      <c r="AM151" s="216"/>
      <c r="AN151" s="216"/>
    </row>
    <row r="152" spans="1:40" s="141" customFormat="1" ht="15" hidden="1" customHeight="1" outlineLevel="1" x14ac:dyDescent="0.2">
      <c r="A152" s="202"/>
      <c r="B152" s="202"/>
      <c r="F152" s="484"/>
      <c r="G152" s="718">
        <f>IF(G146="Yes",ROUND(G150/G149,6),0)</f>
        <v>1.0322579999999999</v>
      </c>
      <c r="H152" s="719"/>
      <c r="I152" s="718">
        <f>IF(I146="Yes",ROUND(I151/I149,6),0)</f>
        <v>0</v>
      </c>
      <c r="J152" s="772"/>
      <c r="K152" s="802"/>
      <c r="L152" s="802"/>
      <c r="M152" s="796"/>
      <c r="N152" s="795"/>
      <c r="O152" s="795"/>
      <c r="P152" s="802"/>
      <c r="Q152" s="802"/>
      <c r="R152" s="802"/>
      <c r="S152" s="729"/>
      <c r="T152" s="727"/>
      <c r="U152" s="727"/>
      <c r="V152" s="728"/>
      <c r="W152" s="728"/>
      <c r="X152" s="728"/>
      <c r="Y152" s="728"/>
      <c r="Z152" s="705"/>
      <c r="AA152" s="468"/>
      <c r="AB152" s="202"/>
      <c r="AC152" s="202"/>
      <c r="AD152" s="1081"/>
      <c r="AE152" s="1081"/>
      <c r="AF152" s="1074"/>
      <c r="AG152" s="1061"/>
      <c r="AH152" s="1061"/>
      <c r="AI152" s="1061"/>
      <c r="AJ152" s="1061"/>
      <c r="AK152" s="216"/>
      <c r="AL152" s="216"/>
      <c r="AM152" s="216"/>
      <c r="AN152" s="216"/>
    </row>
    <row r="153" spans="1:40" s="141" customFormat="1" ht="15" hidden="1" customHeight="1" outlineLevel="1" x14ac:dyDescent="0.2">
      <c r="A153" s="202"/>
      <c r="B153" s="202"/>
      <c r="C153" s="773"/>
      <c r="D153" s="771"/>
      <c r="E153" s="771"/>
      <c r="F153" s="484"/>
      <c r="J153" s="772"/>
      <c r="K153" s="802"/>
      <c r="L153" s="802"/>
      <c r="M153" s="796"/>
      <c r="N153" s="795"/>
      <c r="O153" s="795"/>
      <c r="P153" s="802"/>
      <c r="Q153" s="802"/>
      <c r="R153" s="802"/>
      <c r="S153" s="729"/>
      <c r="T153" s="727"/>
      <c r="U153" s="727"/>
      <c r="V153" s="728"/>
      <c r="W153" s="728"/>
      <c r="X153" s="728"/>
      <c r="Y153" s="728"/>
      <c r="Z153" s="705"/>
      <c r="AA153" s="468"/>
      <c r="AB153" s="202"/>
      <c r="AC153" s="202"/>
      <c r="AD153" s="1081"/>
      <c r="AE153" s="1081"/>
      <c r="AF153" s="1074"/>
      <c r="AG153" s="1061"/>
      <c r="AH153" s="1061"/>
      <c r="AI153" s="1061"/>
      <c r="AJ153" s="1061"/>
      <c r="AK153" s="216"/>
      <c r="AL153" s="216"/>
      <c r="AM153" s="216"/>
      <c r="AN153" s="216"/>
    </row>
    <row r="154" spans="1:40" s="141" customFormat="1" ht="15" hidden="1" customHeight="1" outlineLevel="1" x14ac:dyDescent="0.2">
      <c r="A154" s="202"/>
      <c r="B154" s="202"/>
      <c r="C154" s="773"/>
      <c r="D154" s="771"/>
      <c r="E154" s="771"/>
      <c r="F154" s="484"/>
      <c r="G154" s="542" t="str">
        <f>IF(AND(YEAR(G142)=YEAR(I142),MONTH(G142)=MONTH(I142),G146="YES",I146="YES"),"YES","NO")</f>
        <v>YES</v>
      </c>
      <c r="J154" s="772"/>
      <c r="K154" s="802"/>
      <c r="L154" s="802"/>
      <c r="M154" s="796"/>
      <c r="N154" s="795"/>
      <c r="O154" s="795"/>
      <c r="P154" s="802"/>
      <c r="Q154" s="802"/>
      <c r="R154" s="802"/>
      <c r="S154" s="729"/>
      <c r="T154" s="727"/>
      <c r="U154" s="727"/>
      <c r="V154" s="728"/>
      <c r="W154" s="728"/>
      <c r="X154" s="728"/>
      <c r="Y154" s="728"/>
      <c r="Z154" s="705"/>
      <c r="AA154" s="468"/>
      <c r="AB154" s="202"/>
      <c r="AC154" s="202"/>
      <c r="AD154" s="1081"/>
      <c r="AE154" s="1081"/>
      <c r="AF154" s="1074"/>
      <c r="AG154" s="1061"/>
      <c r="AH154" s="1061"/>
      <c r="AI154" s="1061"/>
      <c r="AJ154" s="1061"/>
      <c r="AK154" s="216"/>
      <c r="AL154" s="216"/>
      <c r="AM154" s="216"/>
      <c r="AN154" s="216"/>
    </row>
    <row r="155" spans="1:40" s="141" customFormat="1" ht="15" hidden="1" customHeight="1" outlineLevel="1" x14ac:dyDescent="0.2">
      <c r="A155" s="202"/>
      <c r="B155" s="202"/>
      <c r="C155" s="773"/>
      <c r="D155" s="771"/>
      <c r="E155" s="771"/>
      <c r="F155" s="484"/>
      <c r="G155" s="141">
        <f>IF(G154="yes",I142-G142+1,0)</f>
        <v>1</v>
      </c>
      <c r="J155" s="772"/>
      <c r="K155" s="802"/>
      <c r="L155" s="802"/>
      <c r="M155" s="796"/>
      <c r="N155" s="795"/>
      <c r="O155" s="795"/>
      <c r="P155" s="802"/>
      <c r="Q155" s="802"/>
      <c r="R155" s="802"/>
      <c r="S155" s="729"/>
      <c r="T155" s="727"/>
      <c r="U155" s="727"/>
      <c r="V155" s="728"/>
      <c r="W155" s="728"/>
      <c r="X155" s="728"/>
      <c r="Y155" s="728"/>
      <c r="Z155" s="705"/>
      <c r="AA155" s="468"/>
      <c r="AB155" s="202"/>
      <c r="AC155" s="202"/>
      <c r="AD155" s="1081"/>
      <c r="AE155" s="1081"/>
      <c r="AF155" s="1074"/>
      <c r="AG155" s="1061"/>
      <c r="AH155" s="1061"/>
      <c r="AI155" s="1061"/>
      <c r="AJ155" s="1061"/>
      <c r="AK155" s="216"/>
      <c r="AL155" s="216"/>
      <c r="AM155" s="216"/>
      <c r="AN155" s="216"/>
    </row>
    <row r="156" spans="1:40" s="141" customFormat="1" ht="15" hidden="1" customHeight="1" outlineLevel="1" x14ac:dyDescent="0.2">
      <c r="A156" s="202"/>
      <c r="B156" s="202"/>
      <c r="C156" s="773"/>
      <c r="D156" s="771"/>
      <c r="E156" s="771"/>
      <c r="F156" s="484"/>
      <c r="G156" s="720">
        <f>ROUND(G155/G149,6)</f>
        <v>3.2258000000000002E-2</v>
      </c>
      <c r="J156" s="772"/>
      <c r="K156" s="802"/>
      <c r="L156" s="802"/>
      <c r="M156" s="796"/>
      <c r="N156" s="795"/>
      <c r="O156" s="795"/>
      <c r="P156" s="802"/>
      <c r="Q156" s="802"/>
      <c r="R156" s="802"/>
      <c r="S156" s="729"/>
      <c r="T156" s="727"/>
      <c r="U156" s="727"/>
      <c r="V156" s="728"/>
      <c r="W156" s="728"/>
      <c r="X156" s="728"/>
      <c r="Y156" s="728"/>
      <c r="Z156" s="705"/>
      <c r="AA156" s="468"/>
      <c r="AB156" s="202"/>
      <c r="AC156" s="202"/>
      <c r="AD156" s="1081"/>
      <c r="AE156" s="1081"/>
      <c r="AF156" s="1074"/>
      <c r="AG156" s="1061"/>
      <c r="AH156" s="1061"/>
      <c r="AI156" s="1061"/>
      <c r="AJ156" s="1061"/>
      <c r="AK156" s="216"/>
      <c r="AL156" s="216"/>
      <c r="AM156" s="216"/>
      <c r="AN156" s="216"/>
    </row>
    <row r="157" spans="1:40" s="141" customFormat="1" ht="15" hidden="1" customHeight="1" outlineLevel="1" x14ac:dyDescent="0.2">
      <c r="A157" s="202"/>
      <c r="B157" s="202"/>
      <c r="C157" s="773"/>
      <c r="D157" s="771"/>
      <c r="E157" s="771"/>
      <c r="F157" s="484"/>
      <c r="J157" s="772"/>
      <c r="K157" s="802"/>
      <c r="L157" s="802"/>
      <c r="M157" s="796"/>
      <c r="N157" s="795"/>
      <c r="O157" s="795"/>
      <c r="P157" s="802"/>
      <c r="Q157" s="802"/>
      <c r="R157" s="802"/>
      <c r="S157" s="729"/>
      <c r="T157" s="727"/>
      <c r="U157" s="727"/>
      <c r="V157" s="728"/>
      <c r="W157" s="728"/>
      <c r="X157" s="728"/>
      <c r="Y157" s="728"/>
      <c r="Z157" s="705"/>
      <c r="AA157" s="468"/>
      <c r="AB157" s="202"/>
      <c r="AC157" s="202"/>
      <c r="AD157" s="1081"/>
      <c r="AE157" s="1081"/>
      <c r="AF157" s="1074"/>
      <c r="AG157" s="1061"/>
      <c r="AH157" s="1061"/>
      <c r="AI157" s="1061"/>
      <c r="AJ157" s="1061"/>
      <c r="AK157" s="216"/>
      <c r="AL157" s="216"/>
      <c r="AM157" s="216"/>
      <c r="AN157" s="216"/>
    </row>
    <row r="158" spans="1:40" s="141" customFormat="1" ht="15" hidden="1" customHeight="1" outlineLevel="1" thickBot="1" x14ac:dyDescent="0.25">
      <c r="A158" s="202"/>
      <c r="B158" s="202"/>
      <c r="C158" s="551"/>
      <c r="D158" s="771"/>
      <c r="E158" s="771"/>
      <c r="F158" s="484"/>
      <c r="G158" s="722">
        <f>IF(G154="No",G152,G156)</f>
        <v>3.2258000000000002E-2</v>
      </c>
      <c r="H158" s="723"/>
      <c r="I158" s="722">
        <f>IF(G154="No",I152,0)</f>
        <v>0</v>
      </c>
      <c r="J158" s="772"/>
      <c r="K158" s="802"/>
      <c r="L158" s="802"/>
      <c r="M158" s="796"/>
      <c r="N158" s="795"/>
      <c r="O158" s="795"/>
      <c r="P158" s="802"/>
      <c r="Q158" s="802"/>
      <c r="R158" s="802"/>
      <c r="S158" s="729"/>
      <c r="T158" s="727"/>
      <c r="U158" s="727"/>
      <c r="V158" s="728"/>
      <c r="W158" s="728"/>
      <c r="X158" s="728"/>
      <c r="Y158" s="728"/>
      <c r="Z158" s="705"/>
      <c r="AA158" s="468"/>
      <c r="AB158" s="202"/>
      <c r="AC158" s="202"/>
      <c r="AD158" s="1081"/>
      <c r="AE158" s="1081"/>
      <c r="AF158" s="1074"/>
      <c r="AG158" s="1061"/>
      <c r="AH158" s="1061"/>
      <c r="AI158" s="1061"/>
      <c r="AJ158" s="1061"/>
      <c r="AK158" s="216"/>
      <c r="AL158" s="216"/>
      <c r="AM158" s="216"/>
      <c r="AN158" s="216"/>
    </row>
    <row r="159" spans="1:40" s="141" customFormat="1" ht="15" hidden="1" customHeight="1" outlineLevel="1" x14ac:dyDescent="0.2">
      <c r="A159" s="202"/>
      <c r="B159" s="202"/>
      <c r="C159" s="551"/>
      <c r="D159" s="771"/>
      <c r="E159" s="771"/>
      <c r="F159" s="484"/>
      <c r="G159" s="772"/>
      <c r="H159" s="772"/>
      <c r="I159" s="772"/>
      <c r="J159" s="772"/>
      <c r="K159" s="802"/>
      <c r="L159" s="802"/>
      <c r="M159" s="796"/>
      <c r="N159" s="795"/>
      <c r="O159" s="795"/>
      <c r="P159" s="802"/>
      <c r="Q159" s="802"/>
      <c r="R159" s="802"/>
      <c r="S159" s="729"/>
      <c r="T159" s="727"/>
      <c r="U159" s="727"/>
      <c r="V159" s="728"/>
      <c r="W159" s="728"/>
      <c r="X159" s="728"/>
      <c r="Y159" s="728"/>
      <c r="Z159" s="705"/>
      <c r="AA159" s="468"/>
      <c r="AB159" s="202"/>
      <c r="AC159" s="202"/>
      <c r="AD159" s="1081"/>
      <c r="AE159" s="1081"/>
      <c r="AF159" s="1074"/>
      <c r="AG159" s="1061"/>
      <c r="AH159" s="1061"/>
      <c r="AI159" s="1061"/>
      <c r="AJ159" s="1061"/>
      <c r="AK159" s="216"/>
      <c r="AL159" s="216"/>
      <c r="AM159" s="216"/>
      <c r="AN159" s="216"/>
    </row>
    <row r="160" spans="1:40" s="216" customFormat="1" ht="15" collapsed="1" x14ac:dyDescent="0.25">
      <c r="C160" s="849" t="str">
        <f>IF(SUM(AJ106,AJ124,AJ142)&gt;0,"ERROR ALERT:  The date range in your service start/end dates is NOT consistent with the variable start/end dates ('Variable Terms' above), please check immediately above your payment line dates and re-enter.","")</f>
        <v/>
      </c>
      <c r="D160" s="738"/>
      <c r="E160" s="738"/>
      <c r="F160" s="738"/>
      <c r="G160" s="738"/>
      <c r="H160" s="738"/>
      <c r="I160" s="738"/>
      <c r="J160" s="738"/>
      <c r="K160" s="738"/>
      <c r="L160" s="739"/>
      <c r="M160" s="796"/>
      <c r="N160" s="796"/>
      <c r="O160" s="499"/>
      <c r="P160" s="703"/>
      <c r="Q160" s="703"/>
      <c r="R160" s="801"/>
      <c r="T160" s="802"/>
      <c r="U160" s="802"/>
      <c r="V160" s="468"/>
      <c r="W160" s="468"/>
      <c r="X160" s="468"/>
      <c r="Y160" s="468"/>
      <c r="AD160" s="994"/>
      <c r="AE160" s="1082"/>
      <c r="AF160" s="1083"/>
      <c r="AG160" s="1083"/>
      <c r="AH160" s="1083"/>
      <c r="AI160" s="1083"/>
      <c r="AJ160" s="1083"/>
    </row>
    <row r="161" spans="2:40" s="216" customFormat="1" ht="15.75" x14ac:dyDescent="0.25">
      <c r="C161" s="525" t="s">
        <v>655</v>
      </c>
      <c r="D161" s="738"/>
      <c r="E161" s="738"/>
      <c r="F161" s="738"/>
      <c r="G161" s="848" t="str">
        <f>IF(SUM(AI163,AI164,AI165)&gt;0,"WARNING: Generally, you may not cross a CLBC March 31 fiscal year end, please re-check below your payment line dates.","")</f>
        <v/>
      </c>
      <c r="H161" s="738"/>
      <c r="I161" s="738"/>
      <c r="J161" s="738"/>
      <c r="K161" s="738"/>
      <c r="L161" s="739"/>
      <c r="M161" s="796"/>
      <c r="N161" s="796"/>
      <c r="O161" s="796"/>
      <c r="P161" s="801"/>
      <c r="Q161" s="801"/>
      <c r="R161" s="801"/>
      <c r="T161" s="802"/>
      <c r="U161" s="802"/>
      <c r="V161" s="468"/>
      <c r="W161" s="468"/>
      <c r="X161" s="468"/>
      <c r="Y161" s="468"/>
      <c r="AD161" s="994"/>
      <c r="AE161" s="1082"/>
      <c r="AF161" s="1083"/>
      <c r="AG161" s="1083"/>
      <c r="AH161" s="1083"/>
      <c r="AI161" s="1083"/>
      <c r="AJ161" s="1083"/>
    </row>
    <row r="162" spans="2:40" s="216" customFormat="1" ht="25.5" x14ac:dyDescent="0.2">
      <c r="C162" s="789" t="s">
        <v>464</v>
      </c>
      <c r="D162" s="1537" t="s">
        <v>351</v>
      </c>
      <c r="E162" s="1537"/>
      <c r="F162" s="788" t="s">
        <v>481</v>
      </c>
      <c r="G162" s="1537" t="s">
        <v>519</v>
      </c>
      <c r="H162" s="1537"/>
      <c r="I162" s="1537" t="s">
        <v>520</v>
      </c>
      <c r="J162" s="1537"/>
      <c r="K162" s="1537" t="s">
        <v>469</v>
      </c>
      <c r="L162" s="1537"/>
      <c r="M162" s="789" t="s">
        <v>470</v>
      </c>
      <c r="N162" s="1535" t="s">
        <v>471</v>
      </c>
      <c r="O162" s="1536"/>
      <c r="P162" s="1535" t="s">
        <v>388</v>
      </c>
      <c r="Q162" s="1536"/>
      <c r="R162" s="801"/>
      <c r="T162" s="802"/>
      <c r="U162" s="802"/>
      <c r="V162" s="468"/>
      <c r="W162" s="468"/>
      <c r="X162" s="468"/>
      <c r="Y162" s="468"/>
      <c r="AD162" s="994"/>
      <c r="AE162" s="1067" t="s">
        <v>646</v>
      </c>
      <c r="AF162" s="1067" t="s">
        <v>647</v>
      </c>
      <c r="AG162" s="1067"/>
      <c r="AH162" s="1067"/>
      <c r="AI162" s="1067" t="s">
        <v>622</v>
      </c>
      <c r="AJ162" s="1067" t="s">
        <v>662</v>
      </c>
    </row>
    <row r="163" spans="2:40" s="216" customFormat="1" x14ac:dyDescent="0.2">
      <c r="C163" s="666"/>
      <c r="D163" s="1544"/>
      <c r="E163" s="1544"/>
      <c r="F163" s="730" t="s">
        <v>671</v>
      </c>
      <c r="G163" s="1540"/>
      <c r="H163" s="1540"/>
      <c r="I163" s="1540"/>
      <c r="J163" s="1540"/>
      <c r="K163" s="1548"/>
      <c r="L163" s="1548"/>
      <c r="M163" s="808" t="str">
        <f>IF(K163&gt;0,"Hours","")</f>
        <v/>
      </c>
      <c r="N163" s="1568"/>
      <c r="O163" s="1568"/>
      <c r="P163" s="1538">
        <f>ROUND(K163*N163,2)</f>
        <v>0</v>
      </c>
      <c r="Q163" s="1538"/>
      <c r="R163" s="741" t="str">
        <f>IF(AG163&gt;0,"ERRO Alert! The date range you entered for this payment line is INVALID. Please check and re-enter.","")</f>
        <v/>
      </c>
      <c r="T163" s="802"/>
      <c r="U163" s="802"/>
      <c r="V163" s="468"/>
      <c r="W163" s="468"/>
      <c r="X163" s="468"/>
      <c r="Y163" s="468"/>
      <c r="AD163" s="994"/>
      <c r="AE163" s="1059">
        <f>IF(G163&gt;0,IF(MONTH(G163)&gt;3,DATE(YEAR(G163)+1,3,31),DATE(YEAR(G163),3,31)),0)</f>
        <v>0</v>
      </c>
      <c r="AF163" s="1059">
        <f>IF(AE163&gt;$Q$20,$Q$20,AE163)</f>
        <v>0</v>
      </c>
      <c r="AG163" s="1070"/>
      <c r="AH163" s="1070"/>
      <c r="AI163" s="1070">
        <f>IF(AND(G163&gt;0,I163&gt;0,I163&gt;AF163),1,0)</f>
        <v>0</v>
      </c>
      <c r="AJ163" s="1070">
        <f>IF(AND(G163&gt;0,I163&gt;0),IF(OR(G163&lt;$Q$18,I163&gt;$Q$20),1,0),0)</f>
        <v>0</v>
      </c>
    </row>
    <row r="164" spans="2:40" s="216" customFormat="1" x14ac:dyDescent="0.2">
      <c r="C164" s="666"/>
      <c r="D164" s="1544"/>
      <c r="E164" s="1544"/>
      <c r="F164" s="730" t="s">
        <v>671</v>
      </c>
      <c r="G164" s="1540"/>
      <c r="H164" s="1540"/>
      <c r="I164" s="1540"/>
      <c r="J164" s="1540"/>
      <c r="K164" s="1548"/>
      <c r="L164" s="1548"/>
      <c r="M164" s="808" t="str">
        <f>IF(K164&gt;0,"Hours","")</f>
        <v/>
      </c>
      <c r="N164" s="1568"/>
      <c r="O164" s="1568"/>
      <c r="P164" s="1538">
        <f>ROUND(K164*N164,2)</f>
        <v>0</v>
      </c>
      <c r="Q164" s="1538"/>
      <c r="R164" s="741" t="str">
        <f>IF(AG164&gt;0,"ERRO Alert! The date range you entered for this payment line is INVALID. Please check and re-enter.","")</f>
        <v/>
      </c>
      <c r="T164" s="802"/>
      <c r="U164" s="802"/>
      <c r="V164" s="468"/>
      <c r="W164" s="468"/>
      <c r="X164" s="468"/>
      <c r="Y164" s="468"/>
      <c r="AD164" s="994"/>
      <c r="AE164" s="1059">
        <f>IF(G164&gt;0,IF(MONTH(G164)&gt;3,DATE(YEAR(G164)+1,3,31),DATE(YEAR(G164),3,31)),0)</f>
        <v>0</v>
      </c>
      <c r="AF164" s="1059">
        <f>IF(AE164&gt;$Q$20,$Q$20,AE164)</f>
        <v>0</v>
      </c>
      <c r="AG164" s="1070"/>
      <c r="AH164" s="1070"/>
      <c r="AI164" s="1070">
        <f>IF(AND(G164&gt;0,I164&gt;0,I164&gt;AF164),1,0)</f>
        <v>0</v>
      </c>
      <c r="AJ164" s="1070">
        <f>IF(AND(G164&gt;0,I164&gt;0),IF(OR(G164&lt;$Q$18,I164&gt;$Q$20),1,0),0)</f>
        <v>0</v>
      </c>
    </row>
    <row r="165" spans="2:40" s="216" customFormat="1" x14ac:dyDescent="0.2">
      <c r="C165" s="666"/>
      <c r="D165" s="1544"/>
      <c r="E165" s="1544"/>
      <c r="F165" s="730" t="s">
        <v>671</v>
      </c>
      <c r="G165" s="1540"/>
      <c r="H165" s="1540"/>
      <c r="I165" s="1540"/>
      <c r="J165" s="1540"/>
      <c r="K165" s="1548"/>
      <c r="L165" s="1548"/>
      <c r="M165" s="808" t="str">
        <f>IF(K165&gt;0,"Hours","")</f>
        <v/>
      </c>
      <c r="N165" s="1568"/>
      <c r="O165" s="1568"/>
      <c r="P165" s="1538">
        <f>ROUND(K165*N165,2)</f>
        <v>0</v>
      </c>
      <c r="Q165" s="1538"/>
      <c r="R165" s="741" t="str">
        <f>IF(AG165&gt;0,"ERRO Alert! The date range you entered for this payment line is INVALID. Please check and re-enter.","")</f>
        <v/>
      </c>
      <c r="T165" s="802"/>
      <c r="U165" s="802"/>
      <c r="V165" s="468"/>
      <c r="W165" s="468"/>
      <c r="X165" s="468"/>
      <c r="Y165" s="468"/>
      <c r="AD165" s="994"/>
      <c r="AE165" s="1059">
        <f>IF(G165&gt;0,IF(MONTH(G165)&gt;3,DATE(YEAR(G165)+1,3,31),DATE(YEAR(G165),3,31)),0)</f>
        <v>0</v>
      </c>
      <c r="AF165" s="1059">
        <f>IF(AE165&gt;$Q$20,$Q$20,AE165)</f>
        <v>0</v>
      </c>
      <c r="AG165" s="1070"/>
      <c r="AH165" s="1070"/>
      <c r="AI165" s="1070">
        <f>IF(AND(G165&gt;0,I165&gt;0,I165&gt;AF165),1,0)</f>
        <v>0</v>
      </c>
      <c r="AJ165" s="1070">
        <f>IF(AND(G165&gt;0,I165&gt;0),IF(OR(G165&lt;$Q$18,I165&gt;$Q$20),1,0),0)</f>
        <v>0</v>
      </c>
    </row>
    <row r="166" spans="2:40" s="141" customFormat="1" ht="15" customHeight="1" collapsed="1" x14ac:dyDescent="0.25">
      <c r="C166" s="849" t="str">
        <f>IF(SUM(AJ163,AJ164,AJ165)&gt;0,"ERROR ALERT:  The date range in your service start/end dates is NOT consistent with the variable start/end dates ('Variable Terms' above), please check immediately above your payment line dates and re-enter.","")</f>
        <v/>
      </c>
      <c r="Q166" s="496"/>
      <c r="R166" s="496"/>
      <c r="S166" s="704"/>
      <c r="T166" s="704"/>
      <c r="U166" s="704"/>
      <c r="V166" s="704"/>
      <c r="W166" s="704"/>
      <c r="X166" s="704"/>
      <c r="Y166" s="704"/>
      <c r="Z166" s="704"/>
      <c r="AA166" s="468"/>
      <c r="AB166" s="216"/>
      <c r="AC166" s="216"/>
      <c r="AD166" s="992"/>
      <c r="AE166" s="992"/>
      <c r="AF166" s="992"/>
      <c r="AG166" s="992"/>
      <c r="AH166" s="992"/>
      <c r="AI166" s="992"/>
      <c r="AJ166" s="992"/>
      <c r="AK166" s="216"/>
      <c r="AL166" s="216"/>
      <c r="AM166" s="216"/>
      <c r="AN166" s="216"/>
    </row>
    <row r="167" spans="2:40" s="141" customFormat="1" ht="15" customHeight="1" x14ac:dyDescent="0.25">
      <c r="C167" s="1569" t="s">
        <v>696</v>
      </c>
      <c r="D167" s="1569"/>
      <c r="E167" s="1569"/>
      <c r="F167" s="1569"/>
      <c r="G167" s="1569"/>
      <c r="H167" s="1569"/>
      <c r="I167" s="1569"/>
      <c r="J167" s="1569"/>
      <c r="K167" s="1569"/>
      <c r="L167" s="1569"/>
      <c r="M167" s="1569"/>
      <c r="N167" s="1569"/>
      <c r="O167" s="1569"/>
      <c r="P167" s="1569"/>
      <c r="Q167" s="1569"/>
      <c r="R167" s="1569"/>
      <c r="S167" s="1569"/>
      <c r="T167" s="1569"/>
      <c r="U167" s="1569"/>
      <c r="V167" s="704"/>
      <c r="W167" s="704"/>
      <c r="X167" s="704"/>
      <c r="Y167" s="704"/>
      <c r="Z167" s="704"/>
      <c r="AA167" s="468"/>
      <c r="AB167" s="216"/>
      <c r="AC167" s="216"/>
      <c r="AD167" s="992"/>
      <c r="AE167" s="992"/>
      <c r="AF167" s="992"/>
      <c r="AG167" s="992"/>
      <c r="AH167" s="992"/>
      <c r="AI167" s="992"/>
      <c r="AJ167" s="992"/>
      <c r="AK167" s="216"/>
      <c r="AL167" s="216"/>
      <c r="AM167" s="216"/>
      <c r="AN167" s="216"/>
    </row>
    <row r="168" spans="2:40" s="141" customFormat="1" ht="15" customHeight="1" x14ac:dyDescent="0.25">
      <c r="C168" s="525" t="s">
        <v>654</v>
      </c>
      <c r="G168" s="848" t="str">
        <f>IF(SUM(AI170,AI188,AI206)&gt;0,"WARNING: Generally, you may not cross a CLBC March 31 fiscal year end, please re-check below your payment line dates.","")</f>
        <v/>
      </c>
      <c r="Q168" s="496"/>
      <c r="R168" s="496"/>
      <c r="S168" s="704"/>
      <c r="T168" s="704"/>
      <c r="U168" s="704"/>
      <c r="V168" s="704"/>
      <c r="W168" s="704"/>
      <c r="X168" s="704"/>
      <c r="Y168" s="704"/>
      <c r="Z168" s="704"/>
      <c r="AA168" s="468"/>
      <c r="AB168" s="216"/>
      <c r="AC168" s="216"/>
      <c r="AD168" s="992"/>
      <c r="AE168" s="992"/>
      <c r="AF168" s="992"/>
      <c r="AG168" s="992"/>
      <c r="AH168" s="992"/>
      <c r="AI168" s="992"/>
      <c r="AJ168" s="992"/>
      <c r="AK168" s="216"/>
      <c r="AL168" s="216"/>
      <c r="AM168" s="216"/>
      <c r="AN168" s="216"/>
    </row>
    <row r="169" spans="2:40" s="141" customFormat="1" ht="25.5" x14ac:dyDescent="0.2">
      <c r="C169" s="789" t="s">
        <v>464</v>
      </c>
      <c r="D169" s="1537" t="s">
        <v>351</v>
      </c>
      <c r="E169" s="1537"/>
      <c r="F169" s="788" t="s">
        <v>481</v>
      </c>
      <c r="G169" s="1537" t="s">
        <v>519</v>
      </c>
      <c r="H169" s="1537"/>
      <c r="I169" s="1537" t="s">
        <v>520</v>
      </c>
      <c r="J169" s="1537"/>
      <c r="K169" s="1537" t="s">
        <v>469</v>
      </c>
      <c r="L169" s="1537"/>
      <c r="M169" s="789" t="s">
        <v>470</v>
      </c>
      <c r="N169" s="1535" t="s">
        <v>471</v>
      </c>
      <c r="O169" s="1536"/>
      <c r="P169" s="1535" t="s">
        <v>388</v>
      </c>
      <c r="Q169" s="1536"/>
      <c r="R169" s="732"/>
      <c r="S169" s="733"/>
      <c r="AA169" s="586"/>
      <c r="AD169" s="992"/>
      <c r="AE169" s="1067" t="s">
        <v>646</v>
      </c>
      <c r="AF169" s="1067" t="s">
        <v>647</v>
      </c>
      <c r="AG169" s="1067"/>
      <c r="AH169" s="1067"/>
      <c r="AI169" s="1067" t="s">
        <v>622</v>
      </c>
      <c r="AJ169" s="1067" t="s">
        <v>662</v>
      </c>
      <c r="AK169" s="216"/>
      <c r="AL169" s="216"/>
      <c r="AM169" s="216"/>
      <c r="AN169" s="216"/>
    </row>
    <row r="170" spans="2:40" s="141" customFormat="1" ht="15" customHeight="1" x14ac:dyDescent="0.2">
      <c r="B170" s="141" t="s">
        <v>648</v>
      </c>
      <c r="C170" s="666"/>
      <c r="D170" s="1547" t="s">
        <v>414</v>
      </c>
      <c r="E170" s="1547"/>
      <c r="F170" s="730" t="s">
        <v>671</v>
      </c>
      <c r="G170" s="1540"/>
      <c r="H170" s="1540"/>
      <c r="I170" s="1540"/>
      <c r="J170" s="1540"/>
      <c r="K170" s="1538">
        <f>ROUND($L$80*E179,2)</f>
        <v>0</v>
      </c>
      <c r="L170" s="1538"/>
      <c r="M170" s="808"/>
      <c r="N170" s="1542">
        <f>IF(NOT($X$100=0),1,0)</f>
        <v>0</v>
      </c>
      <c r="O170" s="1542"/>
      <c r="P170" s="1538">
        <f>ROUND(K170*N170,2)</f>
        <v>0</v>
      </c>
      <c r="Q170" s="1538"/>
      <c r="R170" s="741" t="str">
        <f>IF(AG170&gt;0,"ERRO Alert! The date range you entered for this payment line is INVALID. Please check and re-enter.","")</f>
        <v/>
      </c>
      <c r="S170" s="729"/>
      <c r="AD170" s="992"/>
      <c r="AE170" s="1059">
        <f>IF(G170&gt;0,IF(MONTH(G170)&gt;3,DATE(YEAR(G170)+1,3,31),DATE(YEAR(G170),3,31)),0)</f>
        <v>0</v>
      </c>
      <c r="AF170" s="1059">
        <f>IF(AE170&gt;$Q$20,$Q$20,AE170)</f>
        <v>0</v>
      </c>
      <c r="AG170" s="1070"/>
      <c r="AH170" s="1070"/>
      <c r="AI170" s="1070">
        <f>IF(AND(G170&gt;0,I170&gt;0,I170&gt;AF170),1,0)</f>
        <v>0</v>
      </c>
      <c r="AJ170" s="1070">
        <f>IF(AND(G170&gt;0,I170&gt;0),IF(OR(G170&lt;$Q$18,I170&gt;$Q$20),1,0),0)</f>
        <v>0</v>
      </c>
      <c r="AK170" s="216"/>
      <c r="AL170" s="216"/>
      <c r="AM170" s="216"/>
      <c r="AN170" s="216"/>
    </row>
    <row r="171" spans="2:40" s="216" customFormat="1" hidden="1" outlineLevel="1" x14ac:dyDescent="0.2">
      <c r="C171" s="551"/>
      <c r="D171" s="771"/>
      <c r="E171" s="771"/>
      <c r="F171" s="484"/>
      <c r="G171" s="141">
        <f>G177</f>
        <v>31</v>
      </c>
      <c r="H171" s="141"/>
      <c r="I171" s="141">
        <f>I177</f>
        <v>31</v>
      </c>
      <c r="J171" s="772"/>
      <c r="K171" s="726"/>
      <c r="L171" s="726"/>
      <c r="M171" s="1549"/>
      <c r="N171" s="1549"/>
      <c r="O171" s="1549"/>
      <c r="P171" s="1546"/>
      <c r="Q171" s="1546"/>
      <c r="R171" s="802"/>
      <c r="S171" s="734"/>
      <c r="AD171" s="992"/>
      <c r="AE171" s="992"/>
      <c r="AF171" s="1082"/>
      <c r="AG171" s="1061"/>
      <c r="AH171" s="1082"/>
      <c r="AI171" s="1082"/>
      <c r="AJ171" s="1082"/>
    </row>
    <row r="172" spans="2:40" s="216" customFormat="1" ht="25.5" hidden="1" customHeight="1" outlineLevel="1" x14ac:dyDescent="0.2">
      <c r="C172" s="551"/>
      <c r="D172" s="771"/>
      <c r="E172" s="771"/>
      <c r="F172" s="484"/>
      <c r="G172" s="141">
        <v>1</v>
      </c>
      <c r="H172" s="141"/>
      <c r="I172" s="141">
        <v>1</v>
      </c>
      <c r="J172" s="772"/>
      <c r="K172" s="1545"/>
      <c r="L172" s="1545"/>
      <c r="M172" s="796"/>
      <c r="N172" s="1545"/>
      <c r="O172" s="1545"/>
      <c r="P172" s="1570"/>
      <c r="Q172" s="1570"/>
      <c r="R172" s="801"/>
      <c r="T172" s="802"/>
      <c r="U172" s="802"/>
      <c r="V172" s="468"/>
      <c r="W172" s="468"/>
      <c r="X172" s="468"/>
      <c r="Y172" s="468"/>
      <c r="AD172" s="994"/>
      <c r="AE172" s="1082"/>
      <c r="AF172" s="1083"/>
      <c r="AG172" s="1082"/>
      <c r="AH172" s="1082"/>
      <c r="AI172" s="1082"/>
      <c r="AJ172" s="1082"/>
    </row>
    <row r="173" spans="2:40" s="216" customFormat="1" hidden="1" outlineLevel="1" x14ac:dyDescent="0.2">
      <c r="C173" s="773"/>
      <c r="D173" s="771"/>
      <c r="E173" s="771"/>
      <c r="F173" s="484"/>
      <c r="G173" s="141">
        <f>DAY(G170)</f>
        <v>0</v>
      </c>
      <c r="H173" s="141"/>
      <c r="I173" s="141">
        <f>DAY(I170)</f>
        <v>0</v>
      </c>
      <c r="J173" s="772"/>
      <c r="K173" s="1546"/>
      <c r="L173" s="1546"/>
      <c r="M173" s="796"/>
      <c r="N173" s="1539"/>
      <c r="O173" s="1539"/>
      <c r="P173" s="735"/>
      <c r="Q173" s="801"/>
      <c r="R173" s="801"/>
      <c r="T173" s="802"/>
      <c r="U173" s="802"/>
      <c r="V173" s="468"/>
      <c r="W173" s="468"/>
      <c r="X173" s="468"/>
      <c r="Y173" s="468"/>
      <c r="AD173" s="994"/>
      <c r="AE173" s="1082"/>
      <c r="AF173" s="1083"/>
      <c r="AG173" s="1082"/>
      <c r="AH173" s="1082"/>
      <c r="AI173" s="1082"/>
      <c r="AJ173" s="1082"/>
    </row>
    <row r="174" spans="2:40" s="216" customFormat="1" hidden="1" outlineLevel="1" x14ac:dyDescent="0.2">
      <c r="C174" s="773"/>
      <c r="D174" s="771"/>
      <c r="E174" s="771"/>
      <c r="F174" s="484"/>
      <c r="G174" s="516" t="str">
        <f>IF(G173=G172,"No","Yes")</f>
        <v>Yes</v>
      </c>
      <c r="H174" s="141"/>
      <c r="I174" s="516" t="str">
        <f>IF(I173=I171,"No","Yes")</f>
        <v>Yes</v>
      </c>
      <c r="J174" s="772"/>
      <c r="K174" s="1546"/>
      <c r="L174" s="1546"/>
      <c r="M174" s="796"/>
      <c r="N174" s="1539"/>
      <c r="O174" s="1539"/>
      <c r="P174" s="735"/>
      <c r="Q174" s="801"/>
      <c r="R174" s="801"/>
      <c r="T174" s="802"/>
      <c r="U174" s="802"/>
      <c r="V174" s="468"/>
      <c r="W174" s="468"/>
      <c r="X174" s="468"/>
      <c r="Y174" s="468"/>
      <c r="AD174" s="994"/>
      <c r="AE174" s="1082"/>
      <c r="AF174" s="1083"/>
      <c r="AG174" s="1082"/>
      <c r="AH174" s="1082"/>
      <c r="AI174" s="1082"/>
      <c r="AJ174" s="1082"/>
    </row>
    <row r="175" spans="2:40" s="216" customFormat="1" hidden="1" outlineLevel="1" x14ac:dyDescent="0.2">
      <c r="C175" s="141"/>
      <c r="D175" s="141"/>
      <c r="E175" s="141"/>
      <c r="F175" s="484"/>
      <c r="G175" s="219"/>
      <c r="H175" s="141"/>
      <c r="I175" s="219"/>
      <c r="J175" s="772"/>
      <c r="K175" s="731"/>
      <c r="L175" s="539"/>
      <c r="M175" s="796"/>
      <c r="N175" s="796"/>
      <c r="O175" s="796"/>
      <c r="P175" s="801"/>
      <c r="Q175" s="801"/>
      <c r="R175" s="801"/>
      <c r="T175" s="802"/>
      <c r="U175" s="802"/>
      <c r="V175" s="468"/>
      <c r="W175" s="468"/>
      <c r="X175" s="468"/>
      <c r="Y175" s="468"/>
      <c r="AD175" s="994"/>
      <c r="AE175" s="1082"/>
      <c r="AF175" s="1083"/>
      <c r="AG175" s="1082"/>
      <c r="AH175" s="1082"/>
      <c r="AI175" s="1082"/>
      <c r="AJ175" s="1082"/>
    </row>
    <row r="176" spans="2:40" s="216" customFormat="1" hidden="1" outlineLevel="1" x14ac:dyDescent="0.2">
      <c r="C176" s="141" t="s">
        <v>493</v>
      </c>
      <c r="D176" s="771"/>
      <c r="E176" s="597">
        <f>IF(NOT(G170=0),IF(G182="NO",(YEAR(I170)-YEAR(G170))*12+MONTH(I170)-MONTH(G170)+IF(G174="no",1,0)+IF(I174="yes",-1,0),0),0)</f>
        <v>0</v>
      </c>
      <c r="F176" s="484"/>
      <c r="G176" s="518">
        <f>EOMONTH(G170,0)</f>
        <v>31</v>
      </c>
      <c r="H176" s="141"/>
      <c r="I176" s="518">
        <f>EOMONTH(I170,0)</f>
        <v>31</v>
      </c>
      <c r="J176" s="772"/>
      <c r="K176" s="731"/>
      <c r="L176" s="539"/>
      <c r="M176" s="796"/>
      <c r="N176" s="796"/>
      <c r="O176" s="796"/>
      <c r="P176" s="801"/>
      <c r="Q176" s="801"/>
      <c r="R176" s="801"/>
      <c r="T176" s="802"/>
      <c r="U176" s="802"/>
      <c r="V176" s="468"/>
      <c r="W176" s="468"/>
      <c r="X176" s="468"/>
      <c r="Y176" s="468"/>
      <c r="AD176" s="994"/>
      <c r="AE176" s="1082"/>
      <c r="AF176" s="1083"/>
      <c r="AG176" s="1082"/>
      <c r="AH176" s="1082"/>
      <c r="AI176" s="1082"/>
      <c r="AJ176" s="1082"/>
    </row>
    <row r="177" spans="2:40" s="216" customFormat="1" hidden="1" outlineLevel="1" x14ac:dyDescent="0.2">
      <c r="C177" s="141" t="s">
        <v>494</v>
      </c>
      <c r="D177" s="771"/>
      <c r="E177" s="736">
        <f>IF(NOT(G170=0),G186,0)</f>
        <v>0</v>
      </c>
      <c r="F177" s="484"/>
      <c r="G177" s="141">
        <f>DAY(G176)</f>
        <v>31</v>
      </c>
      <c r="H177" s="141"/>
      <c r="I177" s="141">
        <f>DAY(I176)</f>
        <v>31</v>
      </c>
      <c r="J177" s="772"/>
      <c r="K177" s="731"/>
      <c r="L177" s="539"/>
      <c r="M177" s="796"/>
      <c r="N177" s="796"/>
      <c r="O177" s="796"/>
      <c r="P177" s="801"/>
      <c r="Q177" s="801"/>
      <c r="R177" s="801"/>
      <c r="T177" s="802"/>
      <c r="U177" s="802"/>
      <c r="V177" s="468"/>
      <c r="W177" s="468"/>
      <c r="X177" s="468"/>
      <c r="Y177" s="468"/>
      <c r="AD177" s="994"/>
      <c r="AE177" s="1082"/>
      <c r="AF177" s="1083"/>
      <c r="AG177" s="1082"/>
      <c r="AH177" s="1082"/>
      <c r="AI177" s="1082"/>
      <c r="AJ177" s="1082"/>
    </row>
    <row r="178" spans="2:40" s="216" customFormat="1" hidden="1" outlineLevel="1" x14ac:dyDescent="0.2">
      <c r="C178" s="141" t="s">
        <v>495</v>
      </c>
      <c r="D178" s="771"/>
      <c r="E178" s="737">
        <f>IF(NOT(G170=0),I186,0)</f>
        <v>0</v>
      </c>
      <c r="F178" s="484"/>
      <c r="G178" s="520">
        <f>G176-G170+1</f>
        <v>32</v>
      </c>
      <c r="H178" s="141"/>
      <c r="I178" s="520">
        <f>I176-I170</f>
        <v>31</v>
      </c>
      <c r="J178" s="772"/>
      <c r="K178" s="731"/>
      <c r="L178" s="539"/>
      <c r="M178" s="796"/>
      <c r="N178" s="796"/>
      <c r="O178" s="796"/>
      <c r="P178" s="801"/>
      <c r="Q178" s="801"/>
      <c r="R178" s="801"/>
      <c r="T178" s="802"/>
      <c r="U178" s="802"/>
      <c r="V178" s="468"/>
      <c r="W178" s="468"/>
      <c r="X178" s="468"/>
      <c r="Y178" s="468"/>
      <c r="AD178" s="994"/>
      <c r="AE178" s="1082"/>
      <c r="AF178" s="1083"/>
      <c r="AG178" s="1082"/>
      <c r="AH178" s="1082"/>
      <c r="AI178" s="1082"/>
      <c r="AJ178" s="1082"/>
    </row>
    <row r="179" spans="2:40" s="216" customFormat="1" hidden="1" outlineLevel="1" x14ac:dyDescent="0.2">
      <c r="C179" s="219" t="s">
        <v>496</v>
      </c>
      <c r="D179" s="771"/>
      <c r="E179" s="736">
        <f>SUM(E176:E178)</f>
        <v>0</v>
      </c>
      <c r="F179" s="484"/>
      <c r="G179" s="141">
        <f>G177-G178</f>
        <v>-1</v>
      </c>
      <c r="H179" s="141"/>
      <c r="I179" s="141">
        <f>I177-I178</f>
        <v>0</v>
      </c>
      <c r="J179" s="772"/>
      <c r="K179" s="731"/>
      <c r="L179" s="539"/>
      <c r="M179" s="796"/>
      <c r="N179" s="796"/>
      <c r="O179" s="796"/>
      <c r="P179" s="801"/>
      <c r="Q179" s="801"/>
      <c r="R179" s="801"/>
      <c r="T179" s="802"/>
      <c r="U179" s="802"/>
      <c r="V179" s="468"/>
      <c r="W179" s="468"/>
      <c r="X179" s="468"/>
      <c r="Y179" s="468"/>
      <c r="AD179" s="994"/>
      <c r="AE179" s="1082"/>
      <c r="AF179" s="1083"/>
      <c r="AG179" s="1082"/>
      <c r="AH179" s="1082"/>
      <c r="AI179" s="1082"/>
      <c r="AJ179" s="1082"/>
    </row>
    <row r="180" spans="2:40" s="216" customFormat="1" hidden="1" outlineLevel="1" x14ac:dyDescent="0.2">
      <c r="C180" s="141"/>
      <c r="D180" s="141"/>
      <c r="E180" s="141"/>
      <c r="F180" s="484"/>
      <c r="G180" s="718">
        <f>IF(G174="Yes",ROUND(G178/G177,6),0)</f>
        <v>1.0322579999999999</v>
      </c>
      <c r="H180" s="719"/>
      <c r="I180" s="718">
        <f>IF(I174="Yes",ROUND(I179/I177,6),0)</f>
        <v>0</v>
      </c>
      <c r="J180" s="772"/>
      <c r="K180" s="731"/>
      <c r="L180" s="539"/>
      <c r="M180" s="796"/>
      <c r="N180" s="796"/>
      <c r="O180" s="796"/>
      <c r="P180" s="801"/>
      <c r="Q180" s="801"/>
      <c r="R180" s="801"/>
      <c r="T180" s="802"/>
      <c r="U180" s="802"/>
      <c r="V180" s="468"/>
      <c r="W180" s="468"/>
      <c r="X180" s="468"/>
      <c r="Y180" s="468"/>
      <c r="AD180" s="994"/>
      <c r="AE180" s="1082"/>
      <c r="AF180" s="1083"/>
      <c r="AG180" s="1082"/>
      <c r="AH180" s="1082"/>
      <c r="AI180" s="1082"/>
      <c r="AJ180" s="1082"/>
    </row>
    <row r="181" spans="2:40" s="216" customFormat="1" hidden="1" outlineLevel="1" x14ac:dyDescent="0.2">
      <c r="C181" s="773"/>
      <c r="D181" s="771"/>
      <c r="E181" s="771"/>
      <c r="F181" s="484"/>
      <c r="G181" s="141"/>
      <c r="H181" s="141"/>
      <c r="I181" s="141"/>
      <c r="J181" s="772"/>
      <c r="K181" s="731"/>
      <c r="L181" s="539"/>
      <c r="M181" s="796"/>
      <c r="N181" s="796"/>
      <c r="O181" s="796"/>
      <c r="P181" s="801"/>
      <c r="Q181" s="801"/>
      <c r="R181" s="801"/>
      <c r="T181" s="802"/>
      <c r="U181" s="802"/>
      <c r="V181" s="468"/>
      <c r="W181" s="468"/>
      <c r="X181" s="468"/>
      <c r="Y181" s="468"/>
      <c r="AD181" s="994"/>
      <c r="AE181" s="1082"/>
      <c r="AF181" s="1083"/>
      <c r="AG181" s="1082"/>
      <c r="AH181" s="1082"/>
      <c r="AI181" s="1082"/>
      <c r="AJ181" s="1082"/>
    </row>
    <row r="182" spans="2:40" s="216" customFormat="1" hidden="1" outlineLevel="1" x14ac:dyDescent="0.2">
      <c r="C182" s="773"/>
      <c r="D182" s="771"/>
      <c r="E182" s="771"/>
      <c r="F182" s="484"/>
      <c r="G182" s="542" t="str">
        <f>IF(AND(YEAR(G170)=YEAR(I170),MONTH(G170)=MONTH(I170),G174="YES",I174="YES"),"YES","NO")</f>
        <v>YES</v>
      </c>
      <c r="H182" s="141"/>
      <c r="I182" s="141"/>
      <c r="J182" s="772"/>
      <c r="K182" s="731"/>
      <c r="L182" s="539"/>
      <c r="M182" s="796"/>
      <c r="N182" s="796"/>
      <c r="O182" s="796"/>
      <c r="P182" s="801"/>
      <c r="Q182" s="801"/>
      <c r="R182" s="801"/>
      <c r="T182" s="802"/>
      <c r="U182" s="802"/>
      <c r="V182" s="468"/>
      <c r="W182" s="468"/>
      <c r="X182" s="468"/>
      <c r="Y182" s="468"/>
      <c r="AD182" s="994"/>
      <c r="AE182" s="1082"/>
      <c r="AF182" s="1083"/>
      <c r="AG182" s="1082"/>
      <c r="AH182" s="1082"/>
      <c r="AI182" s="1082"/>
      <c r="AJ182" s="1082"/>
    </row>
    <row r="183" spans="2:40" s="216" customFormat="1" hidden="1" outlineLevel="1" x14ac:dyDescent="0.2">
      <c r="C183" s="773"/>
      <c r="D183" s="771"/>
      <c r="E183" s="771"/>
      <c r="F183" s="484"/>
      <c r="G183" s="141">
        <f>IF(G182="yes",I170-G170+1,0)</f>
        <v>1</v>
      </c>
      <c r="H183" s="141"/>
      <c r="I183" s="141"/>
      <c r="J183" s="772"/>
      <c r="K183" s="731"/>
      <c r="L183" s="539"/>
      <c r="M183" s="796"/>
      <c r="N183" s="796"/>
      <c r="O183" s="796"/>
      <c r="P183" s="801"/>
      <c r="Q183" s="801"/>
      <c r="R183" s="801"/>
      <c r="T183" s="802"/>
      <c r="U183" s="802"/>
      <c r="V183" s="468"/>
      <c r="W183" s="468"/>
      <c r="X183" s="468"/>
      <c r="Y183" s="468"/>
      <c r="AD183" s="994"/>
      <c r="AE183" s="1082"/>
      <c r="AF183" s="1083"/>
      <c r="AG183" s="1082"/>
      <c r="AH183" s="1082"/>
      <c r="AI183" s="1082"/>
      <c r="AJ183" s="1082"/>
    </row>
    <row r="184" spans="2:40" s="216" customFormat="1" hidden="1" outlineLevel="1" x14ac:dyDescent="0.2">
      <c r="C184" s="773"/>
      <c r="D184" s="771"/>
      <c r="E184" s="771"/>
      <c r="F184" s="484"/>
      <c r="G184" s="720">
        <f>ROUND(G183/G177,6)</f>
        <v>3.2258000000000002E-2</v>
      </c>
      <c r="H184" s="141"/>
      <c r="I184" s="141"/>
      <c r="J184" s="772"/>
      <c r="K184" s="731"/>
      <c r="L184" s="539"/>
      <c r="M184" s="796"/>
      <c r="N184" s="796"/>
      <c r="O184" s="796"/>
      <c r="P184" s="801"/>
      <c r="Q184" s="801"/>
      <c r="R184" s="801"/>
      <c r="T184" s="802"/>
      <c r="U184" s="802"/>
      <c r="V184" s="468"/>
      <c r="W184" s="468"/>
      <c r="X184" s="468"/>
      <c r="Y184" s="468"/>
      <c r="AD184" s="994"/>
      <c r="AE184" s="1082"/>
      <c r="AF184" s="1083"/>
      <c r="AG184" s="1082"/>
      <c r="AH184" s="1082"/>
      <c r="AI184" s="1082"/>
      <c r="AJ184" s="1082"/>
    </row>
    <row r="185" spans="2:40" s="216" customFormat="1" hidden="1" outlineLevel="1" x14ac:dyDescent="0.2">
      <c r="C185" s="773"/>
      <c r="D185" s="771"/>
      <c r="E185" s="771"/>
      <c r="F185" s="484"/>
      <c r="G185" s="141"/>
      <c r="H185" s="141"/>
      <c r="I185" s="141"/>
      <c r="J185" s="772"/>
      <c r="K185" s="738"/>
      <c r="L185" s="739"/>
      <c r="M185" s="796"/>
      <c r="N185" s="796"/>
      <c r="O185" s="796"/>
      <c r="P185" s="801"/>
      <c r="Q185" s="801"/>
      <c r="R185" s="801"/>
      <c r="T185" s="802"/>
      <c r="U185" s="802"/>
      <c r="V185" s="468"/>
      <c r="W185" s="468"/>
      <c r="X185" s="468"/>
      <c r="Y185" s="468"/>
      <c r="AD185" s="994"/>
      <c r="AE185" s="1082"/>
      <c r="AF185" s="1083"/>
      <c r="AG185" s="1083"/>
      <c r="AH185" s="1083"/>
      <c r="AI185" s="1083"/>
      <c r="AJ185" s="1083"/>
    </row>
    <row r="186" spans="2:40" s="216" customFormat="1" ht="13.5" hidden="1" outlineLevel="1" thickBot="1" x14ac:dyDescent="0.25">
      <c r="C186" s="551"/>
      <c r="D186" s="771"/>
      <c r="E186" s="771"/>
      <c r="F186" s="484"/>
      <c r="G186" s="722">
        <f>IF(G182="No",G180,G184)</f>
        <v>3.2258000000000002E-2</v>
      </c>
      <c r="H186" s="723"/>
      <c r="I186" s="722">
        <f>IF(G182="No",I180,0)</f>
        <v>0</v>
      </c>
      <c r="J186" s="772"/>
      <c r="K186" s="738"/>
      <c r="L186" s="739"/>
      <c r="M186" s="796"/>
      <c r="N186" s="796"/>
      <c r="O186" s="796"/>
      <c r="P186" s="801"/>
      <c r="Q186" s="801"/>
      <c r="R186" s="801"/>
      <c r="T186" s="802"/>
      <c r="U186" s="802"/>
      <c r="V186" s="468"/>
      <c r="W186" s="468"/>
      <c r="X186" s="468"/>
      <c r="Y186" s="468"/>
      <c r="AD186" s="994"/>
      <c r="AE186" s="1082"/>
      <c r="AF186" s="1083"/>
      <c r="AG186" s="1083"/>
      <c r="AH186" s="1083"/>
      <c r="AI186" s="1083"/>
      <c r="AJ186" s="1083"/>
    </row>
    <row r="187" spans="2:40" s="216" customFormat="1" hidden="1" outlineLevel="1" x14ac:dyDescent="0.2">
      <c r="C187" s="738"/>
      <c r="D187" s="738"/>
      <c r="E187" s="738"/>
      <c r="F187" s="738"/>
      <c r="G187" s="738"/>
      <c r="H187" s="738"/>
      <c r="I187" s="738"/>
      <c r="J187" s="738"/>
      <c r="K187" s="738"/>
      <c r="L187" s="739"/>
      <c r="M187" s="796"/>
      <c r="N187" s="796"/>
      <c r="O187" s="796"/>
      <c r="P187" s="801"/>
      <c r="Q187" s="801"/>
      <c r="R187" s="801"/>
      <c r="T187" s="802"/>
      <c r="U187" s="802"/>
      <c r="V187" s="468"/>
      <c r="W187" s="468"/>
      <c r="X187" s="468"/>
      <c r="Y187" s="468"/>
      <c r="AD187" s="994"/>
      <c r="AE187" s="1082"/>
      <c r="AF187" s="1083"/>
      <c r="AG187" s="1083"/>
      <c r="AH187" s="1083"/>
      <c r="AI187" s="1083"/>
      <c r="AJ187" s="1083"/>
    </row>
    <row r="188" spans="2:40" s="141" customFormat="1" ht="15" customHeight="1" collapsed="1" x14ac:dyDescent="0.2">
      <c r="B188" s="141" t="s">
        <v>649</v>
      </c>
      <c r="C188" s="666"/>
      <c r="D188" s="1547" t="s">
        <v>414</v>
      </c>
      <c r="E188" s="1547"/>
      <c r="F188" s="730" t="s">
        <v>671</v>
      </c>
      <c r="G188" s="1540"/>
      <c r="H188" s="1540"/>
      <c r="I188" s="1540"/>
      <c r="J188" s="1540"/>
      <c r="K188" s="1538">
        <f>ROUND($L$80*E197,2)</f>
        <v>0</v>
      </c>
      <c r="L188" s="1538"/>
      <c r="M188" s="808"/>
      <c r="N188" s="1542">
        <f>IF(K188&gt;0,IF(NOT($X$100=0),1,0),0)</f>
        <v>0</v>
      </c>
      <c r="O188" s="1542"/>
      <c r="P188" s="1538">
        <f>ROUND(K188*N188,2)</f>
        <v>0</v>
      </c>
      <c r="Q188" s="1538"/>
      <c r="R188" s="741" t="str">
        <f>IF(AG188&gt;0,"ERRO Alert! The date range you entered for this payment line is INVALID. Please check and re-enter.","")</f>
        <v/>
      </c>
      <c r="S188" s="729"/>
      <c r="AD188" s="992"/>
      <c r="AE188" s="1059">
        <f>IF(G188&gt;0,IF(MONTH(G188)&gt;3,DATE(YEAR(G188)+1,3,31),DATE(YEAR(G188),3,31)),0)</f>
        <v>0</v>
      </c>
      <c r="AF188" s="1059">
        <f>IF(AE188&gt;$Q$20,$Q$20,AE188)</f>
        <v>0</v>
      </c>
      <c r="AG188" s="1070"/>
      <c r="AH188" s="1070"/>
      <c r="AI188" s="1070">
        <f>IF(AND(G188&gt;0,I188&gt;0,I188&gt;AF188),1,0)</f>
        <v>0</v>
      </c>
      <c r="AJ188" s="1070">
        <f>IF(AND(G188&gt;0,I188&gt;0),IF(OR(G188&lt;$Q$18,I188&gt;$Q$20),1,0),0)</f>
        <v>0</v>
      </c>
      <c r="AK188" s="216"/>
      <c r="AL188" s="216"/>
      <c r="AM188" s="216"/>
      <c r="AN188" s="216"/>
    </row>
    <row r="189" spans="2:40" s="216" customFormat="1" hidden="1" outlineLevel="1" x14ac:dyDescent="0.2">
      <c r="C189" s="551"/>
      <c r="D189" s="771"/>
      <c r="E189" s="771"/>
      <c r="F189" s="484"/>
      <c r="G189" s="141">
        <f>G195</f>
        <v>31</v>
      </c>
      <c r="H189" s="141"/>
      <c r="I189" s="141">
        <f>I195</f>
        <v>31</v>
      </c>
      <c r="J189" s="772"/>
      <c r="K189" s="726"/>
      <c r="L189" s="726"/>
      <c r="M189" s="1549"/>
      <c r="N189" s="1549"/>
      <c r="O189" s="1549"/>
      <c r="P189" s="1546"/>
      <c r="Q189" s="1546"/>
      <c r="R189" s="802"/>
      <c r="S189" s="734"/>
      <c r="AD189" s="992"/>
      <c r="AE189" s="992"/>
      <c r="AF189" s="1082"/>
      <c r="AG189" s="1061"/>
      <c r="AH189" s="1082"/>
      <c r="AI189" s="1082"/>
      <c r="AJ189" s="1082"/>
    </row>
    <row r="190" spans="2:40" s="216" customFormat="1" hidden="1" outlineLevel="1" x14ac:dyDescent="0.2">
      <c r="C190" s="551"/>
      <c r="D190" s="771"/>
      <c r="E190" s="771"/>
      <c r="F190" s="484"/>
      <c r="G190" s="141">
        <v>1</v>
      </c>
      <c r="H190" s="141"/>
      <c r="I190" s="141">
        <v>1</v>
      </c>
      <c r="J190" s="772"/>
      <c r="K190" s="1545"/>
      <c r="L190" s="1545"/>
      <c r="M190" s="796"/>
      <c r="N190" s="1545"/>
      <c r="O190" s="1545"/>
      <c r="P190" s="1570"/>
      <c r="Q190" s="1570"/>
      <c r="R190" s="801"/>
      <c r="T190" s="802"/>
      <c r="U190" s="802"/>
      <c r="V190" s="468"/>
      <c r="W190" s="468"/>
      <c r="X190" s="468"/>
      <c r="Y190" s="468"/>
      <c r="AD190" s="994"/>
      <c r="AE190" s="1082"/>
      <c r="AF190" s="1083"/>
      <c r="AG190" s="1082"/>
      <c r="AH190" s="1082"/>
      <c r="AI190" s="1082"/>
      <c r="AJ190" s="1082"/>
    </row>
    <row r="191" spans="2:40" s="216" customFormat="1" hidden="1" outlineLevel="1" x14ac:dyDescent="0.2">
      <c r="C191" s="773"/>
      <c r="D191" s="771"/>
      <c r="E191" s="771"/>
      <c r="F191" s="484"/>
      <c r="G191" s="141">
        <f>DAY(G188)</f>
        <v>0</v>
      </c>
      <c r="H191" s="141"/>
      <c r="I191" s="141">
        <f>DAY(I188)</f>
        <v>0</v>
      </c>
      <c r="J191" s="772"/>
      <c r="K191" s="1546"/>
      <c r="L191" s="1546"/>
      <c r="M191" s="796"/>
      <c r="N191" s="1539"/>
      <c r="O191" s="1539"/>
      <c r="P191" s="735"/>
      <c r="Q191" s="801"/>
      <c r="R191" s="801"/>
      <c r="T191" s="802"/>
      <c r="U191" s="802"/>
      <c r="V191" s="468"/>
      <c r="W191" s="468"/>
      <c r="X191" s="468"/>
      <c r="Y191" s="468"/>
      <c r="AD191" s="994"/>
      <c r="AE191" s="1082"/>
      <c r="AF191" s="1083"/>
      <c r="AG191" s="1082"/>
      <c r="AH191" s="1082"/>
      <c r="AI191" s="1082"/>
      <c r="AJ191" s="1082"/>
    </row>
    <row r="192" spans="2:40" s="216" customFormat="1" hidden="1" outlineLevel="1" x14ac:dyDescent="0.2">
      <c r="C192" s="773"/>
      <c r="D192" s="771"/>
      <c r="E192" s="771"/>
      <c r="F192" s="484"/>
      <c r="G192" s="516" t="str">
        <f>IF(G191=G190,"No","Yes")</f>
        <v>Yes</v>
      </c>
      <c r="H192" s="141"/>
      <c r="I192" s="516" t="str">
        <f>IF(I191=I189,"No","Yes")</f>
        <v>Yes</v>
      </c>
      <c r="J192" s="772"/>
      <c r="K192" s="1546"/>
      <c r="L192" s="1546"/>
      <c r="M192" s="796"/>
      <c r="N192" s="1539"/>
      <c r="O192" s="1539"/>
      <c r="P192" s="735"/>
      <c r="Q192" s="801"/>
      <c r="R192" s="801"/>
      <c r="T192" s="802"/>
      <c r="U192" s="802"/>
      <c r="V192" s="468"/>
      <c r="W192" s="468"/>
      <c r="X192" s="468"/>
      <c r="Y192" s="468"/>
      <c r="AD192" s="994"/>
      <c r="AE192" s="1082"/>
      <c r="AF192" s="1083"/>
      <c r="AG192" s="1082"/>
      <c r="AH192" s="1082"/>
      <c r="AI192" s="1082"/>
      <c r="AJ192" s="1082"/>
    </row>
    <row r="193" spans="2:40" s="216" customFormat="1" hidden="1" outlineLevel="1" x14ac:dyDescent="0.2">
      <c r="C193" s="141"/>
      <c r="D193" s="141"/>
      <c r="E193" s="141"/>
      <c r="F193" s="484"/>
      <c r="G193" s="219"/>
      <c r="H193" s="141"/>
      <c r="I193" s="219"/>
      <c r="J193" s="772"/>
      <c r="K193" s="731"/>
      <c r="L193" s="539"/>
      <c r="M193" s="796"/>
      <c r="N193" s="796"/>
      <c r="O193" s="796"/>
      <c r="P193" s="801"/>
      <c r="Q193" s="801"/>
      <c r="R193" s="801"/>
      <c r="T193" s="802"/>
      <c r="U193" s="802"/>
      <c r="V193" s="468"/>
      <c r="W193" s="468"/>
      <c r="X193" s="468"/>
      <c r="Y193" s="468"/>
      <c r="AD193" s="994"/>
      <c r="AE193" s="1082"/>
      <c r="AF193" s="1083"/>
      <c r="AG193" s="1082"/>
      <c r="AH193" s="1082"/>
      <c r="AI193" s="1082"/>
      <c r="AJ193" s="1082"/>
    </row>
    <row r="194" spans="2:40" s="216" customFormat="1" hidden="1" outlineLevel="1" x14ac:dyDescent="0.2">
      <c r="C194" s="141" t="s">
        <v>493</v>
      </c>
      <c r="D194" s="771"/>
      <c r="E194" s="597">
        <f>IF(NOT(G188=0),IF(G200="NO",(YEAR(I188)-YEAR(G188))*12+MONTH(I188)-MONTH(G188)+IF(G192="no",1,0)+IF(I192="yes",-1,0),0),0)</f>
        <v>0</v>
      </c>
      <c r="F194" s="484"/>
      <c r="G194" s="518">
        <f>EOMONTH(G188,0)</f>
        <v>31</v>
      </c>
      <c r="H194" s="141"/>
      <c r="I194" s="518">
        <f>EOMONTH(I188,0)</f>
        <v>31</v>
      </c>
      <c r="J194" s="772"/>
      <c r="K194" s="731"/>
      <c r="L194" s="539"/>
      <c r="M194" s="796"/>
      <c r="N194" s="796"/>
      <c r="O194" s="796"/>
      <c r="P194" s="801"/>
      <c r="Q194" s="801"/>
      <c r="R194" s="801"/>
      <c r="T194" s="802"/>
      <c r="U194" s="802"/>
      <c r="V194" s="468"/>
      <c r="W194" s="468"/>
      <c r="X194" s="468"/>
      <c r="Y194" s="468"/>
      <c r="AD194" s="994"/>
      <c r="AE194" s="1082"/>
      <c r="AF194" s="1083"/>
      <c r="AG194" s="1082"/>
      <c r="AH194" s="1082"/>
      <c r="AI194" s="1082"/>
      <c r="AJ194" s="1082"/>
    </row>
    <row r="195" spans="2:40" s="216" customFormat="1" hidden="1" outlineLevel="1" x14ac:dyDescent="0.2">
      <c r="C195" s="141" t="s">
        <v>494</v>
      </c>
      <c r="D195" s="771"/>
      <c r="E195" s="736">
        <f>IF(NOT(G188=0),G204,0)</f>
        <v>0</v>
      </c>
      <c r="F195" s="484"/>
      <c r="G195" s="141">
        <f>DAY(G194)</f>
        <v>31</v>
      </c>
      <c r="H195" s="141"/>
      <c r="I195" s="141">
        <f>DAY(I194)</f>
        <v>31</v>
      </c>
      <c r="J195" s="772"/>
      <c r="K195" s="731"/>
      <c r="L195" s="539"/>
      <c r="M195" s="796"/>
      <c r="N195" s="796"/>
      <c r="O195" s="796"/>
      <c r="P195" s="801"/>
      <c r="Q195" s="801"/>
      <c r="R195" s="801"/>
      <c r="T195" s="802"/>
      <c r="U195" s="802"/>
      <c r="V195" s="468"/>
      <c r="W195" s="468"/>
      <c r="X195" s="468"/>
      <c r="Y195" s="468"/>
      <c r="AD195" s="994"/>
      <c r="AE195" s="1082"/>
      <c r="AF195" s="1083"/>
      <c r="AG195" s="1082"/>
      <c r="AH195" s="1082"/>
      <c r="AI195" s="1082"/>
      <c r="AJ195" s="1082"/>
    </row>
    <row r="196" spans="2:40" s="216" customFormat="1" hidden="1" outlineLevel="1" x14ac:dyDescent="0.2">
      <c r="C196" s="141" t="s">
        <v>495</v>
      </c>
      <c r="D196" s="771"/>
      <c r="E196" s="737">
        <f>IF(NOT(G188=0),I204,0)</f>
        <v>0</v>
      </c>
      <c r="F196" s="484"/>
      <c r="G196" s="520">
        <f>G194-G188+1</f>
        <v>32</v>
      </c>
      <c r="H196" s="141"/>
      <c r="I196" s="520">
        <f>I194-I188</f>
        <v>31</v>
      </c>
      <c r="J196" s="772"/>
      <c r="K196" s="731"/>
      <c r="L196" s="539"/>
      <c r="M196" s="796"/>
      <c r="N196" s="796"/>
      <c r="O196" s="796"/>
      <c r="P196" s="801"/>
      <c r="Q196" s="801"/>
      <c r="R196" s="801"/>
      <c r="T196" s="802"/>
      <c r="U196" s="802"/>
      <c r="V196" s="468"/>
      <c r="W196" s="468"/>
      <c r="X196" s="468"/>
      <c r="Y196" s="468"/>
      <c r="AD196" s="994"/>
      <c r="AE196" s="1082"/>
      <c r="AF196" s="1083"/>
      <c r="AG196" s="1082"/>
      <c r="AH196" s="1082"/>
      <c r="AI196" s="1082"/>
      <c r="AJ196" s="1082"/>
    </row>
    <row r="197" spans="2:40" s="216" customFormat="1" hidden="1" outlineLevel="1" x14ac:dyDescent="0.2">
      <c r="C197" s="219" t="s">
        <v>496</v>
      </c>
      <c r="D197" s="771"/>
      <c r="E197" s="736">
        <f>SUM(E194:E196)</f>
        <v>0</v>
      </c>
      <c r="F197" s="484"/>
      <c r="G197" s="141">
        <f>G195-G196</f>
        <v>-1</v>
      </c>
      <c r="H197" s="141"/>
      <c r="I197" s="141">
        <f>I195-I196</f>
        <v>0</v>
      </c>
      <c r="J197" s="772"/>
      <c r="K197" s="731"/>
      <c r="L197" s="539"/>
      <c r="M197" s="796"/>
      <c r="N197" s="796"/>
      <c r="O197" s="796"/>
      <c r="P197" s="801"/>
      <c r="Q197" s="801"/>
      <c r="R197" s="801"/>
      <c r="T197" s="802"/>
      <c r="U197" s="802"/>
      <c r="V197" s="468"/>
      <c r="W197" s="468"/>
      <c r="X197" s="468"/>
      <c r="Y197" s="468"/>
      <c r="AD197" s="994"/>
      <c r="AE197" s="1082"/>
      <c r="AF197" s="1083"/>
      <c r="AG197" s="1082"/>
      <c r="AH197" s="1082"/>
      <c r="AI197" s="1082"/>
      <c r="AJ197" s="1082"/>
    </row>
    <row r="198" spans="2:40" s="216" customFormat="1" hidden="1" outlineLevel="1" x14ac:dyDescent="0.2">
      <c r="C198" s="141"/>
      <c r="D198" s="141"/>
      <c r="E198" s="141"/>
      <c r="F198" s="484"/>
      <c r="G198" s="718">
        <f>IF(G192="Yes",ROUND(G196/G195,6),0)</f>
        <v>1.0322579999999999</v>
      </c>
      <c r="H198" s="719"/>
      <c r="I198" s="718">
        <f>IF(I192="Yes",ROUND(I197/I195,6),0)</f>
        <v>0</v>
      </c>
      <c r="J198" s="772"/>
      <c r="K198" s="731"/>
      <c r="L198" s="539"/>
      <c r="M198" s="796"/>
      <c r="N198" s="796"/>
      <c r="O198" s="796"/>
      <c r="P198" s="801"/>
      <c r="Q198" s="801"/>
      <c r="R198" s="801"/>
      <c r="T198" s="802"/>
      <c r="U198" s="802"/>
      <c r="V198" s="468"/>
      <c r="W198" s="468"/>
      <c r="X198" s="468"/>
      <c r="Y198" s="468"/>
      <c r="AD198" s="994"/>
      <c r="AE198" s="1082"/>
      <c r="AF198" s="1083"/>
      <c r="AG198" s="1082"/>
      <c r="AH198" s="1082"/>
      <c r="AI198" s="1082"/>
      <c r="AJ198" s="1082"/>
    </row>
    <row r="199" spans="2:40" s="216" customFormat="1" hidden="1" outlineLevel="1" x14ac:dyDescent="0.2">
      <c r="C199" s="773"/>
      <c r="D199" s="771"/>
      <c r="E199" s="771"/>
      <c r="F199" s="484"/>
      <c r="G199" s="141"/>
      <c r="H199" s="141"/>
      <c r="I199" s="141"/>
      <c r="J199" s="772"/>
      <c r="K199" s="731"/>
      <c r="L199" s="539"/>
      <c r="M199" s="796"/>
      <c r="N199" s="796"/>
      <c r="O199" s="796"/>
      <c r="P199" s="801"/>
      <c r="Q199" s="801"/>
      <c r="R199" s="801"/>
      <c r="T199" s="802"/>
      <c r="U199" s="802"/>
      <c r="V199" s="468"/>
      <c r="W199" s="468"/>
      <c r="X199" s="468"/>
      <c r="Y199" s="468"/>
      <c r="AD199" s="994"/>
      <c r="AE199" s="1082"/>
      <c r="AF199" s="1083"/>
      <c r="AG199" s="1082"/>
      <c r="AH199" s="1082"/>
      <c r="AI199" s="1082"/>
      <c r="AJ199" s="1082"/>
    </row>
    <row r="200" spans="2:40" s="216" customFormat="1" hidden="1" outlineLevel="1" x14ac:dyDescent="0.2">
      <c r="C200" s="773"/>
      <c r="D200" s="771"/>
      <c r="E200" s="771"/>
      <c r="F200" s="484"/>
      <c r="G200" s="542" t="str">
        <f>IF(AND(YEAR(G188)=YEAR(I188),MONTH(G188)=MONTH(I188),G192="YES",I192="YES"),"YES","NO")</f>
        <v>YES</v>
      </c>
      <c r="H200" s="141"/>
      <c r="I200" s="141"/>
      <c r="J200" s="772"/>
      <c r="K200" s="731"/>
      <c r="L200" s="539"/>
      <c r="M200" s="796"/>
      <c r="N200" s="796"/>
      <c r="O200" s="796"/>
      <c r="P200" s="801"/>
      <c r="Q200" s="801"/>
      <c r="R200" s="801"/>
      <c r="T200" s="802"/>
      <c r="U200" s="802"/>
      <c r="V200" s="468"/>
      <c r="W200" s="468"/>
      <c r="X200" s="468"/>
      <c r="Y200" s="468"/>
      <c r="AD200" s="994"/>
      <c r="AE200" s="1082"/>
      <c r="AF200" s="1083"/>
      <c r="AG200" s="1082"/>
      <c r="AH200" s="1082"/>
      <c r="AI200" s="1082"/>
      <c r="AJ200" s="1082"/>
    </row>
    <row r="201" spans="2:40" s="216" customFormat="1" hidden="1" outlineLevel="1" x14ac:dyDescent="0.2">
      <c r="C201" s="773"/>
      <c r="D201" s="771"/>
      <c r="E201" s="771"/>
      <c r="F201" s="484"/>
      <c r="G201" s="141">
        <f>IF(G200="yes",I188-G188+1,0)</f>
        <v>1</v>
      </c>
      <c r="H201" s="141"/>
      <c r="I201" s="141"/>
      <c r="J201" s="772"/>
      <c r="K201" s="731"/>
      <c r="L201" s="539"/>
      <c r="M201" s="796"/>
      <c r="N201" s="796"/>
      <c r="O201" s="796"/>
      <c r="P201" s="801"/>
      <c r="Q201" s="801"/>
      <c r="R201" s="801"/>
      <c r="T201" s="802"/>
      <c r="U201" s="802"/>
      <c r="V201" s="468"/>
      <c r="W201" s="468"/>
      <c r="X201" s="468"/>
      <c r="Y201" s="468"/>
      <c r="AD201" s="994"/>
      <c r="AE201" s="1082"/>
      <c r="AF201" s="1083"/>
      <c r="AG201" s="1082"/>
      <c r="AH201" s="1082"/>
      <c r="AI201" s="1082"/>
      <c r="AJ201" s="1082"/>
    </row>
    <row r="202" spans="2:40" s="216" customFormat="1" hidden="1" outlineLevel="1" x14ac:dyDescent="0.2">
      <c r="C202" s="773"/>
      <c r="D202" s="771"/>
      <c r="E202" s="771"/>
      <c r="F202" s="484"/>
      <c r="G202" s="720">
        <f>ROUND(G201/G195,6)</f>
        <v>3.2258000000000002E-2</v>
      </c>
      <c r="H202" s="141"/>
      <c r="I202" s="141"/>
      <c r="J202" s="772"/>
      <c r="K202" s="731"/>
      <c r="L202" s="539"/>
      <c r="M202" s="796"/>
      <c r="N202" s="796"/>
      <c r="O202" s="796"/>
      <c r="P202" s="801"/>
      <c r="Q202" s="801"/>
      <c r="R202" s="801"/>
      <c r="T202" s="802"/>
      <c r="U202" s="802"/>
      <c r="V202" s="468"/>
      <c r="W202" s="468"/>
      <c r="X202" s="468"/>
      <c r="Y202" s="468"/>
      <c r="AD202" s="994"/>
      <c r="AE202" s="1082"/>
      <c r="AF202" s="1083"/>
      <c r="AG202" s="1082"/>
      <c r="AH202" s="1082"/>
      <c r="AI202" s="1082"/>
      <c r="AJ202" s="1082"/>
    </row>
    <row r="203" spans="2:40" s="216" customFormat="1" hidden="1" outlineLevel="1" x14ac:dyDescent="0.2">
      <c r="C203" s="773"/>
      <c r="D203" s="771"/>
      <c r="E203" s="771"/>
      <c r="F203" s="484"/>
      <c r="G203" s="141"/>
      <c r="H203" s="141"/>
      <c r="I203" s="141"/>
      <c r="J203" s="772"/>
      <c r="K203" s="738"/>
      <c r="L203" s="739"/>
      <c r="M203" s="796"/>
      <c r="N203" s="796"/>
      <c r="O203" s="796"/>
      <c r="P203" s="801"/>
      <c r="Q203" s="801"/>
      <c r="R203" s="801"/>
      <c r="T203" s="802"/>
      <c r="U203" s="802"/>
      <c r="V203" s="468"/>
      <c r="W203" s="468"/>
      <c r="X203" s="468"/>
      <c r="Y203" s="468"/>
      <c r="AD203" s="994"/>
      <c r="AE203" s="1082"/>
      <c r="AF203" s="1083"/>
      <c r="AG203" s="1083"/>
      <c r="AH203" s="1083"/>
      <c r="AI203" s="1083"/>
      <c r="AJ203" s="1083"/>
    </row>
    <row r="204" spans="2:40" s="216" customFormat="1" ht="13.5" hidden="1" outlineLevel="1" thickBot="1" x14ac:dyDescent="0.25">
      <c r="C204" s="551"/>
      <c r="D204" s="771"/>
      <c r="E204" s="771"/>
      <c r="F204" s="484"/>
      <c r="G204" s="722">
        <f>IF(G200="No",G198,G202)</f>
        <v>3.2258000000000002E-2</v>
      </c>
      <c r="H204" s="723"/>
      <c r="I204" s="722">
        <f>IF(G200="No",I198,0)</f>
        <v>0</v>
      </c>
      <c r="J204" s="772"/>
      <c r="K204" s="738"/>
      <c r="L204" s="739"/>
      <c r="M204" s="796"/>
      <c r="N204" s="796"/>
      <c r="O204" s="796"/>
      <c r="P204" s="801"/>
      <c r="Q204" s="801"/>
      <c r="R204" s="801"/>
      <c r="T204" s="802"/>
      <c r="U204" s="802"/>
      <c r="V204" s="468"/>
      <c r="W204" s="468"/>
      <c r="X204" s="468"/>
      <c r="Y204" s="468"/>
      <c r="AD204" s="994"/>
      <c r="AE204" s="1082"/>
      <c r="AF204" s="1083"/>
      <c r="AG204" s="1083"/>
      <c r="AH204" s="1083"/>
      <c r="AI204" s="1083"/>
      <c r="AJ204" s="1083"/>
    </row>
    <row r="205" spans="2:40" s="216" customFormat="1" hidden="1" outlineLevel="1" x14ac:dyDescent="0.2">
      <c r="C205" s="738"/>
      <c r="D205" s="738"/>
      <c r="E205" s="738"/>
      <c r="F205" s="738"/>
      <c r="G205" s="738"/>
      <c r="H205" s="738"/>
      <c r="I205" s="738"/>
      <c r="J205" s="738"/>
      <c r="K205" s="738"/>
      <c r="L205" s="739"/>
      <c r="M205" s="796"/>
      <c r="N205" s="796"/>
      <c r="O205" s="796"/>
      <c r="P205" s="801"/>
      <c r="Q205" s="801"/>
      <c r="R205" s="801"/>
      <c r="T205" s="802"/>
      <c r="U205" s="802"/>
      <c r="V205" s="468"/>
      <c r="W205" s="468"/>
      <c r="X205" s="468"/>
      <c r="Y205" s="468"/>
      <c r="AD205" s="994"/>
      <c r="AE205" s="1082"/>
      <c r="AF205" s="1083"/>
      <c r="AG205" s="1083"/>
      <c r="AH205" s="1083"/>
      <c r="AI205" s="1083"/>
      <c r="AJ205" s="1083"/>
    </row>
    <row r="206" spans="2:40" s="141" customFormat="1" ht="15" customHeight="1" collapsed="1" x14ac:dyDescent="0.2">
      <c r="B206" s="141" t="s">
        <v>670</v>
      </c>
      <c r="C206" s="666"/>
      <c r="D206" s="1547" t="s">
        <v>414</v>
      </c>
      <c r="E206" s="1547"/>
      <c r="F206" s="730" t="s">
        <v>671</v>
      </c>
      <c r="G206" s="1540"/>
      <c r="H206" s="1540"/>
      <c r="I206" s="1540"/>
      <c r="J206" s="1540"/>
      <c r="K206" s="1538">
        <f>ROUND($L$80*E215,2)</f>
        <v>0</v>
      </c>
      <c r="L206" s="1538"/>
      <c r="M206" s="808"/>
      <c r="N206" s="1542">
        <f>IF(K206&gt;0,IF(NOT($X$100=0),1,0),0)</f>
        <v>0</v>
      </c>
      <c r="O206" s="1542"/>
      <c r="P206" s="1538">
        <f>ROUND(K206*N206,2)</f>
        <v>0</v>
      </c>
      <c r="Q206" s="1538"/>
      <c r="R206" s="741" t="str">
        <f>IF(AG206&gt;0,"ERRO Alert! The date range you entered for this payment line is INVALID. Please check and re-enter.","")</f>
        <v/>
      </c>
      <c r="S206" s="729"/>
      <c r="AD206" s="992"/>
      <c r="AE206" s="1059">
        <f>IF(G206&gt;0,IF(MONTH(G206)&gt;3,DATE(YEAR(G206)+1,3,31),DATE(YEAR(G206),3,31)),0)</f>
        <v>0</v>
      </c>
      <c r="AF206" s="1059">
        <f>IF(AE206&gt;$Q$20,$Q$20,AE206)</f>
        <v>0</v>
      </c>
      <c r="AG206" s="1070"/>
      <c r="AH206" s="1070"/>
      <c r="AI206" s="1070">
        <f>IF(AND(G206&gt;0,I206&gt;0,I206&gt;AF206),1,0)</f>
        <v>0</v>
      </c>
      <c r="AJ206" s="1070">
        <f>IF(AND(G206&gt;0,I206&gt;0),IF(OR(G206&lt;$Q$18,I206&gt;$Q$20),1,0),0)</f>
        <v>0</v>
      </c>
      <c r="AK206" s="216"/>
      <c r="AL206" s="216"/>
      <c r="AM206" s="216"/>
      <c r="AN206" s="216"/>
    </row>
    <row r="207" spans="2:40" s="216" customFormat="1" hidden="1" outlineLevel="1" x14ac:dyDescent="0.2">
      <c r="C207" s="551"/>
      <c r="D207" s="771"/>
      <c r="E207" s="771"/>
      <c r="F207" s="484"/>
      <c r="G207" s="141">
        <f>G213</f>
        <v>31</v>
      </c>
      <c r="H207" s="141"/>
      <c r="I207" s="141">
        <f>I213</f>
        <v>31</v>
      </c>
      <c r="J207" s="772"/>
      <c r="K207" s="726"/>
      <c r="L207" s="726"/>
      <c r="M207" s="1549"/>
      <c r="N207" s="1549"/>
      <c r="O207" s="1549"/>
      <c r="P207" s="1546"/>
      <c r="Q207" s="1546"/>
      <c r="R207" s="802"/>
      <c r="S207" s="734"/>
      <c r="AD207" s="992"/>
      <c r="AE207" s="992"/>
      <c r="AF207" s="1082"/>
      <c r="AG207" s="1061"/>
      <c r="AH207" s="1082"/>
      <c r="AI207" s="1082"/>
      <c r="AJ207" s="1082"/>
    </row>
    <row r="208" spans="2:40" s="216" customFormat="1" hidden="1" outlineLevel="1" x14ac:dyDescent="0.2">
      <c r="C208" s="551"/>
      <c r="D208" s="771"/>
      <c r="E208" s="771"/>
      <c r="F208" s="484"/>
      <c r="G208" s="141">
        <v>1</v>
      </c>
      <c r="H208" s="141"/>
      <c r="I208" s="141">
        <v>1</v>
      </c>
      <c r="J208" s="772"/>
      <c r="K208" s="1545"/>
      <c r="L208" s="1545"/>
      <c r="M208" s="796"/>
      <c r="N208" s="1545"/>
      <c r="O208" s="1545"/>
      <c r="P208" s="1570"/>
      <c r="Q208" s="1570"/>
      <c r="R208" s="801"/>
      <c r="T208" s="802"/>
      <c r="U208" s="802"/>
      <c r="V208" s="468"/>
      <c r="W208" s="468"/>
      <c r="X208" s="468"/>
      <c r="Y208" s="468"/>
      <c r="AD208" s="994"/>
      <c r="AE208" s="1082"/>
      <c r="AF208" s="1083"/>
      <c r="AG208" s="1082"/>
      <c r="AH208" s="1082"/>
      <c r="AI208" s="1082"/>
      <c r="AJ208" s="1082"/>
    </row>
    <row r="209" spans="3:36" s="216" customFormat="1" hidden="1" outlineLevel="1" x14ac:dyDescent="0.2">
      <c r="C209" s="773"/>
      <c r="D209" s="771"/>
      <c r="E209" s="771"/>
      <c r="F209" s="484"/>
      <c r="G209" s="141">
        <f>DAY(G206)</f>
        <v>0</v>
      </c>
      <c r="H209" s="141"/>
      <c r="I209" s="141">
        <f>DAY(I206)</f>
        <v>0</v>
      </c>
      <c r="J209" s="772"/>
      <c r="K209" s="1546"/>
      <c r="L209" s="1546"/>
      <c r="M209" s="796"/>
      <c r="N209" s="1539"/>
      <c r="O209" s="1539"/>
      <c r="P209" s="735"/>
      <c r="Q209" s="801"/>
      <c r="R209" s="801"/>
      <c r="T209" s="802"/>
      <c r="U209" s="802"/>
      <c r="V209" s="468"/>
      <c r="W209" s="468"/>
      <c r="X209" s="468"/>
      <c r="Y209" s="468"/>
      <c r="AD209" s="994"/>
      <c r="AE209" s="1082"/>
      <c r="AF209" s="1083"/>
      <c r="AG209" s="1082"/>
      <c r="AH209" s="1082"/>
      <c r="AI209" s="1082"/>
      <c r="AJ209" s="1082"/>
    </row>
    <row r="210" spans="3:36" s="216" customFormat="1" hidden="1" outlineLevel="1" x14ac:dyDescent="0.2">
      <c r="C210" s="773"/>
      <c r="D210" s="771"/>
      <c r="E210" s="771"/>
      <c r="F210" s="484"/>
      <c r="G210" s="516" t="str">
        <f>IF(G209=G208,"No","Yes")</f>
        <v>Yes</v>
      </c>
      <c r="H210" s="141"/>
      <c r="I210" s="516" t="str">
        <f>IF(I209=I207,"No","Yes")</f>
        <v>Yes</v>
      </c>
      <c r="J210" s="772"/>
      <c r="K210" s="1546"/>
      <c r="L210" s="1546"/>
      <c r="M210" s="796"/>
      <c r="N210" s="1539"/>
      <c r="O210" s="1539"/>
      <c r="P210" s="735"/>
      <c r="Q210" s="801"/>
      <c r="R210" s="801"/>
      <c r="T210" s="802"/>
      <c r="U210" s="802"/>
      <c r="V210" s="468"/>
      <c r="W210" s="468"/>
      <c r="X210" s="468"/>
      <c r="Y210" s="468"/>
      <c r="AD210" s="994"/>
      <c r="AE210" s="1082"/>
      <c r="AF210" s="1083"/>
      <c r="AG210" s="1082"/>
      <c r="AH210" s="1082"/>
      <c r="AI210" s="1082"/>
      <c r="AJ210" s="1082"/>
    </row>
    <row r="211" spans="3:36" s="216" customFormat="1" hidden="1" outlineLevel="1" x14ac:dyDescent="0.2">
      <c r="C211" s="141"/>
      <c r="D211" s="141"/>
      <c r="E211" s="141"/>
      <c r="F211" s="484"/>
      <c r="G211" s="219"/>
      <c r="H211" s="141"/>
      <c r="I211" s="219"/>
      <c r="J211" s="772"/>
      <c r="K211" s="731"/>
      <c r="L211" s="539"/>
      <c r="M211" s="796"/>
      <c r="N211" s="796"/>
      <c r="O211" s="796"/>
      <c r="P211" s="801"/>
      <c r="Q211" s="801"/>
      <c r="R211" s="801"/>
      <c r="T211" s="802"/>
      <c r="U211" s="802"/>
      <c r="V211" s="468"/>
      <c r="W211" s="468"/>
      <c r="X211" s="468"/>
      <c r="Y211" s="468"/>
      <c r="AD211" s="994"/>
      <c r="AE211" s="1082"/>
      <c r="AF211" s="1083"/>
      <c r="AG211" s="1082"/>
      <c r="AH211" s="1082"/>
      <c r="AI211" s="1082"/>
      <c r="AJ211" s="1082"/>
    </row>
    <row r="212" spans="3:36" s="216" customFormat="1" hidden="1" outlineLevel="1" x14ac:dyDescent="0.2">
      <c r="C212" s="141" t="s">
        <v>493</v>
      </c>
      <c r="D212" s="771"/>
      <c r="E212" s="597">
        <f>IF(NOT(G206=0),IF(G218="NO",(YEAR(I206)-YEAR(G206))*12+MONTH(I206)-MONTH(G206)+IF(G210="no",1,0)+IF(I210="yes",-1,0),0),0)</f>
        <v>0</v>
      </c>
      <c r="F212" s="484"/>
      <c r="G212" s="518">
        <f>EOMONTH(G206,0)</f>
        <v>31</v>
      </c>
      <c r="H212" s="141"/>
      <c r="I212" s="518">
        <f>EOMONTH(I206,0)</f>
        <v>31</v>
      </c>
      <c r="J212" s="772"/>
      <c r="K212" s="731"/>
      <c r="L212" s="539"/>
      <c r="M212" s="796"/>
      <c r="N212" s="796"/>
      <c r="O212" s="796"/>
      <c r="P212" s="801"/>
      <c r="Q212" s="801"/>
      <c r="R212" s="801"/>
      <c r="T212" s="802"/>
      <c r="U212" s="802"/>
      <c r="V212" s="468"/>
      <c r="W212" s="468"/>
      <c r="X212" s="468"/>
      <c r="Y212" s="468"/>
      <c r="AD212" s="994"/>
      <c r="AE212" s="1082"/>
      <c r="AF212" s="1083"/>
      <c r="AG212" s="1082"/>
      <c r="AH212" s="1082"/>
      <c r="AI212" s="1082"/>
      <c r="AJ212" s="1082"/>
    </row>
    <row r="213" spans="3:36" s="216" customFormat="1" hidden="1" outlineLevel="1" x14ac:dyDescent="0.2">
      <c r="C213" s="141" t="s">
        <v>494</v>
      </c>
      <c r="D213" s="771"/>
      <c r="E213" s="736">
        <f>IF(NOT(G206=0),G222,0)</f>
        <v>0</v>
      </c>
      <c r="F213" s="484"/>
      <c r="G213" s="141">
        <f>DAY(G212)</f>
        <v>31</v>
      </c>
      <c r="H213" s="141"/>
      <c r="I213" s="141">
        <f>DAY(I212)</f>
        <v>31</v>
      </c>
      <c r="J213" s="772"/>
      <c r="K213" s="731"/>
      <c r="L213" s="539"/>
      <c r="M213" s="796"/>
      <c r="N213" s="796"/>
      <c r="O213" s="796"/>
      <c r="P213" s="801"/>
      <c r="Q213" s="801"/>
      <c r="R213" s="801"/>
      <c r="T213" s="802"/>
      <c r="U213" s="802"/>
      <c r="V213" s="468"/>
      <c r="W213" s="468"/>
      <c r="X213" s="468"/>
      <c r="Y213" s="468"/>
      <c r="AD213" s="994"/>
      <c r="AE213" s="1082"/>
      <c r="AF213" s="1083"/>
      <c r="AG213" s="1082"/>
      <c r="AH213" s="1082"/>
      <c r="AI213" s="1082"/>
      <c r="AJ213" s="1082"/>
    </row>
    <row r="214" spans="3:36" s="216" customFormat="1" hidden="1" outlineLevel="1" x14ac:dyDescent="0.2">
      <c r="C214" s="141" t="s">
        <v>495</v>
      </c>
      <c r="D214" s="771"/>
      <c r="E214" s="737">
        <f>IF(NOT(G206=0),I222,0)</f>
        <v>0</v>
      </c>
      <c r="F214" s="484"/>
      <c r="G214" s="520">
        <f>G212-G206+1</f>
        <v>32</v>
      </c>
      <c r="H214" s="141"/>
      <c r="I214" s="520">
        <f>I212-I206</f>
        <v>31</v>
      </c>
      <c r="J214" s="772"/>
      <c r="K214" s="731"/>
      <c r="L214" s="539"/>
      <c r="M214" s="796"/>
      <c r="N214" s="796"/>
      <c r="O214" s="796"/>
      <c r="P214" s="801"/>
      <c r="Q214" s="801"/>
      <c r="R214" s="801"/>
      <c r="T214" s="802"/>
      <c r="U214" s="802"/>
      <c r="V214" s="468"/>
      <c r="W214" s="468"/>
      <c r="X214" s="468"/>
      <c r="Y214" s="468"/>
      <c r="AD214" s="994"/>
      <c r="AE214" s="1082"/>
      <c r="AF214" s="1083"/>
      <c r="AG214" s="1082"/>
      <c r="AH214" s="1082"/>
      <c r="AI214" s="1082"/>
      <c r="AJ214" s="1082"/>
    </row>
    <row r="215" spans="3:36" s="216" customFormat="1" hidden="1" outlineLevel="1" x14ac:dyDescent="0.2">
      <c r="C215" s="219" t="s">
        <v>496</v>
      </c>
      <c r="D215" s="771"/>
      <c r="E215" s="736">
        <f>SUM(E212:E214)</f>
        <v>0</v>
      </c>
      <c r="F215" s="484"/>
      <c r="G215" s="141">
        <f>G213-G214</f>
        <v>-1</v>
      </c>
      <c r="H215" s="141"/>
      <c r="I215" s="141">
        <f>I213-I214</f>
        <v>0</v>
      </c>
      <c r="J215" s="772"/>
      <c r="K215" s="731"/>
      <c r="L215" s="539"/>
      <c r="M215" s="796"/>
      <c r="N215" s="796"/>
      <c r="O215" s="796"/>
      <c r="P215" s="801"/>
      <c r="Q215" s="801"/>
      <c r="R215" s="801"/>
      <c r="T215" s="802"/>
      <c r="U215" s="802"/>
      <c r="V215" s="468"/>
      <c r="W215" s="468"/>
      <c r="X215" s="468"/>
      <c r="Y215" s="468"/>
      <c r="AD215" s="994"/>
      <c r="AE215" s="1082"/>
      <c r="AF215" s="1083"/>
      <c r="AG215" s="1082"/>
      <c r="AH215" s="1082"/>
      <c r="AI215" s="1082"/>
      <c r="AJ215" s="1082"/>
    </row>
    <row r="216" spans="3:36" s="216" customFormat="1" hidden="1" outlineLevel="1" x14ac:dyDescent="0.2">
      <c r="C216" s="141"/>
      <c r="D216" s="141"/>
      <c r="E216" s="141"/>
      <c r="F216" s="484"/>
      <c r="G216" s="718">
        <f>IF(G210="Yes",ROUND(G214/G213,6),0)</f>
        <v>1.0322579999999999</v>
      </c>
      <c r="H216" s="719"/>
      <c r="I216" s="718">
        <f>IF(I210="Yes",ROUND(I215/I213,6),0)</f>
        <v>0</v>
      </c>
      <c r="J216" s="772"/>
      <c r="K216" s="731"/>
      <c r="L216" s="539"/>
      <c r="M216" s="796"/>
      <c r="N216" s="796"/>
      <c r="O216" s="796"/>
      <c r="P216" s="801"/>
      <c r="Q216" s="801"/>
      <c r="R216" s="801"/>
      <c r="T216" s="802"/>
      <c r="U216" s="802"/>
      <c r="V216" s="468"/>
      <c r="W216" s="468"/>
      <c r="X216" s="468"/>
      <c r="Y216" s="468"/>
      <c r="AD216" s="994"/>
      <c r="AE216" s="1082"/>
      <c r="AF216" s="1083"/>
      <c r="AG216" s="1082"/>
      <c r="AH216" s="1082"/>
      <c r="AI216" s="1082"/>
      <c r="AJ216" s="1082"/>
    </row>
    <row r="217" spans="3:36" s="216" customFormat="1" hidden="1" outlineLevel="1" x14ac:dyDescent="0.2">
      <c r="C217" s="773"/>
      <c r="D217" s="771"/>
      <c r="E217" s="771"/>
      <c r="F217" s="484"/>
      <c r="G217" s="141"/>
      <c r="H217" s="141"/>
      <c r="I217" s="141"/>
      <c r="J217" s="772"/>
      <c r="K217" s="731"/>
      <c r="L217" s="539"/>
      <c r="M217" s="796"/>
      <c r="N217" s="796"/>
      <c r="O217" s="796"/>
      <c r="P217" s="801"/>
      <c r="Q217" s="801"/>
      <c r="R217" s="801"/>
      <c r="T217" s="802"/>
      <c r="U217" s="802"/>
      <c r="V217" s="468"/>
      <c r="W217" s="468"/>
      <c r="X217" s="468"/>
      <c r="Y217" s="468"/>
      <c r="AD217" s="994"/>
      <c r="AE217" s="1082"/>
      <c r="AF217" s="1083"/>
      <c r="AG217" s="1082"/>
      <c r="AH217" s="1082"/>
      <c r="AI217" s="1082"/>
      <c r="AJ217" s="1082"/>
    </row>
    <row r="218" spans="3:36" s="216" customFormat="1" hidden="1" outlineLevel="1" x14ac:dyDescent="0.2">
      <c r="C218" s="773"/>
      <c r="D218" s="771"/>
      <c r="E218" s="771"/>
      <c r="F218" s="484"/>
      <c r="G218" s="542" t="str">
        <f>IF(AND(YEAR(G206)=YEAR(I206),MONTH(G206)=MONTH(I206),G210="YES",I210="YES"),"YES","NO")</f>
        <v>YES</v>
      </c>
      <c r="H218" s="141"/>
      <c r="I218" s="141"/>
      <c r="J218" s="772"/>
      <c r="K218" s="731"/>
      <c r="L218" s="539"/>
      <c r="M218" s="796"/>
      <c r="N218" s="796"/>
      <c r="O218" s="796"/>
      <c r="P218" s="801"/>
      <c r="Q218" s="801"/>
      <c r="R218" s="801"/>
      <c r="T218" s="802"/>
      <c r="U218" s="802"/>
      <c r="V218" s="468"/>
      <c r="W218" s="468"/>
      <c r="X218" s="468"/>
      <c r="Y218" s="468"/>
      <c r="AD218" s="994"/>
      <c r="AE218" s="1082"/>
      <c r="AF218" s="1083"/>
      <c r="AG218" s="1082"/>
      <c r="AH218" s="1082"/>
      <c r="AI218" s="1082"/>
      <c r="AJ218" s="1082"/>
    </row>
    <row r="219" spans="3:36" s="216" customFormat="1" hidden="1" outlineLevel="1" x14ac:dyDescent="0.2">
      <c r="C219" s="773"/>
      <c r="D219" s="771"/>
      <c r="E219" s="771"/>
      <c r="F219" s="484"/>
      <c r="G219" s="141">
        <f>IF(G218="yes",I206-G206+1,0)</f>
        <v>1</v>
      </c>
      <c r="H219" s="141"/>
      <c r="I219" s="141"/>
      <c r="J219" s="772"/>
      <c r="K219" s="731"/>
      <c r="L219" s="539"/>
      <c r="M219" s="796"/>
      <c r="N219" s="796"/>
      <c r="O219" s="796"/>
      <c r="P219" s="801"/>
      <c r="Q219" s="801"/>
      <c r="R219" s="801"/>
      <c r="T219" s="802"/>
      <c r="U219" s="802"/>
      <c r="V219" s="468"/>
      <c r="W219" s="468"/>
      <c r="X219" s="468"/>
      <c r="Y219" s="468"/>
      <c r="AD219" s="994"/>
      <c r="AE219" s="1082"/>
      <c r="AF219" s="1083"/>
      <c r="AG219" s="1082"/>
      <c r="AH219" s="1082"/>
      <c r="AI219" s="1082"/>
      <c r="AJ219" s="1082"/>
    </row>
    <row r="220" spans="3:36" s="216" customFormat="1" hidden="1" outlineLevel="1" x14ac:dyDescent="0.2">
      <c r="C220" s="773"/>
      <c r="D220" s="771"/>
      <c r="E220" s="771"/>
      <c r="F220" s="484"/>
      <c r="G220" s="720">
        <f>ROUND(G219/G213,6)</f>
        <v>3.2258000000000002E-2</v>
      </c>
      <c r="H220" s="141"/>
      <c r="I220" s="141"/>
      <c r="J220" s="772"/>
      <c r="K220" s="731"/>
      <c r="L220" s="539"/>
      <c r="M220" s="796"/>
      <c r="N220" s="796"/>
      <c r="O220" s="796"/>
      <c r="P220" s="801"/>
      <c r="Q220" s="801"/>
      <c r="R220" s="801"/>
      <c r="T220" s="802"/>
      <c r="U220" s="802"/>
      <c r="V220" s="468"/>
      <c r="W220" s="468"/>
      <c r="X220" s="468"/>
      <c r="Y220" s="468"/>
      <c r="AD220" s="994"/>
      <c r="AE220" s="1082"/>
      <c r="AF220" s="1083"/>
      <c r="AG220" s="1082"/>
      <c r="AH220" s="1082"/>
      <c r="AI220" s="1082"/>
      <c r="AJ220" s="1082"/>
    </row>
    <row r="221" spans="3:36" s="216" customFormat="1" hidden="1" outlineLevel="1" x14ac:dyDescent="0.2">
      <c r="C221" s="773"/>
      <c r="D221" s="771"/>
      <c r="E221" s="771"/>
      <c r="F221" s="484"/>
      <c r="G221" s="141"/>
      <c r="H221" s="141"/>
      <c r="I221" s="141"/>
      <c r="J221" s="772"/>
      <c r="K221" s="738"/>
      <c r="L221" s="739"/>
      <c r="M221" s="796"/>
      <c r="N221" s="796"/>
      <c r="O221" s="796"/>
      <c r="P221" s="801"/>
      <c r="Q221" s="801"/>
      <c r="R221" s="801"/>
      <c r="T221" s="802"/>
      <c r="U221" s="802"/>
      <c r="V221" s="468"/>
      <c r="W221" s="468"/>
      <c r="X221" s="468"/>
      <c r="Y221" s="468"/>
      <c r="AD221" s="994"/>
      <c r="AE221" s="1082"/>
      <c r="AF221" s="1083"/>
      <c r="AG221" s="1083"/>
      <c r="AH221" s="1083"/>
      <c r="AI221" s="1083"/>
      <c r="AJ221" s="1083"/>
    </row>
    <row r="222" spans="3:36" s="216" customFormat="1" ht="13.5" hidden="1" outlineLevel="1" thickBot="1" x14ac:dyDescent="0.25">
      <c r="C222" s="551"/>
      <c r="D222" s="771"/>
      <c r="E222" s="771"/>
      <c r="F222" s="484"/>
      <c r="G222" s="722">
        <f>IF(G218="No",G216,G220)</f>
        <v>3.2258000000000002E-2</v>
      </c>
      <c r="H222" s="723"/>
      <c r="I222" s="722">
        <f>IF(G218="No",I216,0)</f>
        <v>0</v>
      </c>
      <c r="J222" s="772"/>
      <c r="K222" s="738"/>
      <c r="L222" s="739"/>
      <c r="M222" s="796"/>
      <c r="N222" s="796"/>
      <c r="O222" s="796"/>
      <c r="P222" s="801"/>
      <c r="Q222" s="801"/>
      <c r="R222" s="801"/>
      <c r="T222" s="802"/>
      <c r="U222" s="802"/>
      <c r="V222" s="468"/>
      <c r="W222" s="468"/>
      <c r="X222" s="468"/>
      <c r="Y222" s="468"/>
      <c r="AD222" s="994"/>
      <c r="AE222" s="1082"/>
      <c r="AF222" s="1083"/>
      <c r="AG222" s="1083"/>
      <c r="AH222" s="1083"/>
      <c r="AI222" s="1083"/>
      <c r="AJ222" s="1083"/>
    </row>
    <row r="223" spans="3:36" s="216" customFormat="1" hidden="1" outlineLevel="1" x14ac:dyDescent="0.2">
      <c r="C223" s="738"/>
      <c r="D223" s="738"/>
      <c r="E223" s="738"/>
      <c r="F223" s="738"/>
      <c r="G223" s="738"/>
      <c r="H223" s="738"/>
      <c r="I223" s="738"/>
      <c r="J223" s="738"/>
      <c r="K223" s="738"/>
      <c r="L223" s="739"/>
      <c r="M223" s="796"/>
      <c r="N223" s="796"/>
      <c r="O223" s="796"/>
      <c r="P223" s="801"/>
      <c r="Q223" s="801"/>
      <c r="R223" s="801"/>
      <c r="T223" s="802"/>
      <c r="U223" s="802"/>
      <c r="V223" s="468"/>
      <c r="W223" s="468"/>
      <c r="X223" s="468"/>
      <c r="Y223" s="468"/>
      <c r="AD223" s="994"/>
      <c r="AE223" s="1082"/>
      <c r="AF223" s="1083"/>
      <c r="AG223" s="1083"/>
      <c r="AH223" s="1083"/>
      <c r="AI223" s="1083"/>
      <c r="AJ223" s="1083"/>
    </row>
    <row r="224" spans="3:36" s="216" customFormat="1" ht="15" collapsed="1" x14ac:dyDescent="0.25">
      <c r="C224" s="849" t="str">
        <f>IF(SUM(AJ170,AJ188,AJ206)&gt;0,"ERROR ALERT:  The date range in your service start/end dates is NOT consistent with the variable start/end dates ('Variable Terms' above), please check immediately above your payment line dates and re-enter.","")</f>
        <v/>
      </c>
      <c r="D224" s="738"/>
      <c r="E224" s="738"/>
      <c r="F224" s="738"/>
      <c r="G224" s="738"/>
      <c r="H224" s="738"/>
      <c r="I224" s="738"/>
      <c r="J224" s="738"/>
      <c r="K224" s="738"/>
      <c r="L224" s="739"/>
      <c r="M224" s="796"/>
      <c r="N224" s="796"/>
      <c r="O224" s="499"/>
      <c r="P224" s="703"/>
      <c r="Q224" s="703"/>
      <c r="R224" s="801"/>
      <c r="T224" s="802"/>
      <c r="U224" s="802"/>
      <c r="V224" s="468"/>
      <c r="W224" s="468"/>
      <c r="X224" s="468"/>
      <c r="Y224" s="468"/>
      <c r="AD224" s="994"/>
      <c r="AE224" s="1082"/>
      <c r="AF224" s="1083"/>
      <c r="AG224" s="1083"/>
      <c r="AH224" s="1083"/>
      <c r="AI224" s="1083"/>
      <c r="AJ224" s="1083"/>
    </row>
    <row r="225" spans="3:40" s="216" customFormat="1" ht="15.75" x14ac:dyDescent="0.25">
      <c r="C225" s="525" t="s">
        <v>655</v>
      </c>
      <c r="D225" s="738"/>
      <c r="E225" s="738"/>
      <c r="F225" s="738"/>
      <c r="G225" s="848" t="str">
        <f>IF(SUM(AI227,AI228,AI229)&gt;0,"WARNING: Generally, you may not cross a CLBC March 31 fiscal year end, please re-check below your payment line dates.","")</f>
        <v/>
      </c>
      <c r="H225" s="738"/>
      <c r="I225" s="738"/>
      <c r="J225" s="738"/>
      <c r="K225" s="738"/>
      <c r="L225" s="739"/>
      <c r="M225" s="796"/>
      <c r="N225" s="796"/>
      <c r="O225" s="499"/>
      <c r="P225" s="801"/>
      <c r="Q225" s="801"/>
      <c r="R225" s="801"/>
      <c r="T225" s="802"/>
      <c r="U225" s="802"/>
      <c r="V225" s="468"/>
      <c r="W225" s="468"/>
      <c r="X225" s="468"/>
      <c r="Y225" s="468"/>
      <c r="AD225" s="994"/>
      <c r="AE225" s="1082"/>
      <c r="AF225" s="1083"/>
      <c r="AG225" s="1083"/>
      <c r="AH225" s="1083"/>
      <c r="AI225" s="1083"/>
      <c r="AJ225" s="1083"/>
    </row>
    <row r="226" spans="3:40" s="216" customFormat="1" ht="25.5" x14ac:dyDescent="0.2">
      <c r="C226" s="789" t="s">
        <v>464</v>
      </c>
      <c r="D226" s="1537" t="s">
        <v>351</v>
      </c>
      <c r="E226" s="1537"/>
      <c r="F226" s="788" t="s">
        <v>481</v>
      </c>
      <c r="G226" s="1537" t="s">
        <v>519</v>
      </c>
      <c r="H226" s="1537"/>
      <c r="I226" s="1537" t="s">
        <v>520</v>
      </c>
      <c r="J226" s="1537"/>
      <c r="K226" s="1537" t="s">
        <v>469</v>
      </c>
      <c r="L226" s="1537"/>
      <c r="M226" s="789" t="s">
        <v>470</v>
      </c>
      <c r="N226" s="1535" t="s">
        <v>471</v>
      </c>
      <c r="O226" s="1536"/>
      <c r="P226" s="1535" t="s">
        <v>388</v>
      </c>
      <c r="Q226" s="1536"/>
      <c r="R226" s="801"/>
      <c r="T226" s="802"/>
      <c r="U226" s="802"/>
      <c r="V226" s="468"/>
      <c r="W226" s="468"/>
      <c r="X226" s="468"/>
      <c r="Y226" s="468"/>
      <c r="AD226" s="994"/>
      <c r="AE226" s="1067" t="s">
        <v>646</v>
      </c>
      <c r="AF226" s="1067" t="s">
        <v>647</v>
      </c>
      <c r="AG226" s="1067"/>
      <c r="AH226" s="1067"/>
      <c r="AI226" s="1067" t="s">
        <v>622</v>
      </c>
      <c r="AJ226" s="1067" t="s">
        <v>662</v>
      </c>
    </row>
    <row r="227" spans="3:40" s="216" customFormat="1" x14ac:dyDescent="0.2">
      <c r="C227" s="666"/>
      <c r="D227" s="1547" t="s">
        <v>414</v>
      </c>
      <c r="E227" s="1547"/>
      <c r="F227" s="730" t="s">
        <v>671</v>
      </c>
      <c r="G227" s="1540"/>
      <c r="H227" s="1540"/>
      <c r="I227" s="1540"/>
      <c r="J227" s="1540"/>
      <c r="K227" s="1548"/>
      <c r="L227" s="1548"/>
      <c r="M227" s="808"/>
      <c r="N227" s="1542">
        <f>IF(K227&gt;0,1,0)</f>
        <v>0</v>
      </c>
      <c r="O227" s="1542"/>
      <c r="P227" s="1538">
        <f>ROUND(K227*N227,2)</f>
        <v>0</v>
      </c>
      <c r="Q227" s="1538"/>
      <c r="R227" s="741" t="str">
        <f>IF(AG227&gt;0,"ERRO Alert! The date range you entered for this payment line is INVALID. Please check and re-enter.","")</f>
        <v/>
      </c>
      <c r="T227" s="802"/>
      <c r="U227" s="802"/>
      <c r="V227" s="468"/>
      <c r="W227" s="468"/>
      <c r="X227" s="468"/>
      <c r="Y227" s="468"/>
      <c r="AD227" s="994"/>
      <c r="AE227" s="1059">
        <f>IF(G227&gt;0,IF(MONTH(G227)&gt;3,DATE(YEAR(G227)+1,3,31),DATE(YEAR(G227),3,31)),0)</f>
        <v>0</v>
      </c>
      <c r="AF227" s="1059">
        <f>IF(AE227&gt;$Q$20,$Q$20,AE227)</f>
        <v>0</v>
      </c>
      <c r="AG227" s="1070"/>
      <c r="AH227" s="1070"/>
      <c r="AI227" s="1070">
        <f>IF(AND(G227&gt;0,I227&gt;0,I227&gt;AF227),1,0)</f>
        <v>0</v>
      </c>
      <c r="AJ227" s="1070">
        <f>IF(AND(G227&gt;0,I227&gt;0),IF(OR(G227&lt;$Q$18,I227&gt;$Q$20),1,0),0)</f>
        <v>0</v>
      </c>
    </row>
    <row r="228" spans="3:40" s="216" customFormat="1" x14ac:dyDescent="0.2">
      <c r="C228" s="666"/>
      <c r="D228" s="1547" t="s">
        <v>414</v>
      </c>
      <c r="E228" s="1547"/>
      <c r="F228" s="730" t="s">
        <v>671</v>
      </c>
      <c r="G228" s="1540"/>
      <c r="H228" s="1540"/>
      <c r="I228" s="1540"/>
      <c r="J228" s="1540"/>
      <c r="K228" s="1548"/>
      <c r="L228" s="1548"/>
      <c r="M228" s="808"/>
      <c r="N228" s="1542">
        <f>IF(K228&gt;0,1,0)</f>
        <v>0</v>
      </c>
      <c r="O228" s="1542"/>
      <c r="P228" s="1538">
        <f>ROUND(K228*N228,2)</f>
        <v>0</v>
      </c>
      <c r="Q228" s="1538"/>
      <c r="R228" s="741" t="str">
        <f>IF(AG228&gt;0,"ERRO Alert! The date range you entered for this payment line is INVALID. Please check and re-enter.","")</f>
        <v/>
      </c>
      <c r="T228" s="802"/>
      <c r="U228" s="802"/>
      <c r="V228" s="468"/>
      <c r="W228" s="468"/>
      <c r="X228" s="468"/>
      <c r="Y228" s="468"/>
      <c r="AD228" s="994"/>
      <c r="AE228" s="1059">
        <f>IF(G228&gt;0,IF(MONTH(G228)&gt;3,DATE(YEAR(G228)+1,3,31),DATE(YEAR(G228),3,31)),0)</f>
        <v>0</v>
      </c>
      <c r="AF228" s="1059">
        <f>IF(AE228&gt;$Q$20,$Q$20,AE228)</f>
        <v>0</v>
      </c>
      <c r="AG228" s="1070"/>
      <c r="AH228" s="1070"/>
      <c r="AI228" s="1070">
        <f>IF(AND(G228&gt;0,I228&gt;0,I228&gt;AF228),1,0)</f>
        <v>0</v>
      </c>
      <c r="AJ228" s="1070">
        <f>IF(AND(G228&gt;0,I228&gt;0),IF(OR(G228&lt;$Q$18,I228&gt;$Q$20),1,0),0)</f>
        <v>0</v>
      </c>
    </row>
    <row r="229" spans="3:40" s="216" customFormat="1" x14ac:dyDescent="0.2">
      <c r="C229" s="666"/>
      <c r="D229" s="1547" t="s">
        <v>414</v>
      </c>
      <c r="E229" s="1547"/>
      <c r="F229" s="730" t="s">
        <v>671</v>
      </c>
      <c r="G229" s="1540"/>
      <c r="H229" s="1540"/>
      <c r="I229" s="1540"/>
      <c r="J229" s="1540"/>
      <c r="K229" s="1548"/>
      <c r="L229" s="1548"/>
      <c r="M229" s="808"/>
      <c r="N229" s="1542">
        <f>IF(K229&gt;0,1,0)</f>
        <v>0</v>
      </c>
      <c r="O229" s="1542"/>
      <c r="P229" s="1538">
        <f>ROUND(K229*N229,2)</f>
        <v>0</v>
      </c>
      <c r="Q229" s="1538"/>
      <c r="R229" s="741" t="str">
        <f>IF(AG229&gt;0,"ERRO Alert! The date range you entered for this payment line is INVALID. Please check and re-enter.","")</f>
        <v/>
      </c>
      <c r="T229" s="802"/>
      <c r="U229" s="802"/>
      <c r="V229" s="468"/>
      <c r="W229" s="468"/>
      <c r="X229" s="468"/>
      <c r="Y229" s="468"/>
      <c r="AD229" s="994"/>
      <c r="AE229" s="1059">
        <f>IF(G229&gt;0,IF(MONTH(G229)&gt;3,DATE(YEAR(G229)+1,3,31),DATE(YEAR(G229),3,31)),0)</f>
        <v>0</v>
      </c>
      <c r="AF229" s="1059">
        <f>IF(AE229&gt;$Q$20,$Q$20,AE229)</f>
        <v>0</v>
      </c>
      <c r="AG229" s="1070"/>
      <c r="AH229" s="1070"/>
      <c r="AI229" s="1070">
        <f>IF(AND(G229&gt;0,I229&gt;0,I229&gt;AF229),1,0)</f>
        <v>0</v>
      </c>
      <c r="AJ229" s="1070">
        <f>IF(AND(G229&gt;0,I229&gt;0),IF(OR(G229&lt;$Q$18,I229&gt;$Q$20),1,0),0)</f>
        <v>0</v>
      </c>
    </row>
    <row r="230" spans="3:40" s="216" customFormat="1" ht="15" x14ac:dyDescent="0.25">
      <c r="C230" s="849" t="str">
        <f>IF(SUM(AJ227,AJ228,AJ229)&gt;0,"ERROR ALERT:  The date range in your service start/end dates is NOT consistent with the variable start/end dates ('Variable Terms' above), please check immediately above your payment line dates and re-enter.","")</f>
        <v/>
      </c>
      <c r="D230" s="738"/>
      <c r="E230" s="738"/>
      <c r="F230" s="738"/>
      <c r="G230" s="738"/>
      <c r="H230" s="738"/>
      <c r="I230" s="738"/>
      <c r="J230" s="738"/>
      <c r="K230" s="738"/>
      <c r="L230" s="739"/>
      <c r="M230" s="796"/>
      <c r="N230" s="796"/>
      <c r="O230" s="796"/>
      <c r="P230" s="801"/>
      <c r="Q230" s="801"/>
      <c r="R230" s="801"/>
      <c r="T230" s="802"/>
      <c r="U230" s="802"/>
      <c r="V230" s="468"/>
      <c r="W230" s="468"/>
      <c r="X230" s="468"/>
      <c r="Y230" s="468"/>
      <c r="AD230" s="994"/>
      <c r="AE230" s="1082"/>
      <c r="AF230" s="1083"/>
      <c r="AG230" s="1083"/>
      <c r="AH230" s="1083"/>
      <c r="AI230" s="1083"/>
      <c r="AJ230" s="1083"/>
    </row>
    <row r="231" spans="3:40" s="141" customFormat="1" ht="15" customHeight="1" x14ac:dyDescent="0.2">
      <c r="C231" s="54"/>
      <c r="D231" s="54"/>
      <c r="E231" s="54"/>
      <c r="F231" s="54"/>
      <c r="G231" s="606"/>
      <c r="H231" s="54"/>
      <c r="I231" s="186"/>
      <c r="J231" s="186"/>
      <c r="K231" s="186"/>
      <c r="L231" s="186"/>
      <c r="N231" s="216"/>
      <c r="O231" s="216"/>
      <c r="P231" s="496"/>
      <c r="Q231" s="496"/>
      <c r="R231" s="496"/>
      <c r="S231" s="216"/>
      <c r="T231" s="776"/>
      <c r="U231" s="776"/>
      <c r="V231" s="776"/>
      <c r="W231" s="776"/>
      <c r="X231" s="776"/>
      <c r="Y231" s="776"/>
      <c r="Z231" s="468"/>
      <c r="AA231" s="468"/>
      <c r="AB231" s="216"/>
      <c r="AC231" s="216"/>
      <c r="AD231" s="992"/>
      <c r="AE231" s="992"/>
      <c r="AF231" s="992"/>
      <c r="AG231" s="992"/>
      <c r="AH231" s="992"/>
      <c r="AI231" s="992"/>
      <c r="AJ231" s="992"/>
      <c r="AK231" s="216"/>
      <c r="AL231" s="216"/>
      <c r="AM231" s="216"/>
      <c r="AN231" s="216"/>
    </row>
    <row r="232" spans="3:40" s="141" customFormat="1" ht="16.5" thickBot="1" x14ac:dyDescent="0.3">
      <c r="C232" s="1649" t="s">
        <v>320</v>
      </c>
      <c r="D232" s="1649"/>
      <c r="E232" s="1649"/>
      <c r="F232" s="1649"/>
      <c r="G232" s="1649"/>
      <c r="H232" s="1649"/>
      <c r="I232" s="1649"/>
      <c r="J232" s="1649"/>
      <c r="N232" s="216"/>
      <c r="O232" s="216"/>
      <c r="P232" s="216"/>
      <c r="Q232" s="216"/>
      <c r="R232" s="216"/>
      <c r="S232" s="216"/>
      <c r="T232" s="216"/>
      <c r="U232" s="216"/>
      <c r="V232" s="216"/>
      <c r="W232" s="216"/>
      <c r="X232" s="216"/>
      <c r="Y232" s="216"/>
      <c r="Z232" s="216"/>
      <c r="AA232" s="216"/>
      <c r="AB232" s="216"/>
      <c r="AC232" s="216"/>
      <c r="AD232" s="992"/>
      <c r="AE232" s="992"/>
      <c r="AF232" s="992"/>
      <c r="AG232" s="992"/>
      <c r="AH232" s="992"/>
      <c r="AI232" s="992"/>
      <c r="AJ232" s="992"/>
      <c r="AK232" s="216"/>
      <c r="AL232" s="216"/>
      <c r="AM232" s="216"/>
      <c r="AN232" s="216"/>
    </row>
    <row r="233" spans="3:40" s="141" customFormat="1" x14ac:dyDescent="0.2">
      <c r="C233" s="1651"/>
      <c r="D233" s="1652"/>
      <c r="E233" s="1652"/>
      <c r="F233" s="1652"/>
      <c r="G233" s="1652"/>
      <c r="H233" s="1652"/>
      <c r="I233" s="1652"/>
      <c r="J233" s="1652"/>
      <c r="K233" s="1652"/>
      <c r="L233" s="1652"/>
      <c r="M233" s="1652"/>
      <c r="N233" s="1652"/>
      <c r="O233" s="1652"/>
      <c r="P233" s="1652"/>
      <c r="Q233" s="1653"/>
      <c r="R233" s="668"/>
      <c r="S233" s="668"/>
      <c r="T233" s="668"/>
      <c r="U233" s="668"/>
      <c r="V233" s="668"/>
      <c r="W233" s="668"/>
      <c r="X233" s="668"/>
      <c r="Y233" s="668"/>
      <c r="Z233" s="668"/>
      <c r="AA233" s="668"/>
      <c r="AB233" s="668"/>
      <c r="AC233" s="219"/>
      <c r="AD233" s="992"/>
      <c r="AE233" s="992"/>
      <c r="AF233" s="992"/>
      <c r="AG233" s="992"/>
      <c r="AH233" s="992"/>
      <c r="AI233" s="992"/>
      <c r="AJ233" s="992"/>
      <c r="AK233" s="216"/>
      <c r="AL233" s="216"/>
      <c r="AM233" s="216"/>
      <c r="AN233" s="216"/>
    </row>
    <row r="234" spans="3:40" s="141" customFormat="1" x14ac:dyDescent="0.2">
      <c r="C234" s="1654"/>
      <c r="D234" s="1655"/>
      <c r="E234" s="1655"/>
      <c r="F234" s="1655"/>
      <c r="G234" s="1655"/>
      <c r="H234" s="1655"/>
      <c r="I234" s="1655"/>
      <c r="J234" s="1655"/>
      <c r="K234" s="1655"/>
      <c r="L234" s="1655"/>
      <c r="M234" s="1655"/>
      <c r="N234" s="1655"/>
      <c r="O234" s="1655"/>
      <c r="P234" s="1655"/>
      <c r="Q234" s="1656"/>
      <c r="R234" s="668"/>
      <c r="S234" s="668"/>
      <c r="T234" s="668"/>
      <c r="U234" s="668"/>
      <c r="V234" s="668"/>
      <c r="W234" s="668"/>
      <c r="X234" s="668"/>
      <c r="Y234" s="668"/>
      <c r="Z234" s="668"/>
      <c r="AA234" s="668"/>
      <c r="AB234" s="668"/>
      <c r="AC234" s="219"/>
      <c r="AD234" s="992"/>
      <c r="AE234" s="992"/>
      <c r="AF234" s="992"/>
      <c r="AG234" s="992"/>
      <c r="AH234" s="992"/>
      <c r="AI234" s="992"/>
      <c r="AJ234" s="992"/>
      <c r="AK234" s="216"/>
      <c r="AL234" s="216"/>
      <c r="AM234" s="216"/>
      <c r="AN234" s="216"/>
    </row>
    <row r="235" spans="3:40" s="141" customFormat="1" x14ac:dyDescent="0.2">
      <c r="C235" s="1654"/>
      <c r="D235" s="1655"/>
      <c r="E235" s="1655"/>
      <c r="F235" s="1655"/>
      <c r="G235" s="1655"/>
      <c r="H235" s="1655"/>
      <c r="I235" s="1655"/>
      <c r="J235" s="1655"/>
      <c r="K235" s="1655"/>
      <c r="L235" s="1655"/>
      <c r="M235" s="1655"/>
      <c r="N235" s="1655"/>
      <c r="O235" s="1655"/>
      <c r="P235" s="1655"/>
      <c r="Q235" s="1656"/>
      <c r="R235" s="668"/>
      <c r="S235" s="668"/>
      <c r="T235" s="668"/>
      <c r="U235" s="668"/>
      <c r="V235" s="668"/>
      <c r="W235" s="668"/>
      <c r="X235" s="668"/>
      <c r="Y235" s="668"/>
      <c r="Z235" s="668"/>
      <c r="AA235" s="668"/>
      <c r="AB235" s="668"/>
      <c r="AC235" s="219"/>
      <c r="AD235" s="992"/>
      <c r="AE235" s="992"/>
      <c r="AF235" s="992"/>
      <c r="AG235" s="992"/>
      <c r="AH235" s="992"/>
      <c r="AI235" s="992"/>
      <c r="AJ235" s="992"/>
      <c r="AK235" s="216"/>
      <c r="AL235" s="216"/>
      <c r="AM235" s="216"/>
      <c r="AN235" s="216"/>
    </row>
    <row r="236" spans="3:40" s="141" customFormat="1" x14ac:dyDescent="0.2">
      <c r="C236" s="1654"/>
      <c r="D236" s="1655"/>
      <c r="E236" s="1655"/>
      <c r="F236" s="1655"/>
      <c r="G236" s="1655"/>
      <c r="H236" s="1655"/>
      <c r="I236" s="1655"/>
      <c r="J236" s="1655"/>
      <c r="K236" s="1655"/>
      <c r="L236" s="1655"/>
      <c r="M236" s="1655"/>
      <c r="N236" s="1655"/>
      <c r="O236" s="1655"/>
      <c r="P236" s="1655"/>
      <c r="Q236" s="1656"/>
      <c r="R236" s="668"/>
      <c r="S236" s="668"/>
      <c r="T236" s="668"/>
      <c r="U236" s="668"/>
      <c r="V236" s="668"/>
      <c r="W236" s="668"/>
      <c r="X236" s="668"/>
      <c r="Y236" s="668"/>
      <c r="Z236" s="668"/>
      <c r="AA236" s="668"/>
      <c r="AB236" s="668"/>
      <c r="AC236" s="219"/>
      <c r="AD236" s="992"/>
      <c r="AE236" s="992"/>
      <c r="AF236" s="992"/>
      <c r="AG236" s="992"/>
      <c r="AH236" s="992"/>
      <c r="AI236" s="992"/>
      <c r="AJ236" s="992"/>
      <c r="AK236" s="216"/>
      <c r="AL236" s="216"/>
      <c r="AM236" s="216"/>
      <c r="AN236" s="216"/>
    </row>
    <row r="237" spans="3:40" s="141" customFormat="1" ht="13.5" thickBot="1" x14ac:dyDescent="0.25">
      <c r="C237" s="1657"/>
      <c r="D237" s="1658"/>
      <c r="E237" s="1658"/>
      <c r="F237" s="1658"/>
      <c r="G237" s="1658"/>
      <c r="H237" s="1658"/>
      <c r="I237" s="1658"/>
      <c r="J237" s="1658"/>
      <c r="K237" s="1658"/>
      <c r="L237" s="1658"/>
      <c r="M237" s="1658"/>
      <c r="N237" s="1658"/>
      <c r="O237" s="1658"/>
      <c r="P237" s="1658"/>
      <c r="Q237" s="1659"/>
      <c r="R237" s="668"/>
      <c r="S237" s="668"/>
      <c r="T237" s="668"/>
      <c r="U237" s="668"/>
      <c r="V237" s="668"/>
      <c r="W237" s="668"/>
      <c r="X237" s="668"/>
      <c r="Y237" s="668"/>
      <c r="Z237" s="668"/>
      <c r="AA237" s="668"/>
      <c r="AB237" s="668"/>
      <c r="AC237" s="219"/>
      <c r="AD237" s="992"/>
      <c r="AE237" s="992"/>
      <c r="AF237" s="992"/>
      <c r="AG237" s="992"/>
      <c r="AH237" s="992"/>
      <c r="AI237" s="992"/>
      <c r="AJ237" s="992"/>
      <c r="AK237" s="216"/>
      <c r="AL237" s="216"/>
      <c r="AM237" s="216"/>
      <c r="AN237" s="216"/>
    </row>
    <row r="238" spans="3:40" s="141" customFormat="1" x14ac:dyDescent="0.2">
      <c r="N238" s="216"/>
      <c r="O238" s="216"/>
      <c r="P238" s="216"/>
      <c r="Q238" s="216"/>
      <c r="R238" s="216"/>
      <c r="S238" s="216"/>
      <c r="U238" s="216"/>
      <c r="V238" s="216"/>
      <c r="W238" s="216"/>
      <c r="X238" s="216"/>
      <c r="Y238" s="216"/>
      <c r="Z238" s="216"/>
      <c r="AA238" s="216"/>
      <c r="AB238" s="216"/>
      <c r="AC238" s="216"/>
      <c r="AD238" s="992"/>
      <c r="AE238" s="992"/>
      <c r="AF238" s="992"/>
      <c r="AG238" s="992"/>
      <c r="AH238" s="992"/>
      <c r="AI238" s="992"/>
      <c r="AJ238" s="992"/>
      <c r="AK238" s="216"/>
      <c r="AL238" s="216"/>
      <c r="AM238" s="216"/>
      <c r="AN238" s="216"/>
    </row>
    <row r="239" spans="3:40" ht="15.75" x14ac:dyDescent="0.25">
      <c r="C239" s="1613" t="s">
        <v>401</v>
      </c>
      <c r="D239" s="1613"/>
      <c r="E239" s="1613"/>
      <c r="F239" s="1613"/>
      <c r="G239" s="1613"/>
      <c r="H239" s="1613"/>
      <c r="I239" s="1613"/>
      <c r="J239" s="1613"/>
      <c r="K239" s="1613"/>
      <c r="L239" s="1613"/>
      <c r="M239" s="1613"/>
      <c r="N239" s="1613"/>
      <c r="O239" s="1613"/>
      <c r="P239" s="1613"/>
      <c r="Q239" s="1613"/>
      <c r="R239" s="1613"/>
      <c r="S239" s="1613"/>
      <c r="T239" s="1613"/>
      <c r="U239" s="1613"/>
    </row>
    <row r="240" spans="3:40" ht="4.9000000000000004" customHeight="1" x14ac:dyDescent="0.25">
      <c r="C240" s="852"/>
      <c r="D240" s="852"/>
      <c r="E240" s="852"/>
      <c r="F240" s="852"/>
      <c r="G240" s="852"/>
      <c r="H240" s="852"/>
      <c r="I240" s="852"/>
      <c r="J240" s="852"/>
      <c r="K240" s="852"/>
      <c r="L240" s="852"/>
      <c r="M240" s="852"/>
      <c r="N240" s="852"/>
      <c r="O240" s="852"/>
      <c r="P240" s="852"/>
      <c r="Q240" s="852"/>
    </row>
    <row r="241" spans="3:24" ht="15" x14ac:dyDescent="0.25">
      <c r="C241" s="1614" t="s">
        <v>607</v>
      </c>
      <c r="D241" s="1614"/>
      <c r="E241" s="1614"/>
      <c r="F241" s="1614"/>
      <c r="G241" s="1614"/>
      <c r="H241" s="1614"/>
      <c r="I241" s="1614"/>
      <c r="J241" s="1614"/>
      <c r="K241" s="1614"/>
      <c r="L241" s="1614"/>
      <c r="M241" s="1614"/>
      <c r="N241" s="1614"/>
      <c r="O241" s="1614"/>
      <c r="P241" s="1614"/>
      <c r="Q241" s="1614"/>
      <c r="R241" s="1614"/>
      <c r="S241" s="1614"/>
      <c r="T241" s="1614"/>
      <c r="U241" s="1614"/>
      <c r="X241" s="54"/>
    </row>
    <row r="242" spans="3:24" ht="4.9000000000000004" customHeight="1" x14ac:dyDescent="0.2">
      <c r="C242" s="141"/>
      <c r="D242" s="141"/>
      <c r="E242" s="141"/>
      <c r="F242" s="141"/>
      <c r="G242" s="141"/>
      <c r="H242" s="141"/>
      <c r="I242" s="141"/>
      <c r="J242" s="141"/>
      <c r="K242" s="141"/>
      <c r="L242" s="141"/>
      <c r="M242" s="141"/>
      <c r="N242" s="216"/>
      <c r="O242" s="216"/>
      <c r="P242" s="216"/>
      <c r="Q242" s="216"/>
    </row>
    <row r="243" spans="3:24" ht="15" x14ac:dyDescent="0.25">
      <c r="C243" s="627" t="s">
        <v>521</v>
      </c>
      <c r="D243" s="141"/>
      <c r="E243" s="141"/>
      <c r="F243" s="141"/>
      <c r="G243" s="141"/>
      <c r="H243" s="141"/>
      <c r="I243" s="141"/>
      <c r="J243" s="141"/>
      <c r="K243" s="141"/>
      <c r="L243" s="141"/>
      <c r="M243" s="141"/>
      <c r="N243" s="216"/>
      <c r="O243" s="216"/>
      <c r="P243" s="216"/>
      <c r="Q243" s="216"/>
    </row>
    <row r="244" spans="3:24" ht="33" customHeight="1" x14ac:dyDescent="0.2">
      <c r="C244" s="634">
        <v>1</v>
      </c>
      <c r="D244" s="1611" t="s">
        <v>720</v>
      </c>
      <c r="E244" s="1611"/>
      <c r="F244" s="1611"/>
      <c r="G244" s="1611"/>
      <c r="H244" s="1611"/>
      <c r="I244" s="1611"/>
      <c r="J244" s="1611"/>
      <c r="K244" s="1611"/>
      <c r="L244" s="1611"/>
      <c r="M244" s="1611"/>
      <c r="N244" s="1611"/>
      <c r="O244" s="1611"/>
      <c r="P244" s="1611"/>
      <c r="Q244" s="1611"/>
      <c r="R244" s="1611"/>
      <c r="S244" s="1611"/>
      <c r="T244" s="1611"/>
      <c r="U244" s="1611"/>
    </row>
    <row r="245" spans="3:24" ht="6.75" customHeight="1" x14ac:dyDescent="0.2">
      <c r="C245" s="634"/>
      <c r="D245" s="629"/>
      <c r="E245" s="629"/>
      <c r="F245" s="629"/>
      <c r="G245" s="629"/>
      <c r="H245" s="629"/>
      <c r="I245" s="629"/>
      <c r="J245" s="629"/>
      <c r="K245" s="629"/>
      <c r="L245" s="629"/>
      <c r="M245" s="629"/>
      <c r="N245" s="630"/>
      <c r="O245" s="630"/>
      <c r="P245" s="630"/>
      <c r="Q245" s="630"/>
    </row>
    <row r="246" spans="3:24" ht="12.75" customHeight="1" x14ac:dyDescent="0.2">
      <c r="C246" s="634">
        <v>2</v>
      </c>
      <c r="D246" s="1611" t="s">
        <v>721</v>
      </c>
      <c r="E246" s="1611"/>
      <c r="F246" s="1611"/>
      <c r="G246" s="1611"/>
      <c r="H246" s="1611"/>
      <c r="I246" s="1611"/>
      <c r="J246" s="1611"/>
      <c r="K246" s="1611"/>
      <c r="L246" s="1611"/>
      <c r="M246" s="1611"/>
      <c r="N246" s="1611"/>
      <c r="O246" s="1611"/>
      <c r="P246" s="1611"/>
      <c r="Q246" s="1611"/>
      <c r="R246" s="1611"/>
      <c r="S246" s="1611"/>
      <c r="T246" s="1611"/>
      <c r="U246" s="1611"/>
    </row>
    <row r="247" spans="3:24" ht="6.75" customHeight="1" x14ac:dyDescent="0.2">
      <c r="C247" s="634"/>
      <c r="D247" s="629"/>
      <c r="E247" s="629"/>
      <c r="F247" s="629"/>
      <c r="G247" s="629"/>
      <c r="H247" s="629"/>
      <c r="I247" s="629"/>
      <c r="J247" s="629"/>
      <c r="K247" s="629"/>
      <c r="L247" s="629"/>
      <c r="M247" s="629"/>
      <c r="N247" s="630"/>
      <c r="O247" s="630"/>
      <c r="P247" s="630"/>
      <c r="Q247" s="630"/>
    </row>
    <row r="248" spans="3:24" ht="29.25" customHeight="1" x14ac:dyDescent="0.2">
      <c r="C248" s="634">
        <v>3</v>
      </c>
      <c r="D248" s="1611" t="s">
        <v>722</v>
      </c>
      <c r="E248" s="1611"/>
      <c r="F248" s="1611"/>
      <c r="G248" s="1611"/>
      <c r="H248" s="1611"/>
      <c r="I248" s="1611"/>
      <c r="J248" s="1611"/>
      <c r="K248" s="1611"/>
      <c r="L248" s="1611"/>
      <c r="M248" s="1611"/>
      <c r="N248" s="1611"/>
      <c r="O248" s="1611"/>
      <c r="P248" s="1611"/>
      <c r="Q248" s="1611"/>
      <c r="R248" s="1611"/>
      <c r="S248" s="1611"/>
      <c r="T248" s="1611"/>
      <c r="U248" s="1611"/>
    </row>
    <row r="249" spans="3:24" ht="32.25" customHeight="1" x14ac:dyDescent="0.2">
      <c r="C249" s="634"/>
      <c r="D249" s="1611" t="s">
        <v>530</v>
      </c>
      <c r="E249" s="1611"/>
      <c r="F249" s="1611"/>
      <c r="G249" s="1611"/>
      <c r="H249" s="1611"/>
      <c r="I249" s="1611"/>
      <c r="J249" s="1611"/>
      <c r="K249" s="1611"/>
      <c r="L249" s="1611"/>
      <c r="M249" s="1611"/>
      <c r="N249" s="1611"/>
      <c r="O249" s="1611"/>
      <c r="P249" s="1611"/>
      <c r="Q249" s="1611"/>
      <c r="R249" s="1611"/>
      <c r="S249" s="1611"/>
      <c r="T249" s="1611"/>
      <c r="U249" s="1611"/>
    </row>
    <row r="250" spans="3:24" ht="6.75" customHeight="1" x14ac:dyDescent="0.2">
      <c r="C250" s="634"/>
      <c r="D250" s="629"/>
      <c r="E250" s="629"/>
      <c r="F250" s="629"/>
      <c r="G250" s="629"/>
      <c r="H250" s="629"/>
      <c r="I250" s="629"/>
      <c r="J250" s="629"/>
      <c r="K250" s="629"/>
      <c r="L250" s="629"/>
      <c r="M250" s="629"/>
      <c r="N250" s="630"/>
      <c r="O250" s="630"/>
      <c r="P250" s="630"/>
      <c r="Q250" s="630"/>
    </row>
    <row r="251" spans="3:24" x14ac:dyDescent="0.2">
      <c r="C251" s="628">
        <v>4</v>
      </c>
      <c r="D251" s="1611" t="s">
        <v>723</v>
      </c>
      <c r="E251" s="1611"/>
      <c r="F251" s="1611"/>
      <c r="G251" s="1611"/>
      <c r="H251" s="1611"/>
      <c r="I251" s="1611"/>
      <c r="J251" s="1611"/>
      <c r="K251" s="1611"/>
      <c r="L251" s="1611"/>
      <c r="M251" s="1611"/>
      <c r="N251" s="1611"/>
      <c r="O251" s="1611"/>
      <c r="P251" s="1611"/>
      <c r="Q251" s="1611"/>
      <c r="R251" s="1611"/>
      <c r="S251" s="1611"/>
      <c r="T251" s="1611"/>
      <c r="U251" s="1611"/>
    </row>
    <row r="252" spans="3:24" ht="6.75" customHeight="1" x14ac:dyDescent="0.2">
      <c r="C252" s="632"/>
      <c r="D252" s="629"/>
      <c r="E252" s="629"/>
      <c r="F252" s="629"/>
      <c r="G252" s="629"/>
      <c r="H252" s="629"/>
      <c r="I252" s="629"/>
      <c r="J252" s="629"/>
      <c r="K252" s="629"/>
      <c r="L252" s="629"/>
      <c r="M252" s="629"/>
      <c r="N252" s="630"/>
      <c r="O252" s="630"/>
      <c r="P252" s="630"/>
      <c r="Q252" s="630"/>
    </row>
    <row r="253" spans="3:24" x14ac:dyDescent="0.2">
      <c r="C253" s="628">
        <v>5</v>
      </c>
      <c r="D253" s="1611" t="s">
        <v>724</v>
      </c>
      <c r="E253" s="1611"/>
      <c r="F253" s="1611"/>
      <c r="G253" s="1611"/>
      <c r="H253" s="1611"/>
      <c r="I253" s="1611"/>
      <c r="J253" s="1611"/>
      <c r="K253" s="1611"/>
      <c r="L253" s="1611"/>
      <c r="M253" s="1611"/>
      <c r="N253" s="1611"/>
      <c r="O253" s="1611"/>
      <c r="P253" s="1611"/>
      <c r="Q253" s="1611"/>
      <c r="R253" s="1611"/>
      <c r="S253" s="1611"/>
      <c r="T253" s="1611"/>
      <c r="U253" s="1611"/>
    </row>
    <row r="254" spans="3:24" ht="6.75" customHeight="1" x14ac:dyDescent="0.2">
      <c r="C254" s="628"/>
      <c r="D254" s="1610"/>
      <c r="E254" s="1610"/>
      <c r="F254" s="1610"/>
      <c r="G254" s="1610"/>
      <c r="H254" s="1610"/>
      <c r="I254" s="1610"/>
      <c r="J254" s="1610"/>
      <c r="K254" s="1610"/>
      <c r="L254" s="1610"/>
      <c r="M254" s="1610"/>
      <c r="N254" s="1610"/>
      <c r="O254" s="1610"/>
      <c r="P254" s="1610"/>
      <c r="Q254" s="1610"/>
    </row>
    <row r="255" spans="3:24" x14ac:dyDescent="0.2">
      <c r="C255" s="628">
        <v>6</v>
      </c>
      <c r="D255" s="1615" t="s">
        <v>725</v>
      </c>
      <c r="E255" s="1615"/>
      <c r="F255" s="1615"/>
      <c r="G255" s="1615"/>
      <c r="H255" s="1615"/>
      <c r="I255" s="1615"/>
      <c r="J255" s="1615"/>
      <c r="K255" s="1615"/>
      <c r="L255" s="1615"/>
      <c r="M255" s="1615"/>
      <c r="N255" s="1615"/>
      <c r="O255" s="1615"/>
      <c r="P255" s="1615"/>
      <c r="Q255" s="1615"/>
      <c r="R255" s="1615"/>
      <c r="S255" s="1615"/>
      <c r="T255" s="1615"/>
      <c r="U255" s="1615"/>
    </row>
    <row r="256" spans="3:24" ht="31.5" customHeight="1" x14ac:dyDescent="0.2">
      <c r="C256" s="628"/>
      <c r="D256" s="1612" t="s">
        <v>726</v>
      </c>
      <c r="E256" s="1612"/>
      <c r="F256" s="1612"/>
      <c r="G256" s="1612"/>
      <c r="H256" s="1612"/>
      <c r="I256" s="1612"/>
      <c r="J256" s="1612"/>
      <c r="K256" s="1612"/>
      <c r="L256" s="1612"/>
      <c r="M256" s="1612"/>
      <c r="N256" s="1612"/>
      <c r="O256" s="1612"/>
      <c r="P256" s="1612"/>
      <c r="Q256" s="1612"/>
      <c r="R256" s="1612"/>
      <c r="S256" s="1612"/>
      <c r="T256" s="1612"/>
      <c r="U256" s="1612"/>
    </row>
    <row r="257" spans="3:21" ht="6.75" customHeight="1" x14ac:dyDescent="0.2">
      <c r="C257" s="628"/>
      <c r="D257" s="1610"/>
      <c r="E257" s="1610"/>
      <c r="F257" s="1610"/>
      <c r="G257" s="1610"/>
      <c r="H257" s="1610"/>
      <c r="I257" s="1610"/>
      <c r="J257" s="1610"/>
      <c r="K257" s="1610"/>
      <c r="L257" s="1610"/>
      <c r="M257" s="1610"/>
      <c r="N257" s="1610"/>
      <c r="O257" s="1610"/>
      <c r="P257" s="1610"/>
      <c r="Q257" s="1610"/>
    </row>
    <row r="258" spans="3:21" x14ac:dyDescent="0.2">
      <c r="C258" s="628">
        <v>7</v>
      </c>
      <c r="D258" s="1611" t="s">
        <v>727</v>
      </c>
      <c r="E258" s="1611"/>
      <c r="F258" s="1611"/>
      <c r="G258" s="1611"/>
      <c r="H258" s="1611"/>
      <c r="I258" s="1611"/>
      <c r="J258" s="1611"/>
      <c r="K258" s="1611"/>
      <c r="L258" s="1611"/>
      <c r="M258" s="1611"/>
      <c r="N258" s="1611"/>
      <c r="O258" s="1611"/>
      <c r="P258" s="1611"/>
      <c r="Q258" s="1611"/>
      <c r="R258" s="1611"/>
      <c r="S258" s="1611"/>
      <c r="T258" s="1611"/>
      <c r="U258" s="1611"/>
    </row>
    <row r="259" spans="3:21" ht="6.75" customHeight="1" x14ac:dyDescent="0.2">
      <c r="C259" s="628"/>
      <c r="D259" s="1610"/>
      <c r="E259" s="1610"/>
      <c r="F259" s="1610"/>
      <c r="G259" s="1610"/>
      <c r="H259" s="1610"/>
      <c r="I259" s="1610"/>
      <c r="J259" s="1610"/>
      <c r="K259" s="1610"/>
      <c r="L259" s="1610"/>
      <c r="M259" s="1610"/>
      <c r="N259" s="1610"/>
      <c r="O259" s="1610"/>
      <c r="P259" s="1610"/>
      <c r="Q259" s="1610"/>
    </row>
    <row r="260" spans="3:21" x14ac:dyDescent="0.2">
      <c r="C260" s="628">
        <v>8</v>
      </c>
      <c r="D260" s="1611" t="s">
        <v>728</v>
      </c>
      <c r="E260" s="1611"/>
      <c r="F260" s="1611"/>
      <c r="G260" s="1611"/>
      <c r="H260" s="1611"/>
      <c r="I260" s="1611"/>
      <c r="J260" s="1611"/>
      <c r="K260" s="1611"/>
      <c r="L260" s="1611"/>
      <c r="M260" s="1611"/>
      <c r="N260" s="1611"/>
      <c r="O260" s="1611"/>
      <c r="P260" s="1611"/>
      <c r="Q260" s="1611"/>
      <c r="R260" s="1611"/>
      <c r="S260" s="1611"/>
      <c r="T260" s="1611"/>
      <c r="U260" s="1611"/>
    </row>
    <row r="261" spans="3:21" x14ac:dyDescent="0.2">
      <c r="C261" s="626"/>
      <c r="D261" s="1650"/>
      <c r="E261" s="1650"/>
      <c r="F261" s="1650"/>
      <c r="G261" s="1650"/>
      <c r="H261" s="1650"/>
      <c r="I261" s="1650"/>
      <c r="J261" s="1650"/>
      <c r="K261" s="1650"/>
      <c r="L261" s="1650"/>
      <c r="M261" s="1650"/>
      <c r="N261" s="1650"/>
      <c r="O261" s="1650"/>
      <c r="P261" s="1650"/>
      <c r="Q261" s="1650"/>
    </row>
    <row r="262" spans="3:21" ht="15" x14ac:dyDescent="0.25">
      <c r="C262" s="627" t="s">
        <v>522</v>
      </c>
      <c r="D262" s="631"/>
      <c r="E262" s="631"/>
      <c r="F262" s="631"/>
      <c r="G262" s="631"/>
      <c r="H262" s="631"/>
      <c r="I262" s="631"/>
      <c r="J262" s="631"/>
      <c r="K262" s="631"/>
      <c r="L262" s="631"/>
      <c r="M262" s="631"/>
      <c r="N262" s="631"/>
      <c r="O262" s="631"/>
      <c r="P262" s="631"/>
      <c r="Q262" s="631"/>
    </row>
    <row r="263" spans="3:21" ht="36" customHeight="1" x14ac:dyDescent="0.2">
      <c r="C263" s="628">
        <v>1</v>
      </c>
      <c r="D263" s="1611" t="s">
        <v>729</v>
      </c>
      <c r="E263" s="1611"/>
      <c r="F263" s="1611"/>
      <c r="G263" s="1611"/>
      <c r="H263" s="1611"/>
      <c r="I263" s="1611"/>
      <c r="J263" s="1611"/>
      <c r="K263" s="1611"/>
      <c r="L263" s="1611"/>
      <c r="M263" s="1611"/>
      <c r="N263" s="1611"/>
      <c r="O263" s="1611"/>
      <c r="P263" s="1611"/>
      <c r="Q263" s="1611"/>
      <c r="R263" s="1611"/>
      <c r="S263" s="1611"/>
      <c r="T263" s="1611"/>
      <c r="U263" s="1611"/>
    </row>
    <row r="264" spans="3:21" ht="28.5" customHeight="1" x14ac:dyDescent="0.2">
      <c r="C264" s="628"/>
      <c r="D264" s="1611" t="s">
        <v>703</v>
      </c>
      <c r="E264" s="1611"/>
      <c r="F264" s="1611"/>
      <c r="G264" s="1611"/>
      <c r="H264" s="1611"/>
      <c r="I264" s="1611"/>
      <c r="J264" s="1611"/>
      <c r="K264" s="1611"/>
      <c r="L264" s="1611"/>
      <c r="M264" s="1611"/>
      <c r="N264" s="1611"/>
      <c r="O264" s="1611"/>
      <c r="P264" s="1611"/>
      <c r="Q264" s="1611"/>
      <c r="R264" s="1611"/>
      <c r="S264" s="1611"/>
      <c r="T264" s="1611"/>
      <c r="U264" s="1611"/>
    </row>
    <row r="265" spans="3:21" ht="6.75" customHeight="1" x14ac:dyDescent="0.2">
      <c r="C265" s="628"/>
      <c r="D265" s="1610"/>
      <c r="E265" s="1610"/>
      <c r="F265" s="1610"/>
      <c r="G265" s="1610"/>
      <c r="H265" s="1610"/>
      <c r="I265" s="1610"/>
      <c r="J265" s="1610"/>
      <c r="K265" s="1610"/>
      <c r="L265" s="1610"/>
      <c r="M265" s="1610"/>
      <c r="N265" s="1610"/>
      <c r="O265" s="1610"/>
      <c r="P265" s="1610"/>
      <c r="Q265" s="1610"/>
    </row>
    <row r="266" spans="3:21" x14ac:dyDescent="0.2">
      <c r="C266" s="628">
        <v>2</v>
      </c>
      <c r="D266" s="855" t="s">
        <v>730</v>
      </c>
      <c r="E266" s="855"/>
      <c r="F266" s="855"/>
      <c r="G266" s="855"/>
      <c r="H266" s="855"/>
      <c r="I266" s="855"/>
      <c r="J266" s="855"/>
      <c r="K266" s="855"/>
      <c r="L266" s="855"/>
      <c r="M266" s="855"/>
      <c r="N266" s="855"/>
      <c r="O266" s="855"/>
      <c r="P266" s="855"/>
      <c r="Q266" s="855"/>
    </row>
    <row r="267" spans="3:21" x14ac:dyDescent="0.2">
      <c r="C267" s="628"/>
      <c r="D267" s="855" t="s">
        <v>731</v>
      </c>
      <c r="E267" s="855"/>
      <c r="F267" s="855"/>
      <c r="G267" s="855"/>
      <c r="H267" s="855"/>
      <c r="I267" s="855"/>
      <c r="J267" s="855"/>
      <c r="K267" s="855"/>
      <c r="L267" s="855"/>
      <c r="M267" s="855"/>
      <c r="N267" s="855"/>
      <c r="O267" s="855"/>
      <c r="P267" s="855"/>
      <c r="Q267" s="855"/>
    </row>
    <row r="268" spans="3:21" ht="6.75" customHeight="1" x14ac:dyDescent="0.2">
      <c r="C268" s="628"/>
      <c r="D268" s="855"/>
      <c r="E268" s="855"/>
      <c r="F268" s="855"/>
      <c r="G268" s="855"/>
      <c r="H268" s="855"/>
      <c r="I268" s="855"/>
      <c r="J268" s="855"/>
      <c r="K268" s="855"/>
      <c r="L268" s="855"/>
      <c r="M268" s="855"/>
      <c r="N268" s="855"/>
      <c r="O268" s="855"/>
      <c r="P268" s="855"/>
      <c r="Q268" s="855"/>
    </row>
    <row r="269" spans="3:21" ht="160.5" customHeight="1" x14ac:dyDescent="0.2">
      <c r="C269" s="628">
        <v>3</v>
      </c>
      <c r="D269" s="1611" t="s">
        <v>732</v>
      </c>
      <c r="E269" s="1611"/>
      <c r="F269" s="1611"/>
      <c r="G269" s="1611"/>
      <c r="H269" s="1611"/>
      <c r="I269" s="1611"/>
      <c r="J269" s="1611"/>
      <c r="K269" s="1611"/>
      <c r="L269" s="1611"/>
      <c r="M269" s="1611"/>
      <c r="N269" s="1611"/>
      <c r="O269" s="1611"/>
      <c r="P269" s="1611"/>
      <c r="Q269" s="1611"/>
      <c r="R269" s="1611"/>
      <c r="S269" s="1611"/>
      <c r="T269" s="1611"/>
      <c r="U269" s="1611"/>
    </row>
    <row r="270" spans="3:21" ht="6.75" customHeight="1" x14ac:dyDescent="0.2">
      <c r="C270" s="633"/>
    </row>
    <row r="271" spans="3:21" ht="29.25" customHeight="1" x14ac:dyDescent="0.2">
      <c r="C271" s="632"/>
      <c r="D271" s="1612" t="s">
        <v>531</v>
      </c>
      <c r="E271" s="1612"/>
      <c r="F271" s="1612"/>
      <c r="G271" s="1612"/>
      <c r="H271" s="1612"/>
      <c r="I271" s="1612"/>
      <c r="J271" s="1612"/>
      <c r="K271" s="1612"/>
      <c r="L271" s="1612"/>
      <c r="M271" s="1612"/>
      <c r="N271" s="1612"/>
      <c r="O271" s="1612"/>
      <c r="P271" s="1612"/>
      <c r="Q271" s="1612"/>
      <c r="R271" s="1612"/>
      <c r="S271" s="1612"/>
      <c r="T271" s="1612"/>
      <c r="U271" s="1612"/>
    </row>
    <row r="272" spans="3:21" ht="6.75" customHeight="1" x14ac:dyDescent="0.2">
      <c r="C272" s="633"/>
    </row>
    <row r="273" spans="3:21" x14ac:dyDescent="0.2">
      <c r="C273" s="628">
        <v>4</v>
      </c>
      <c r="D273" s="1611" t="s">
        <v>733</v>
      </c>
      <c r="E273" s="1611"/>
      <c r="F273" s="1611"/>
      <c r="G273" s="1611"/>
      <c r="H273" s="1611"/>
      <c r="I273" s="1611"/>
      <c r="J273" s="1611"/>
      <c r="K273" s="1611"/>
      <c r="L273" s="1611"/>
      <c r="M273" s="1611"/>
      <c r="N273" s="1611"/>
      <c r="O273" s="1611"/>
      <c r="P273" s="1611"/>
      <c r="Q273" s="1611"/>
      <c r="R273" s="1611"/>
      <c r="S273" s="1611"/>
      <c r="T273" s="1611"/>
      <c r="U273" s="1611"/>
    </row>
    <row r="274" spans="3:21" ht="12.75" customHeight="1" x14ac:dyDescent="0.2">
      <c r="C274" s="633"/>
      <c r="D274" s="1611" t="s">
        <v>734</v>
      </c>
      <c r="E274" s="1611"/>
      <c r="F274" s="1611"/>
      <c r="G274" s="1611"/>
      <c r="H274" s="1611"/>
      <c r="I274" s="1611"/>
      <c r="J274" s="1611"/>
      <c r="K274" s="1611"/>
      <c r="L274" s="1611"/>
      <c r="M274" s="1611"/>
      <c r="N274" s="1611"/>
      <c r="O274" s="1611"/>
      <c r="P274" s="1611"/>
      <c r="Q274" s="1611"/>
      <c r="R274" s="1611"/>
      <c r="S274" s="1611"/>
      <c r="T274" s="1611"/>
      <c r="U274" s="1611"/>
    </row>
    <row r="275" spans="3:21" ht="6.75" customHeight="1" x14ac:dyDescent="0.2">
      <c r="C275" s="633"/>
      <c r="D275" s="850"/>
      <c r="E275" s="850"/>
      <c r="F275" s="850"/>
      <c r="G275" s="850"/>
      <c r="H275" s="850"/>
      <c r="I275" s="850"/>
      <c r="J275" s="850"/>
      <c r="K275" s="850"/>
      <c r="L275" s="850"/>
      <c r="M275" s="850"/>
      <c r="N275" s="850"/>
      <c r="O275" s="850"/>
    </row>
    <row r="276" spans="3:21" ht="12.75" customHeight="1" x14ac:dyDescent="0.2">
      <c r="C276" s="628">
        <v>5</v>
      </c>
      <c r="D276" s="1611" t="s">
        <v>606</v>
      </c>
      <c r="E276" s="1611"/>
      <c r="F276" s="1611"/>
      <c r="G276" s="1611"/>
      <c r="H276" s="1611"/>
      <c r="I276" s="1611"/>
      <c r="J276" s="1611"/>
      <c r="K276" s="1611"/>
      <c r="L276" s="1611"/>
      <c r="M276" s="1611"/>
      <c r="N276" s="1611"/>
      <c r="O276" s="1611"/>
      <c r="P276" s="1611"/>
      <c r="Q276" s="1611"/>
      <c r="R276" s="1611"/>
      <c r="S276" s="1611"/>
      <c r="T276" s="1611"/>
      <c r="U276" s="1611"/>
    </row>
    <row r="277" spans="3:21" ht="12.75" customHeight="1" x14ac:dyDescent="0.2">
      <c r="D277" s="1611" t="s">
        <v>704</v>
      </c>
      <c r="E277" s="1611"/>
      <c r="F277" s="1611"/>
      <c r="G277" s="1611"/>
      <c r="H277" s="1611"/>
      <c r="I277" s="1611"/>
      <c r="J277" s="1611"/>
      <c r="K277" s="1611"/>
      <c r="L277" s="1611"/>
      <c r="M277" s="1611"/>
      <c r="N277" s="1611"/>
      <c r="O277" s="1611"/>
      <c r="P277" s="1611"/>
      <c r="Q277" s="1611"/>
      <c r="R277" s="1611"/>
      <c r="S277" s="1611"/>
      <c r="T277" s="1611"/>
      <c r="U277" s="1611"/>
    </row>
  </sheetData>
  <sheetProtection password="DCF0" sheet="1" objects="1" scenarios="1"/>
  <mergeCells count="324">
    <mergeCell ref="C232:J232"/>
    <mergeCell ref="I106:J106"/>
    <mergeCell ref="P172:Q172"/>
    <mergeCell ref="P105:Q105"/>
    <mergeCell ref="D276:U276"/>
    <mergeCell ref="D277:U277"/>
    <mergeCell ref="D229:E229"/>
    <mergeCell ref="G229:H229"/>
    <mergeCell ref="I229:J229"/>
    <mergeCell ref="D274:U274"/>
    <mergeCell ref="D260:U260"/>
    <mergeCell ref="D264:U264"/>
    <mergeCell ref="D261:Q261"/>
    <mergeCell ref="D259:Q259"/>
    <mergeCell ref="C233:Q237"/>
    <mergeCell ref="P229:Q229"/>
    <mergeCell ref="K145:L145"/>
    <mergeCell ref="N145:O145"/>
    <mergeCell ref="K146:L146"/>
    <mergeCell ref="N146:O146"/>
    <mergeCell ref="K164:L164"/>
    <mergeCell ref="N164:O164"/>
    <mergeCell ref="D271:U271"/>
    <mergeCell ref="D273:U273"/>
    <mergeCell ref="O51:Y51"/>
    <mergeCell ref="O52:Y52"/>
    <mergeCell ref="O53:Y53"/>
    <mergeCell ref="D228:E228"/>
    <mergeCell ref="I47:J47"/>
    <mergeCell ref="C103:U103"/>
    <mergeCell ref="D52:H52"/>
    <mergeCell ref="C73:U73"/>
    <mergeCell ref="J79:K79"/>
    <mergeCell ref="N188:O188"/>
    <mergeCell ref="P188:Q188"/>
    <mergeCell ref="P226:Q226"/>
    <mergeCell ref="I188:J188"/>
    <mergeCell ref="K170:L170"/>
    <mergeCell ref="N170:O170"/>
    <mergeCell ref="P227:Q227"/>
    <mergeCell ref="P190:Q190"/>
    <mergeCell ref="K174:L174"/>
    <mergeCell ref="N109:O109"/>
    <mergeCell ref="D54:L54"/>
    <mergeCell ref="D55:L55"/>
    <mergeCell ref="D60:L60"/>
    <mergeCell ref="M57:N57"/>
    <mergeCell ref="D66:L66"/>
    <mergeCell ref="R43:S43"/>
    <mergeCell ref="R44:S44"/>
    <mergeCell ref="K50:L50"/>
    <mergeCell ref="R40:S40"/>
    <mergeCell ref="K46:L46"/>
    <mergeCell ref="O48:Y48"/>
    <mergeCell ref="O49:Y49"/>
    <mergeCell ref="O50:Y50"/>
    <mergeCell ref="M46:N47"/>
    <mergeCell ref="K47:L47"/>
    <mergeCell ref="D39:F39"/>
    <mergeCell ref="D40:F40"/>
    <mergeCell ref="D41:F41"/>
    <mergeCell ref="D46:H47"/>
    <mergeCell ref="D65:N65"/>
    <mergeCell ref="O54:Y54"/>
    <mergeCell ref="O55:Y55"/>
    <mergeCell ref="O46:Y47"/>
    <mergeCell ref="D53:L53"/>
    <mergeCell ref="K49:L49"/>
    <mergeCell ref="I50:J50"/>
    <mergeCell ref="D51:H51"/>
    <mergeCell ref="I52:J52"/>
    <mergeCell ref="K52:L52"/>
    <mergeCell ref="I48:J48"/>
    <mergeCell ref="K48:L48"/>
    <mergeCell ref="I49:J49"/>
    <mergeCell ref="M51:N51"/>
    <mergeCell ref="I51:J51"/>
    <mergeCell ref="K51:L51"/>
    <mergeCell ref="R39:S39"/>
    <mergeCell ref="M63:N63"/>
    <mergeCell ref="V62:X62"/>
    <mergeCell ref="M53:N53"/>
    <mergeCell ref="D254:Q254"/>
    <mergeCell ref="D265:Q265"/>
    <mergeCell ref="D269:U269"/>
    <mergeCell ref="D256:U256"/>
    <mergeCell ref="D263:U263"/>
    <mergeCell ref="C239:U239"/>
    <mergeCell ref="C241:U241"/>
    <mergeCell ref="D244:U244"/>
    <mergeCell ref="D246:U246"/>
    <mergeCell ref="D248:U248"/>
    <mergeCell ref="D249:U249"/>
    <mergeCell ref="D251:U251"/>
    <mergeCell ref="D253:U253"/>
    <mergeCell ref="D255:U255"/>
    <mergeCell ref="D258:U258"/>
    <mergeCell ref="D257:Q257"/>
    <mergeCell ref="M62:N62"/>
    <mergeCell ref="D42:F42"/>
    <mergeCell ref="D43:F43"/>
    <mergeCell ref="C44:F44"/>
    <mergeCell ref="I46:J46"/>
    <mergeCell ref="D48:H48"/>
    <mergeCell ref="D49:H49"/>
    <mergeCell ref="D50:H50"/>
    <mergeCell ref="C63:L63"/>
    <mergeCell ref="M54:N54"/>
    <mergeCell ref="M55:N55"/>
    <mergeCell ref="M52:N52"/>
    <mergeCell ref="C14:Z14"/>
    <mergeCell ref="V18:X18"/>
    <mergeCell ref="V20:X20"/>
    <mergeCell ref="R34:S34"/>
    <mergeCell ref="R35:S35"/>
    <mergeCell ref="U16:Y16"/>
    <mergeCell ref="E18:H18"/>
    <mergeCell ref="E20:H20"/>
    <mergeCell ref="R38:S38"/>
    <mergeCell ref="Q23:S23"/>
    <mergeCell ref="D22:J23"/>
    <mergeCell ref="D28:J29"/>
    <mergeCell ref="D16:J16"/>
    <mergeCell ref="Q18:S18"/>
    <mergeCell ref="Q20:S20"/>
    <mergeCell ref="I20:J20"/>
    <mergeCell ref="L28:S30"/>
    <mergeCell ref="L23:P23"/>
    <mergeCell ref="D38:F38"/>
    <mergeCell ref="R36:S36"/>
    <mergeCell ref="C1:AB1"/>
    <mergeCell ref="C2:AB2"/>
    <mergeCell ref="C3:AB3"/>
    <mergeCell ref="C4:AB4"/>
    <mergeCell ref="C5:AB5"/>
    <mergeCell ref="M48:N48"/>
    <mergeCell ref="M50:N50"/>
    <mergeCell ref="R32:S32"/>
    <mergeCell ref="R33:S33"/>
    <mergeCell ref="M49:N49"/>
    <mergeCell ref="D32:F32"/>
    <mergeCell ref="C33:F33"/>
    <mergeCell ref="D34:F34"/>
    <mergeCell ref="D35:F35"/>
    <mergeCell ref="D36:F36"/>
    <mergeCell ref="D37:F37"/>
    <mergeCell ref="N20:P20"/>
    <mergeCell ref="L16:S16"/>
    <mergeCell ref="I18:J18"/>
    <mergeCell ref="R37:S37"/>
    <mergeCell ref="C7:AA7"/>
    <mergeCell ref="R41:S41"/>
    <mergeCell ref="R42:S42"/>
    <mergeCell ref="N18:P18"/>
    <mergeCell ref="P208:Q208"/>
    <mergeCell ref="P170:Q170"/>
    <mergeCell ref="M171:O171"/>
    <mergeCell ref="K188:L188"/>
    <mergeCell ref="N226:O226"/>
    <mergeCell ref="P206:Q206"/>
    <mergeCell ref="P189:Q189"/>
    <mergeCell ref="O67:P67"/>
    <mergeCell ref="O68:P68"/>
    <mergeCell ref="Q67:S67"/>
    <mergeCell ref="Q68:S68"/>
    <mergeCell ref="D67:L67"/>
    <mergeCell ref="K105:L105"/>
    <mergeCell ref="D124:E124"/>
    <mergeCell ref="K110:L110"/>
    <mergeCell ref="D188:E188"/>
    <mergeCell ref="G188:H188"/>
    <mergeCell ref="D142:E142"/>
    <mergeCell ref="G142:H142"/>
    <mergeCell ref="I142:J142"/>
    <mergeCell ref="N128:O128"/>
    <mergeCell ref="D169:E169"/>
    <mergeCell ref="G162:H162"/>
    <mergeCell ref="P171:Q171"/>
    <mergeCell ref="P228:Q228"/>
    <mergeCell ref="K124:L124"/>
    <mergeCell ref="N124:O124"/>
    <mergeCell ref="M189:O189"/>
    <mergeCell ref="K192:L192"/>
    <mergeCell ref="N192:O192"/>
    <mergeCell ref="P163:Q163"/>
    <mergeCell ref="K163:L163"/>
    <mergeCell ref="P207:Q207"/>
    <mergeCell ref="N206:O206"/>
    <mergeCell ref="N127:O127"/>
    <mergeCell ref="N163:O163"/>
    <mergeCell ref="K142:L142"/>
    <mergeCell ref="N142:O142"/>
    <mergeCell ref="K162:L162"/>
    <mergeCell ref="N162:O162"/>
    <mergeCell ref="C167:U167"/>
    <mergeCell ref="K165:L165"/>
    <mergeCell ref="N165:O165"/>
    <mergeCell ref="P162:Q162"/>
    <mergeCell ref="P142:Q142"/>
    <mergeCell ref="I164:J164"/>
    <mergeCell ref="N174:O174"/>
    <mergeCell ref="I228:J228"/>
    <mergeCell ref="O57:Y57"/>
    <mergeCell ref="O60:Y60"/>
    <mergeCell ref="V100:W100"/>
    <mergeCell ref="V101:W101"/>
    <mergeCell ref="D68:L68"/>
    <mergeCell ref="D70:L70"/>
    <mergeCell ref="D71:L71"/>
    <mergeCell ref="P79:Q79"/>
    <mergeCell ref="M71:N71"/>
    <mergeCell ref="V68:X68"/>
    <mergeCell ref="T98:U98"/>
    <mergeCell ref="P80:Q80"/>
    <mergeCell ref="J80:K80"/>
    <mergeCell ref="M60:N60"/>
    <mergeCell ref="M59:N59"/>
    <mergeCell ref="D59:L59"/>
    <mergeCell ref="M70:N70"/>
    <mergeCell ref="N80:O80"/>
    <mergeCell ref="H80:I80"/>
    <mergeCell ref="T67:U67"/>
    <mergeCell ref="L80:M80"/>
    <mergeCell ref="L79:M79"/>
    <mergeCell ref="O65:P65"/>
    <mergeCell ref="O66:P66"/>
    <mergeCell ref="K228:L228"/>
    <mergeCell ref="K229:L229"/>
    <mergeCell ref="G228:H228"/>
    <mergeCell ref="N228:O228"/>
    <mergeCell ref="D206:E206"/>
    <mergeCell ref="G206:H206"/>
    <mergeCell ref="K206:L206"/>
    <mergeCell ref="M66:N66"/>
    <mergeCell ref="H79:I79"/>
    <mergeCell ref="N229:O229"/>
    <mergeCell ref="D227:E227"/>
    <mergeCell ref="G227:H227"/>
    <mergeCell ref="I227:J227"/>
    <mergeCell ref="K227:L227"/>
    <mergeCell ref="N227:O227"/>
    <mergeCell ref="I206:J206"/>
    <mergeCell ref="K210:L210"/>
    <mergeCell ref="N210:O210"/>
    <mergeCell ref="K209:L209"/>
    <mergeCell ref="N209:O209"/>
    <mergeCell ref="D226:E226"/>
    <mergeCell ref="M207:O207"/>
    <mergeCell ref="K208:L208"/>
    <mergeCell ref="N208:O208"/>
    <mergeCell ref="G170:H170"/>
    <mergeCell ref="I170:J170"/>
    <mergeCell ref="N169:O169"/>
    <mergeCell ref="I169:J169"/>
    <mergeCell ref="K169:L169"/>
    <mergeCell ref="G165:H165"/>
    <mergeCell ref="I165:J165"/>
    <mergeCell ref="I105:J105"/>
    <mergeCell ref="D164:E164"/>
    <mergeCell ref="D162:E162"/>
    <mergeCell ref="K126:L126"/>
    <mergeCell ref="N126:O126"/>
    <mergeCell ref="K128:L128"/>
    <mergeCell ref="D170:E170"/>
    <mergeCell ref="D165:E165"/>
    <mergeCell ref="I162:J162"/>
    <mergeCell ref="K144:L144"/>
    <mergeCell ref="D163:E163"/>
    <mergeCell ref="G169:H169"/>
    <mergeCell ref="G226:H226"/>
    <mergeCell ref="K190:L190"/>
    <mergeCell ref="N190:O190"/>
    <mergeCell ref="K191:L191"/>
    <mergeCell ref="N191:O191"/>
    <mergeCell ref="K172:L172"/>
    <mergeCell ref="N172:O172"/>
    <mergeCell ref="K173:L173"/>
    <mergeCell ref="N173:O173"/>
    <mergeCell ref="I226:J226"/>
    <mergeCell ref="K226:L226"/>
    <mergeCell ref="P169:Q169"/>
    <mergeCell ref="D105:E105"/>
    <mergeCell ref="G105:H105"/>
    <mergeCell ref="P124:Q124"/>
    <mergeCell ref="N105:O105"/>
    <mergeCell ref="N110:O110"/>
    <mergeCell ref="G164:H164"/>
    <mergeCell ref="N144:O144"/>
    <mergeCell ref="G163:H163"/>
    <mergeCell ref="P106:Q106"/>
    <mergeCell ref="P164:Q164"/>
    <mergeCell ref="P165:Q165"/>
    <mergeCell ref="K127:L127"/>
    <mergeCell ref="I163:J163"/>
    <mergeCell ref="N106:O106"/>
    <mergeCell ref="G124:H124"/>
    <mergeCell ref="I124:J124"/>
    <mergeCell ref="K109:L109"/>
    <mergeCell ref="G106:H106"/>
    <mergeCell ref="K108:L108"/>
    <mergeCell ref="K106:L106"/>
    <mergeCell ref="D106:E106"/>
    <mergeCell ref="X98:Y98"/>
    <mergeCell ref="X101:Y101"/>
    <mergeCell ref="X100:Y100"/>
    <mergeCell ref="X99:Y99"/>
    <mergeCell ref="V99:W99"/>
    <mergeCell ref="N79:O79"/>
    <mergeCell ref="N108:O108"/>
    <mergeCell ref="T65:U65"/>
    <mergeCell ref="T66:U66"/>
    <mergeCell ref="T68:U68"/>
    <mergeCell ref="V65:X65"/>
    <mergeCell ref="T100:U100"/>
    <mergeCell ref="T101:U101"/>
    <mergeCell ref="T99:U99"/>
    <mergeCell ref="L78:Q78"/>
    <mergeCell ref="V98:W98"/>
    <mergeCell ref="V66:X66"/>
    <mergeCell ref="V67:X67"/>
    <mergeCell ref="M67:N67"/>
    <mergeCell ref="M68:N68"/>
    <mergeCell ref="Q65:S65"/>
    <mergeCell ref="Q66:S66"/>
  </mergeCells>
  <conditionalFormatting sqref="E35:F43 D34:D43">
    <cfRule type="expression" dxfId="63" priority="64">
      <formula>$AD34=1</formula>
    </cfRule>
    <cfRule type="containsText" dxfId="62" priority="66" operator="containsText" text="Special Stat Day Backfill">
      <formula>NOT(ISERROR(SEARCH("Special Stat Day Backfill",D34)))</formula>
    </cfRule>
    <cfRule type="containsText" dxfId="61" priority="68" operator="containsText" text="HEABC - Other">
      <formula>NOT(ISERROR(SEARCH("HEABC - Other",D34)))</formula>
    </cfRule>
    <cfRule type="containsText" dxfId="60" priority="69" operator="containsText" text="CSSEA - Other">
      <formula>NOT(ISERROR(SEARCH("CSSEA - Other",D34)))</formula>
    </cfRule>
  </conditionalFormatting>
  <conditionalFormatting sqref="P106 P124 P142">
    <cfRule type="containsText" dxfId="59" priority="6" operator="containsText" text="combo not allowed">
      <formula>NOT(ISERROR(SEARCH("combo not allowed",P106)))</formula>
    </cfRule>
  </conditionalFormatting>
  <conditionalFormatting sqref="M60:N60">
    <cfRule type="cellIs" dxfId="58" priority="44" operator="lessThan">
      <formula>0</formula>
    </cfRule>
  </conditionalFormatting>
  <conditionalFormatting sqref="C171 C189 C207">
    <cfRule type="containsText" dxfId="57" priority="40" operator="containsText" text="Error">
      <formula>NOT(ISERROR(SEARCH("Error",C171)))</formula>
    </cfRule>
  </conditionalFormatting>
  <conditionalFormatting sqref="M48">
    <cfRule type="cellIs" dxfId="56" priority="42" operator="lessThan">
      <formula>0</formula>
    </cfRule>
    <cfRule type="cellIs" dxfId="55" priority="43" operator="greaterThan">
      <formula>0</formula>
    </cfRule>
  </conditionalFormatting>
  <conditionalFormatting sqref="P106 P124 P142 P163:P165 P170 P188 P206 P227:P229">
    <cfRule type="cellIs" dxfId="54" priority="45" operator="greaterThan">
      <formula>0</formula>
    </cfRule>
  </conditionalFormatting>
  <conditionalFormatting sqref="Y18">
    <cfRule type="cellIs" dxfId="53" priority="1" operator="greaterThan">
      <formula>$AE$29</formula>
    </cfRule>
  </conditionalFormatting>
  <dataValidations count="8">
    <dataValidation type="date" allowBlank="1" showInputMessage="1" showErrorMessage="1" error="Must be a date between Service Effective Date and the earlier of the CLBC Fiscal Year End Date (March 31, 20XX) or Variable End Date." sqref="I106:J106 I170:J170 I124:J124 I188:J188 I206:J206 I142:J142 I163:J165 I227:J229">
      <formula1>G106</formula1>
      <formula2>AF106</formula2>
    </dataValidation>
    <dataValidation type="date" allowBlank="1" showInputMessage="1" showErrorMessage="1" error="Must be a date between Contract Start Date and Contract End Date." sqref="Q18:S18">
      <formula1>I18</formula1>
      <formula2>AE82</formula2>
    </dataValidation>
    <dataValidation type="date" allowBlank="1" showInputMessage="1" showErrorMessage="1" error="Must be a date between the Variable Start Date and the Contract End Date." sqref="Q20:S20">
      <formula1>Q18</formula1>
      <formula2>AE82</formula2>
    </dataValidation>
    <dataValidation type="list" allowBlank="1" showInputMessage="1" showErrorMessage="1" sqref="F188 F170 F206 F142 F124 F106 F163:F165 F227:F229">
      <formula1>"Y,N"</formula1>
    </dataValidation>
    <dataValidation type="date" allowBlank="1" showInputMessage="1" showErrorMessage="1" error="Must be a date between Variable Start Date and Variable End Date." sqref="G142:H142 G206:H206 G188:H188 G170:H170 G124:H124 G106:H106 G163:H165 G227:H229">
      <formula1>$Q$18</formula1>
      <formula2>$Q$20</formula2>
    </dataValidation>
    <dataValidation type="list" allowBlank="1" showInputMessage="1" showErrorMessage="1" sqref="D106:E106 D142:E142 D124:E124 D163:E165">
      <formula1>PTSL</formula1>
    </dataValidation>
    <dataValidation type="decimal" operator="lessThanOrEqual" allowBlank="1" showInputMessage="1" showErrorMessage="1" error="FGT Gap must be entered as a negative number." sqref="M60:N60">
      <formula1>0</formula1>
    </dataValidation>
    <dataValidation type="list" allowBlank="1" showInputMessage="1" showErrorMessage="1" sqref="D34:D43">
      <formula1>VariableJobList</formula1>
    </dataValidation>
  </dataValidations>
  <pageMargins left="0.35433070866141736" right="0.39370078740157483" top="0.47244094488188981" bottom="0.47244094488188981" header="0.31496062992125984" footer="0.23622047244094491"/>
  <pageSetup paperSize="5" scale="60" orientation="landscape" r:id="rId1"/>
  <headerFooter>
    <oddFooter>&amp;L&amp;F  
Tab: FGT&amp;A&amp;CPrinted: &amp;D &amp;T&amp;RPage &amp;P of &amp;N</oddFooter>
  </headerFooter>
  <rowBreaks count="2" manualBreakCount="2">
    <brk id="57" min="1" max="27" man="1"/>
    <brk id="238" min="1" max="26"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M686"/>
  <sheetViews>
    <sheetView showGridLines="0" zoomScaleNormal="100" zoomScaleSheetLayoutView="70" workbookViewId="0">
      <pane ySplit="6" topLeftCell="A7" activePane="bottomLeft" state="frozen"/>
      <selection activeCell="B4" sqref="B4"/>
      <selection pane="bottomLeft" activeCell="C18" sqref="C18:F18"/>
    </sheetView>
  </sheetViews>
  <sheetFormatPr defaultColWidth="9.140625" defaultRowHeight="12.75" outlineLevelRow="1" outlineLevelCol="1" x14ac:dyDescent="0.2"/>
  <cols>
    <col min="1" max="1" width="1.7109375" style="34" customWidth="1"/>
    <col min="2" max="2" width="7.42578125" style="34" customWidth="1"/>
    <col min="3" max="3" width="15" style="34" customWidth="1"/>
    <col min="4" max="4" width="12.7109375" style="34" customWidth="1"/>
    <col min="5" max="5" width="10.7109375" style="34" customWidth="1"/>
    <col min="6" max="6" width="8.7109375" style="34" customWidth="1"/>
    <col min="7" max="7" width="10.7109375" style="34" customWidth="1"/>
    <col min="8" max="8" width="11.42578125" style="34" customWidth="1"/>
    <col min="9" max="9" width="13.140625" style="34" bestFit="1" customWidth="1"/>
    <col min="10" max="10" width="11.7109375" style="34" customWidth="1"/>
    <col min="11" max="11" width="14.7109375" style="34" customWidth="1"/>
    <col min="12" max="16" width="14.7109375" style="52" customWidth="1"/>
    <col min="17" max="17" width="14.7109375" style="34" customWidth="1"/>
    <col min="18" max="22" width="14.7109375" style="52" customWidth="1"/>
    <col min="23" max="23" width="1.5703125" style="52" customWidth="1"/>
    <col min="24" max="24" width="1.5703125" style="937" hidden="1" customWidth="1" outlineLevel="1"/>
    <col min="25" max="25" width="1.5703125" style="1003" hidden="1" customWidth="1" outlineLevel="1"/>
    <col min="26" max="26" width="32.28515625" style="992" hidden="1" customWidth="1" outlineLevel="1"/>
    <col min="27" max="27" width="21.7109375" style="992" hidden="1" customWidth="1" outlineLevel="1"/>
    <col min="28" max="28" width="19.5703125" style="992" hidden="1" customWidth="1" outlineLevel="1"/>
    <col min="29" max="29" width="31.28515625" style="992" hidden="1" customWidth="1" outlineLevel="1"/>
    <col min="30" max="30" width="13.7109375" style="992" hidden="1" customWidth="1" outlineLevel="1"/>
    <col min="31" max="31" width="54.85546875" style="992" hidden="1" customWidth="1" outlineLevel="1"/>
    <col min="32" max="32" width="9.140625" style="34" collapsed="1"/>
    <col min="33" max="16384" width="9.140625" style="34"/>
  </cols>
  <sheetData>
    <row r="1" spans="2:39" s="141" customFormat="1" x14ac:dyDescent="0.2">
      <c r="B1" s="1487" t="str">
        <f>Instructions!C2</f>
        <v>Funding Template Version of 1Apr13</v>
      </c>
      <c r="C1" s="1487"/>
      <c r="D1" s="1487"/>
      <c r="E1" s="1487"/>
      <c r="F1" s="1487"/>
      <c r="G1" s="1487"/>
      <c r="H1" s="1487"/>
      <c r="I1" s="1487"/>
      <c r="J1" s="1487"/>
      <c r="K1" s="1487"/>
      <c r="L1" s="1487"/>
      <c r="M1" s="1487"/>
      <c r="N1" s="1487"/>
      <c r="O1" s="1487"/>
      <c r="P1" s="1487"/>
      <c r="Q1" s="1487"/>
      <c r="R1" s="1487"/>
      <c r="S1" s="1487"/>
      <c r="T1" s="1487"/>
      <c r="U1" s="1487"/>
      <c r="V1" s="1487"/>
      <c r="W1" s="778"/>
      <c r="X1" s="1084"/>
      <c r="Y1" s="1085"/>
      <c r="Z1" s="993" t="s">
        <v>108</v>
      </c>
      <c r="AA1" s="1045" t="str">
        <f>Page1!N1</f>
        <v>Union</v>
      </c>
      <c r="AB1" s="1046"/>
      <c r="AC1" s="1046"/>
      <c r="AD1" s="1046"/>
      <c r="AE1" s="1046"/>
      <c r="AF1" s="216"/>
      <c r="AG1" s="216"/>
      <c r="AH1" s="216"/>
      <c r="AI1" s="216"/>
    </row>
    <row r="2" spans="2:39" s="141" customFormat="1" ht="20.25" x14ac:dyDescent="0.3">
      <c r="B2" s="1275" t="str">
        <f>Instructions!C3</f>
        <v>Funding Template - Union</v>
      </c>
      <c r="C2" s="1275"/>
      <c r="D2" s="1275"/>
      <c r="E2" s="1275"/>
      <c r="F2" s="1275"/>
      <c r="G2" s="1275"/>
      <c r="H2" s="1275"/>
      <c r="I2" s="1275"/>
      <c r="J2" s="1275"/>
      <c r="K2" s="1275"/>
      <c r="L2" s="1275"/>
      <c r="M2" s="1275"/>
      <c r="N2" s="1275"/>
      <c r="O2" s="1275"/>
      <c r="P2" s="1275"/>
      <c r="Q2" s="1275"/>
      <c r="R2" s="1275"/>
      <c r="S2" s="1275"/>
      <c r="T2" s="1275"/>
      <c r="U2" s="1275"/>
      <c r="V2" s="1275"/>
      <c r="W2" s="834"/>
      <c r="X2" s="1086"/>
      <c r="Y2" s="1087"/>
      <c r="Z2" s="993" t="s">
        <v>113</v>
      </c>
      <c r="AA2" s="1047">
        <f>Page1!J11</f>
        <v>37.5</v>
      </c>
      <c r="AB2" s="1048"/>
      <c r="AC2" s="1048"/>
      <c r="AD2" s="1048"/>
      <c r="AE2" s="1048"/>
      <c r="AF2" s="216"/>
      <c r="AG2" s="216"/>
      <c r="AH2" s="216"/>
      <c r="AI2" s="216"/>
    </row>
    <row r="3" spans="2:39" s="141" customFormat="1" ht="16.5" x14ac:dyDescent="0.2">
      <c r="B3" s="1466" t="s">
        <v>625</v>
      </c>
      <c r="C3" s="1466"/>
      <c r="D3" s="1466"/>
      <c r="E3" s="1466"/>
      <c r="F3" s="1466"/>
      <c r="G3" s="1466"/>
      <c r="H3" s="1466"/>
      <c r="I3" s="1466"/>
      <c r="J3" s="1466"/>
      <c r="K3" s="1466"/>
      <c r="L3" s="1466"/>
      <c r="M3" s="1466"/>
      <c r="N3" s="1466"/>
      <c r="O3" s="1466"/>
      <c r="P3" s="1466"/>
      <c r="Q3" s="1466"/>
      <c r="R3" s="1466"/>
      <c r="S3" s="1466"/>
      <c r="T3" s="1466"/>
      <c r="U3" s="1466"/>
      <c r="V3" s="1466"/>
      <c r="W3" s="835"/>
      <c r="X3" s="932"/>
      <c r="Y3" s="1088"/>
      <c r="Z3" s="993" t="s">
        <v>90</v>
      </c>
      <c r="AA3" s="1045" t="str">
        <f>Page1!J13</f>
        <v>Non-Residential</v>
      </c>
      <c r="AB3" s="1046"/>
      <c r="AC3" s="1046"/>
      <c r="AD3" s="1046"/>
      <c r="AE3" s="1046"/>
      <c r="AF3" s="461"/>
      <c r="AG3" s="461"/>
      <c r="AH3" s="461"/>
      <c r="AI3" s="461"/>
      <c r="AJ3" s="365"/>
      <c r="AK3" s="365"/>
      <c r="AL3" s="365"/>
      <c r="AM3" s="365"/>
    </row>
    <row r="4" spans="2:39" s="141" customFormat="1" ht="16.5" customHeight="1" x14ac:dyDescent="0.2">
      <c r="B4" s="1344" t="str">
        <f>Page1!D7</f>
        <v>Burnaby Assocication for Community Inclusion</v>
      </c>
      <c r="C4" s="1344"/>
      <c r="D4" s="1344"/>
      <c r="E4" s="1344"/>
      <c r="F4" s="1344"/>
      <c r="G4" s="1344"/>
      <c r="H4" s="1344"/>
      <c r="I4" s="1344"/>
      <c r="J4" s="1344"/>
      <c r="K4" s="1344"/>
      <c r="L4" s="1344"/>
      <c r="M4" s="1344"/>
      <c r="N4" s="1344"/>
      <c r="O4" s="1344"/>
      <c r="P4" s="1344"/>
      <c r="Q4" s="1344"/>
      <c r="R4" s="1344"/>
      <c r="S4" s="1344"/>
      <c r="T4" s="1344"/>
      <c r="U4" s="1344"/>
      <c r="V4" s="1344"/>
      <c r="W4" s="836"/>
      <c r="X4" s="1089"/>
      <c r="Y4" s="1090"/>
      <c r="Z4" s="1049" t="s">
        <v>272</v>
      </c>
      <c r="AA4" s="1050">
        <f>IF(AA3="Non-Residential",'LOCK_ME - Page9 - RATES'!F120,'LOCK_ME - Page9 - RATES'!H120)</f>
        <v>0.13830000000000001</v>
      </c>
      <c r="AB4" s="1051"/>
      <c r="AC4" s="1051"/>
      <c r="AD4" s="1051"/>
      <c r="AE4" s="1051"/>
      <c r="AF4" s="216"/>
      <c r="AG4" s="216"/>
      <c r="AH4" s="216"/>
      <c r="AI4" s="216"/>
    </row>
    <row r="5" spans="2:39" s="141" customFormat="1" ht="16.5" customHeight="1" x14ac:dyDescent="0.2">
      <c r="B5" s="1345">
        <f>Page1!D9</f>
        <v>0</v>
      </c>
      <c r="C5" s="1345"/>
      <c r="D5" s="1345"/>
      <c r="E5" s="1345"/>
      <c r="F5" s="1345"/>
      <c r="G5" s="1345"/>
      <c r="H5" s="1345"/>
      <c r="I5" s="1345"/>
      <c r="J5" s="1345"/>
      <c r="K5" s="1345"/>
      <c r="L5" s="1345"/>
      <c r="M5" s="1345"/>
      <c r="N5" s="1345"/>
      <c r="O5" s="1345"/>
      <c r="P5" s="1345"/>
      <c r="Q5" s="1345"/>
      <c r="R5" s="1345"/>
      <c r="S5" s="1345"/>
      <c r="T5" s="1345"/>
      <c r="U5" s="1345"/>
      <c r="V5" s="1345"/>
      <c r="W5" s="373"/>
      <c r="X5" s="1089"/>
      <c r="Y5" s="1089"/>
      <c r="Z5" s="1049" t="s">
        <v>816</v>
      </c>
      <c r="AA5" s="1050" t="str">
        <f>Page1!J17</f>
        <v>No</v>
      </c>
      <c r="AB5" s="1051"/>
      <c r="AC5" s="1051"/>
      <c r="AD5" s="1051"/>
      <c r="AE5" s="1051"/>
      <c r="AF5" s="216"/>
      <c r="AG5" s="216"/>
      <c r="AH5" s="216"/>
      <c r="AI5" s="216"/>
    </row>
    <row r="6" spans="2:39" s="141" customFormat="1" ht="8.1" customHeight="1" x14ac:dyDescent="0.2">
      <c r="B6" s="777"/>
      <c r="C6" s="777"/>
      <c r="D6" s="777"/>
      <c r="E6" s="777"/>
      <c r="F6" s="777"/>
      <c r="G6" s="777"/>
      <c r="H6" s="777"/>
      <c r="I6" s="777"/>
      <c r="J6" s="777"/>
      <c r="K6" s="777"/>
      <c r="L6" s="373"/>
      <c r="M6" s="373"/>
      <c r="N6" s="373"/>
      <c r="O6" s="373"/>
      <c r="P6" s="373"/>
      <c r="R6" s="216"/>
      <c r="S6" s="216"/>
      <c r="T6" s="216"/>
      <c r="U6" s="216"/>
      <c r="V6" s="216"/>
      <c r="W6" s="216"/>
      <c r="X6" s="994"/>
      <c r="Y6" s="992"/>
      <c r="Z6" s="928"/>
      <c r="AA6" s="1011"/>
      <c r="AB6" s="1011"/>
      <c r="AC6" s="1011"/>
      <c r="AD6" s="1011"/>
      <c r="AE6" s="1011"/>
      <c r="AF6" s="216"/>
      <c r="AG6" s="216"/>
      <c r="AH6" s="216"/>
      <c r="AI6" s="216"/>
    </row>
    <row r="7" spans="2:39" s="141" customFormat="1" ht="15.6" customHeight="1" x14ac:dyDescent="0.2">
      <c r="B7" s="1671" t="s">
        <v>626</v>
      </c>
      <c r="C7" s="1671"/>
      <c r="D7" s="1671"/>
      <c r="E7" s="1671"/>
      <c r="F7" s="1671"/>
      <c r="G7" s="1671"/>
      <c r="H7" s="1671"/>
      <c r="I7" s="1671"/>
      <c r="J7" s="1671"/>
      <c r="K7" s="1671"/>
      <c r="L7" s="1671"/>
      <c r="M7" s="1671"/>
      <c r="N7" s="1671"/>
      <c r="O7" s="1671"/>
      <c r="P7" s="1671"/>
      <c r="Q7" s="1671"/>
      <c r="R7" s="1671"/>
      <c r="S7" s="1671"/>
      <c r="T7" s="1671"/>
      <c r="U7" s="1671"/>
      <c r="V7" s="1671"/>
      <c r="W7" s="837"/>
      <c r="X7" s="1091"/>
      <c r="Y7" s="1091"/>
      <c r="Z7" s="928"/>
      <c r="AA7" s="1011"/>
      <c r="AB7" s="1011"/>
      <c r="AC7" s="1011"/>
      <c r="AD7" s="1011"/>
      <c r="AE7" s="1011"/>
      <c r="AF7" s="216"/>
      <c r="AG7" s="216"/>
      <c r="AH7" s="216"/>
      <c r="AI7" s="216"/>
    </row>
    <row r="8" spans="2:39" s="141" customFormat="1" ht="8.1" customHeight="1" x14ac:dyDescent="0.2">
      <c r="B8" s="777"/>
      <c r="C8" s="777"/>
      <c r="D8" s="777"/>
      <c r="E8" s="777"/>
      <c r="F8" s="777"/>
      <c r="G8" s="777"/>
      <c r="H8" s="777"/>
      <c r="I8" s="777"/>
      <c r="J8" s="777"/>
      <c r="K8" s="777"/>
      <c r="L8" s="373"/>
      <c r="M8" s="373"/>
      <c r="N8" s="373"/>
      <c r="O8" s="373"/>
      <c r="P8" s="373"/>
      <c r="R8" s="216"/>
      <c r="S8" s="216"/>
      <c r="T8" s="216"/>
      <c r="U8" s="216"/>
      <c r="V8" s="216"/>
      <c r="W8" s="216"/>
      <c r="X8" s="994"/>
      <c r="Y8" s="992"/>
      <c r="Z8" s="928"/>
      <c r="AA8" s="1011"/>
      <c r="AB8" s="1011"/>
      <c r="AC8" s="1011"/>
      <c r="AD8" s="1011"/>
      <c r="AE8" s="1011"/>
      <c r="AF8" s="216"/>
      <c r="AG8" s="216"/>
      <c r="AH8" s="216"/>
      <c r="AI8" s="216"/>
    </row>
    <row r="9" spans="2:39" s="52" customFormat="1" ht="12.75" customHeight="1" x14ac:dyDescent="0.2">
      <c r="B9" s="212" t="s">
        <v>706</v>
      </c>
      <c r="C9" s="212"/>
      <c r="D9" s="212"/>
      <c r="E9" s="212"/>
      <c r="F9" s="212"/>
      <c r="G9" s="212"/>
      <c r="H9" s="212"/>
      <c r="I9" s="212"/>
      <c r="J9" s="212"/>
      <c r="K9" s="212"/>
      <c r="L9" s="212"/>
      <c r="M9" s="212"/>
      <c r="N9" s="212"/>
      <c r="O9" s="212"/>
      <c r="P9" s="212"/>
      <c r="Q9" s="212"/>
      <c r="R9" s="212"/>
      <c r="S9" s="212"/>
      <c r="T9" s="186"/>
      <c r="U9" s="186"/>
      <c r="X9" s="937"/>
      <c r="Y9" s="1003"/>
      <c r="Z9" s="992"/>
      <c r="AA9" s="992"/>
      <c r="AB9" s="992"/>
      <c r="AC9" s="992"/>
      <c r="AD9" s="992"/>
      <c r="AE9" s="992"/>
    </row>
    <row r="10" spans="2:39" s="52" customFormat="1" ht="15" customHeight="1" x14ac:dyDescent="0.2">
      <c r="B10" s="212" t="s">
        <v>652</v>
      </c>
      <c r="C10" s="212"/>
      <c r="D10" s="212"/>
      <c r="E10" s="212"/>
      <c r="F10" s="212"/>
      <c r="G10" s="212"/>
      <c r="H10" s="212"/>
      <c r="I10" s="212"/>
      <c r="J10" s="212"/>
      <c r="K10" s="212"/>
      <c r="L10" s="212"/>
      <c r="M10" s="212"/>
      <c r="N10" s="212"/>
      <c r="O10" s="212"/>
      <c r="P10" s="212"/>
      <c r="Q10" s="212"/>
      <c r="R10" s="212"/>
      <c r="S10" s="212"/>
      <c r="T10" s="186"/>
      <c r="U10" s="186"/>
      <c r="X10" s="937"/>
      <c r="Y10" s="1003"/>
      <c r="Z10" s="992"/>
      <c r="AA10" s="992"/>
      <c r="AB10" s="992"/>
      <c r="AC10" s="992"/>
      <c r="AD10" s="992"/>
      <c r="AE10" s="992"/>
    </row>
    <row r="11" spans="2:39" s="52" customFormat="1" ht="15" customHeight="1" x14ac:dyDescent="0.2">
      <c r="B11" s="872" t="s">
        <v>766</v>
      </c>
      <c r="C11" s="212"/>
      <c r="D11" s="212"/>
      <c r="E11" s="212"/>
      <c r="F11" s="212"/>
      <c r="G11" s="212"/>
      <c r="H11" s="212"/>
      <c r="I11" s="212"/>
      <c r="J11" s="758"/>
      <c r="K11" s="758"/>
      <c r="L11" s="758"/>
      <c r="M11" s="758"/>
      <c r="N11" s="758"/>
      <c r="O11" s="758"/>
      <c r="P11" s="758"/>
      <c r="Q11" s="758"/>
      <c r="R11" s="758"/>
      <c r="S11" s="758"/>
      <c r="T11" s="186"/>
      <c r="U11" s="186"/>
      <c r="X11" s="937"/>
      <c r="Y11" s="1003"/>
      <c r="Z11" s="992"/>
      <c r="AA11" s="992"/>
      <c r="AB11" s="992"/>
      <c r="AC11" s="992"/>
      <c r="AD11" s="992"/>
      <c r="AE11" s="992"/>
    </row>
    <row r="12" spans="2:39" s="52" customFormat="1" ht="15" customHeight="1" x14ac:dyDescent="0.2">
      <c r="B12" s="872" t="s">
        <v>767</v>
      </c>
      <c r="C12" s="212"/>
      <c r="D12" s="212"/>
      <c r="E12" s="212"/>
      <c r="F12" s="212"/>
      <c r="G12" s="212"/>
      <c r="H12" s="212"/>
      <c r="I12" s="212"/>
      <c r="J12" s="758"/>
      <c r="K12" s="758"/>
      <c r="L12" s="758"/>
      <c r="M12" s="758"/>
      <c r="N12" s="758"/>
      <c r="O12" s="758"/>
      <c r="P12" s="758"/>
      <c r="Q12" s="758"/>
      <c r="R12" s="758"/>
      <c r="S12" s="758"/>
      <c r="T12" s="186"/>
      <c r="U12" s="186"/>
      <c r="X12" s="937"/>
      <c r="Y12" s="1003"/>
      <c r="Z12" s="992"/>
      <c r="AA12" s="992"/>
      <c r="AB12" s="992"/>
      <c r="AC12" s="992"/>
      <c r="AD12" s="992"/>
      <c r="AE12" s="992"/>
    </row>
    <row r="13" spans="2:39" ht="15" customHeight="1" x14ac:dyDescent="0.2">
      <c r="B13" s="221" t="s">
        <v>656</v>
      </c>
      <c r="C13" s="763"/>
      <c r="D13" s="763"/>
      <c r="E13" s="763"/>
      <c r="F13" s="763"/>
      <c r="G13" s="763"/>
      <c r="H13" s="763"/>
      <c r="I13" s="763"/>
      <c r="J13" s="763"/>
      <c r="K13" s="763"/>
      <c r="L13" s="763"/>
      <c r="M13" s="764"/>
      <c r="N13" s="763"/>
      <c r="O13" s="765"/>
      <c r="P13" s="766"/>
      <c r="Q13" s="186"/>
      <c r="R13" s="186"/>
      <c r="S13" s="186"/>
      <c r="T13" s="186"/>
      <c r="U13" s="186"/>
      <c r="AA13" s="1009"/>
      <c r="AF13" s="52"/>
      <c r="AG13" s="52"/>
      <c r="AH13" s="52"/>
      <c r="AI13" s="52"/>
    </row>
    <row r="14" spans="2:39" x14ac:dyDescent="0.2">
      <c r="B14" s="1590" t="s">
        <v>698</v>
      </c>
      <c r="C14" s="1590"/>
      <c r="D14" s="1590"/>
      <c r="E14" s="1590"/>
      <c r="F14" s="1590"/>
      <c r="G14" s="1590"/>
      <c r="H14" s="1590"/>
      <c r="I14" s="1590"/>
      <c r="J14" s="1590"/>
      <c r="K14" s="1590"/>
      <c r="L14" s="1590"/>
      <c r="M14" s="1590"/>
      <c r="N14" s="1590"/>
      <c r="O14" s="1590"/>
      <c r="P14" s="1590"/>
      <c r="Q14" s="1590"/>
      <c r="R14" s="1590"/>
      <c r="S14" s="1590"/>
      <c r="T14" s="1590"/>
      <c r="U14" s="1590"/>
      <c r="AA14" s="1009"/>
      <c r="AF14" s="52"/>
      <c r="AG14" s="52"/>
      <c r="AH14" s="52"/>
      <c r="AI14" s="52"/>
    </row>
    <row r="15" spans="2:39" ht="15" customHeight="1" x14ac:dyDescent="0.2">
      <c r="B15" s="814"/>
      <c r="C15" s="814"/>
      <c r="D15" s="814"/>
      <c r="E15" s="814"/>
      <c r="F15" s="814"/>
      <c r="G15" s="814"/>
      <c r="H15" s="814"/>
      <c r="I15" s="814"/>
      <c r="J15" s="814"/>
      <c r="K15" s="814"/>
      <c r="L15" s="814"/>
      <c r="M15" s="814"/>
      <c r="N15" s="814"/>
      <c r="O15" s="814"/>
      <c r="P15" s="814"/>
      <c r="Q15" s="814"/>
      <c r="R15" s="814"/>
      <c r="S15" s="814"/>
      <c r="T15" s="814"/>
      <c r="U15" s="814"/>
      <c r="AA15" s="1009"/>
      <c r="AF15" s="52"/>
      <c r="AG15" s="52"/>
      <c r="AH15" s="52"/>
      <c r="AI15" s="52"/>
    </row>
    <row r="16" spans="2:39" ht="15" customHeight="1" thickBot="1" x14ac:dyDescent="0.3">
      <c r="B16" s="272"/>
      <c r="C16" s="1585" t="s">
        <v>615</v>
      </c>
      <c r="D16" s="1585"/>
      <c r="E16" s="1585"/>
      <c r="F16" s="1585"/>
      <c r="G16" s="1585"/>
      <c r="H16" s="1585"/>
      <c r="I16" s="751"/>
      <c r="J16" s="1585" t="s">
        <v>616</v>
      </c>
      <c r="K16" s="1585"/>
      <c r="L16" s="1585"/>
      <c r="M16" s="1585"/>
      <c r="N16" s="751"/>
      <c r="O16" s="1585" t="s">
        <v>672</v>
      </c>
      <c r="P16" s="1585"/>
      <c r="Q16" s="1585"/>
      <c r="R16" s="1585"/>
      <c r="S16" s="751"/>
      <c r="T16" s="186"/>
      <c r="U16" s="186"/>
      <c r="AA16" s="1009"/>
      <c r="AF16" s="52"/>
      <c r="AG16" s="52"/>
      <c r="AH16" s="52"/>
      <c r="AI16" s="52"/>
    </row>
    <row r="17" spans="2:35" ht="6" customHeight="1" x14ac:dyDescent="0.2">
      <c r="B17" s="272"/>
      <c r="C17" s="272"/>
      <c r="D17" s="272"/>
      <c r="E17" s="272"/>
      <c r="F17" s="272"/>
      <c r="G17" s="272"/>
      <c r="H17" s="272"/>
      <c r="I17" s="272"/>
      <c r="J17" s="272"/>
      <c r="K17" s="272"/>
      <c r="L17" s="272"/>
      <c r="M17" s="547"/>
      <c r="N17" s="272"/>
      <c r="O17" s="496"/>
      <c r="P17" s="254"/>
      <c r="Q17" s="186"/>
      <c r="R17" s="186"/>
      <c r="S17" s="186"/>
      <c r="T17" s="186"/>
      <c r="U17" s="186"/>
      <c r="AA17" s="1009"/>
      <c r="AF17" s="52"/>
      <c r="AG17" s="52"/>
      <c r="AH17" s="52"/>
      <c r="AI17" s="52"/>
    </row>
    <row r="18" spans="2:35" ht="15" customHeight="1" thickBot="1" x14ac:dyDescent="0.3">
      <c r="B18" s="272"/>
      <c r="C18" s="1584" t="s">
        <v>377</v>
      </c>
      <c r="D18" s="1584"/>
      <c r="E18" s="1584"/>
      <c r="F18" s="1584"/>
      <c r="G18" s="1586">
        <f>IF(PTPage7!E9&gt;0,PTPage7!E9,"")</f>
        <v>41899</v>
      </c>
      <c r="H18" s="1586"/>
      <c r="I18" s="272"/>
      <c r="J18" s="1584" t="s">
        <v>612</v>
      </c>
      <c r="K18" s="1584"/>
      <c r="L18" s="1596"/>
      <c r="M18" s="1596"/>
      <c r="N18" s="254"/>
      <c r="O18" s="1584" t="s">
        <v>416</v>
      </c>
      <c r="P18" s="1584"/>
      <c r="Q18" s="1584"/>
      <c r="R18" s="869">
        <f>IF(AA5="No",Page1!D62,0)</f>
        <v>0.09</v>
      </c>
      <c r="S18" s="254"/>
      <c r="T18" s="186"/>
      <c r="U18" s="186"/>
      <c r="AA18" s="1027" t="s">
        <v>837</v>
      </c>
      <c r="AF18" s="52"/>
      <c r="AG18" s="52"/>
      <c r="AH18" s="52"/>
      <c r="AI18" s="52"/>
    </row>
    <row r="19" spans="2:35" s="141" customFormat="1" ht="6" customHeight="1" x14ac:dyDescent="0.25">
      <c r="B19" s="762"/>
      <c r="C19" s="752"/>
      <c r="D19" s="753"/>
      <c r="E19" s="752"/>
      <c r="F19" s="753"/>
      <c r="G19" s="754"/>
      <c r="H19" s="754"/>
      <c r="I19" s="202"/>
      <c r="J19" s="755"/>
      <c r="K19" s="753"/>
      <c r="L19" s="796"/>
      <c r="M19" s="754"/>
      <c r="N19" s="202"/>
      <c r="O19" s="767"/>
      <c r="P19" s="756"/>
      <c r="Q19" s="767"/>
      <c r="R19" s="202"/>
      <c r="S19" s="202"/>
      <c r="T19" s="216"/>
      <c r="V19" s="216"/>
      <c r="W19" s="216"/>
      <c r="X19" s="994"/>
      <c r="Y19" s="992"/>
      <c r="Z19" s="992"/>
      <c r="AA19" s="1045"/>
      <c r="AB19" s="1074"/>
      <c r="AC19" s="1074"/>
      <c r="AD19" s="1074"/>
      <c r="AE19" s="1074"/>
      <c r="AF19" s="216"/>
      <c r="AG19" s="216"/>
      <c r="AH19" s="216"/>
      <c r="AI19" s="216"/>
    </row>
    <row r="20" spans="2:35" s="141" customFormat="1" ht="15.75" thickBot="1" x14ac:dyDescent="0.3">
      <c r="B20" s="202"/>
      <c r="C20" s="1584" t="s">
        <v>378</v>
      </c>
      <c r="D20" s="1584"/>
      <c r="E20" s="1584"/>
      <c r="F20" s="1584"/>
      <c r="G20" s="1586">
        <f>IF(PTPage7!H9&gt;0,PTPage7!H9,"")</f>
        <v>42079</v>
      </c>
      <c r="H20" s="1586"/>
      <c r="I20" s="202"/>
      <c r="J20" s="1584" t="s">
        <v>613</v>
      </c>
      <c r="K20" s="1584"/>
      <c r="L20" s="1596"/>
      <c r="M20" s="1596"/>
      <c r="N20" s="202"/>
      <c r="O20" s="1584" t="s">
        <v>417</v>
      </c>
      <c r="P20" s="1584"/>
      <c r="Q20" s="1584"/>
      <c r="R20" s="869">
        <f>IF(AA5="Yes",Page1!D64,0)</f>
        <v>0</v>
      </c>
      <c r="S20" s="202"/>
      <c r="T20" s="216"/>
      <c r="V20" s="216"/>
      <c r="W20" s="216"/>
      <c r="X20" s="994"/>
      <c r="Y20" s="992"/>
      <c r="Z20" s="992"/>
      <c r="AA20" s="1254">
        <f>Page1!N62</f>
        <v>0.09</v>
      </c>
      <c r="AB20" s="994"/>
      <c r="AC20" s="992"/>
      <c r="AD20" s="992"/>
      <c r="AE20" s="994"/>
    </row>
    <row r="21" spans="2:35" s="141" customFormat="1" ht="6" customHeight="1" x14ac:dyDescent="0.25">
      <c r="B21" s="762"/>
      <c r="C21" s="756"/>
      <c r="D21" s="753"/>
      <c r="E21" s="756"/>
      <c r="F21" s="753"/>
      <c r="G21" s="754"/>
      <c r="H21" s="754"/>
      <c r="I21" s="202"/>
      <c r="J21" s="757"/>
      <c r="K21" s="753"/>
      <c r="L21" s="796"/>
      <c r="M21" s="796"/>
      <c r="N21" s="202"/>
      <c r="O21" s="202"/>
      <c r="P21" s="202"/>
      <c r="Q21" s="202"/>
      <c r="R21" s="219"/>
      <c r="S21" s="254"/>
      <c r="T21" s="216"/>
      <c r="V21" s="216"/>
      <c r="W21" s="216"/>
      <c r="X21" s="994"/>
      <c r="Y21" s="992"/>
      <c r="Z21" s="992"/>
      <c r="AA21" s="1009"/>
      <c r="AB21" s="994"/>
      <c r="AC21" s="992"/>
      <c r="AD21" s="992"/>
      <c r="AE21" s="994"/>
    </row>
    <row r="22" spans="2:35" s="141" customFormat="1" ht="11.25" customHeight="1" x14ac:dyDescent="0.25">
      <c r="B22" s="762"/>
      <c r="C22" s="756"/>
      <c r="D22" s="753"/>
      <c r="E22" s="756"/>
      <c r="F22" s="753"/>
      <c r="G22" s="1660" t="s">
        <v>547</v>
      </c>
      <c r="H22" s="1660"/>
      <c r="I22" s="202"/>
      <c r="J22" s="757"/>
      <c r="K22" s="753"/>
      <c r="L22" s="796"/>
      <c r="M22" s="796"/>
      <c r="N22" s="202"/>
      <c r="O22" s="202"/>
      <c r="P22" s="202"/>
      <c r="Q22" s="202"/>
      <c r="R22" s="219"/>
      <c r="S22" s="254"/>
      <c r="T22" s="216"/>
      <c r="V22" s="216"/>
      <c r="W22" s="216"/>
      <c r="X22" s="994"/>
      <c r="Y22" s="992"/>
      <c r="Z22" s="992"/>
      <c r="AA22" s="1009"/>
      <c r="AB22" s="994"/>
      <c r="AC22" s="992"/>
      <c r="AD22" s="992"/>
      <c r="AE22" s="994"/>
    </row>
    <row r="23" spans="2:35" s="141" customFormat="1" ht="15.75" thickBot="1" x14ac:dyDescent="0.3">
      <c r="B23" s="202"/>
      <c r="C23" s="1584" t="s">
        <v>595</v>
      </c>
      <c r="D23" s="1584"/>
      <c r="E23" s="1584"/>
      <c r="F23" s="1584"/>
      <c r="G23" s="1586" t="str">
        <f>IF(PTPage7!N9&gt;0,PTPage7!N9,"")</f>
        <v/>
      </c>
      <c r="H23" s="1586"/>
      <c r="I23" s="202"/>
      <c r="J23" s="1584" t="s">
        <v>478</v>
      </c>
      <c r="K23" s="1584"/>
      <c r="L23" s="1283"/>
      <c r="M23" s="1283"/>
      <c r="N23" s="202"/>
      <c r="O23" s="202"/>
      <c r="P23" s="202"/>
      <c r="Q23" s="202"/>
      <c r="R23" s="219"/>
      <c r="S23" s="254"/>
      <c r="T23" s="216"/>
      <c r="V23" s="216"/>
      <c r="W23" s="216"/>
      <c r="X23" s="994"/>
      <c r="Y23" s="992"/>
      <c r="Z23" s="992"/>
      <c r="AA23" s="1009"/>
      <c r="AB23" s="994"/>
      <c r="AC23" s="992"/>
      <c r="AD23" s="992"/>
      <c r="AE23" s="994"/>
    </row>
    <row r="24" spans="2:35" s="141" customFormat="1" ht="12.75" customHeight="1" x14ac:dyDescent="0.2">
      <c r="C24" s="1595" t="str">
        <f>IF(AND(L18&gt;0,L20&gt;0),IF(OR(L18&lt;G18,L18&gt;AA76,L20&lt;G18,L20&gt;AA76),"ERROR ALERT: Your OTO term dates and your overall contract term dates appear incompatiable. Please re-check and correct dates.",""),"")</f>
        <v/>
      </c>
      <c r="D24" s="1595"/>
      <c r="E24" s="1595"/>
      <c r="F24" s="1595"/>
      <c r="G24" s="1595"/>
      <c r="H24" s="1595"/>
      <c r="I24" s="202"/>
      <c r="J24" s="1595" t="str">
        <f>IF(AND(L20&gt;0,L18=0),"ERROR ALERT: You are entering OTO dates out of order.  Please delete your entry, and enter OTO start date first, then end date.","")</f>
        <v/>
      </c>
      <c r="K24" s="1595"/>
      <c r="L24" s="1595"/>
      <c r="M24" s="1595"/>
      <c r="N24" s="219"/>
      <c r="O24" s="219"/>
      <c r="P24" s="219"/>
      <c r="Q24" s="202"/>
      <c r="R24" s="219"/>
      <c r="S24" s="254"/>
      <c r="T24" s="216"/>
      <c r="V24" s="216"/>
      <c r="W24" s="216"/>
      <c r="X24" s="994"/>
      <c r="Y24" s="992"/>
      <c r="Z24" s="992"/>
      <c r="AA24" s="1009"/>
      <c r="AB24" s="994"/>
      <c r="AC24" s="992"/>
      <c r="AD24" s="992"/>
      <c r="AE24" s="994"/>
    </row>
    <row r="25" spans="2:35" s="141" customFormat="1" ht="15" customHeight="1" x14ac:dyDescent="0.2">
      <c r="B25" s="870"/>
      <c r="C25" s="1595"/>
      <c r="D25" s="1595"/>
      <c r="E25" s="1595"/>
      <c r="F25" s="1595"/>
      <c r="G25" s="1595"/>
      <c r="H25" s="1595"/>
      <c r="J25" s="1595"/>
      <c r="K25" s="1595"/>
      <c r="L25" s="1595"/>
      <c r="M25" s="1595"/>
      <c r="O25" s="216"/>
      <c r="P25" s="216"/>
      <c r="R25" s="216"/>
      <c r="S25" s="216"/>
      <c r="T25" s="216"/>
      <c r="U25" s="216"/>
      <c r="V25" s="216"/>
      <c r="W25" s="216"/>
      <c r="X25" s="994"/>
      <c r="Y25" s="992"/>
      <c r="Z25" s="994"/>
      <c r="AA25" s="994"/>
      <c r="AB25" s="994"/>
      <c r="AC25" s="994"/>
      <c r="AD25" s="994"/>
      <c r="AE25" s="994"/>
      <c r="AF25" s="216"/>
      <c r="AG25" s="216"/>
      <c r="AH25" s="216"/>
      <c r="AI25" s="216"/>
    </row>
    <row r="26" spans="2:35" s="141" customFormat="1" ht="15" x14ac:dyDescent="0.25">
      <c r="B26" s="627" t="s">
        <v>675</v>
      </c>
      <c r="I26" s="479"/>
      <c r="J26" s="1595"/>
      <c r="K26" s="1595"/>
      <c r="L26" s="1595"/>
      <c r="M26" s="1595"/>
      <c r="O26" s="216"/>
      <c r="P26" s="216"/>
      <c r="Q26" s="216"/>
      <c r="R26" s="216"/>
      <c r="S26" s="216"/>
      <c r="T26" s="216"/>
      <c r="U26" s="216"/>
      <c r="V26" s="216"/>
      <c r="W26" s="216"/>
      <c r="X26" s="994"/>
      <c r="Y26" s="992"/>
      <c r="Z26" s="1092"/>
      <c r="AA26" s="1093"/>
      <c r="AB26" s="1093"/>
      <c r="AC26" s="1093"/>
      <c r="AD26" s="1093"/>
      <c r="AE26" s="1093"/>
      <c r="AF26" s="216"/>
      <c r="AG26" s="216"/>
      <c r="AH26" s="216"/>
      <c r="AI26" s="216"/>
    </row>
    <row r="27" spans="2:35" s="141" customFormat="1" ht="8.1" customHeight="1" x14ac:dyDescent="0.3">
      <c r="B27" s="367"/>
      <c r="C27" s="368"/>
      <c r="L27" s="216"/>
      <c r="O27" s="216"/>
      <c r="P27" s="216"/>
      <c r="R27" s="216"/>
      <c r="S27" s="216"/>
      <c r="T27" s="216"/>
      <c r="U27" s="216"/>
      <c r="V27" s="216"/>
      <c r="W27" s="216"/>
      <c r="X27" s="994"/>
      <c r="Y27" s="992"/>
      <c r="Z27" s="928"/>
      <c r="AA27" s="1011"/>
      <c r="AB27" s="1011"/>
      <c r="AC27" s="1011"/>
      <c r="AD27" s="1011"/>
      <c r="AE27" s="1011"/>
      <c r="AF27" s="216"/>
      <c r="AG27" s="216"/>
      <c r="AH27" s="216"/>
      <c r="AI27" s="216"/>
    </row>
    <row r="28" spans="2:35" s="250" customFormat="1" ht="34.5" customHeight="1" x14ac:dyDescent="0.2">
      <c r="B28" s="809" t="s">
        <v>35</v>
      </c>
      <c r="C28" s="1673" t="s">
        <v>241</v>
      </c>
      <c r="D28" s="1673"/>
      <c r="E28" s="809" t="s">
        <v>5</v>
      </c>
      <c r="F28" s="639" t="s">
        <v>148</v>
      </c>
      <c r="G28" s="809" t="s">
        <v>27</v>
      </c>
      <c r="H28" s="809" t="s">
        <v>476</v>
      </c>
      <c r="I28" s="809" t="s">
        <v>477</v>
      </c>
      <c r="J28" s="581" t="s">
        <v>360</v>
      </c>
      <c r="K28" s="581" t="s">
        <v>361</v>
      </c>
      <c r="L28" s="582" t="s">
        <v>75</v>
      </c>
      <c r="M28" s="581" t="s">
        <v>159</v>
      </c>
      <c r="N28" s="581" t="s">
        <v>114</v>
      </c>
      <c r="O28" s="581" t="s">
        <v>43</v>
      </c>
      <c r="P28" s="581" t="s">
        <v>178</v>
      </c>
      <c r="Q28" s="581" t="s">
        <v>55</v>
      </c>
      <c r="R28" s="582" t="s">
        <v>326</v>
      </c>
      <c r="S28" s="581" t="s">
        <v>327</v>
      </c>
      <c r="T28" s="581" t="s">
        <v>276</v>
      </c>
      <c r="U28" s="581" t="s">
        <v>364</v>
      </c>
      <c r="V28" s="582" t="s">
        <v>365</v>
      </c>
      <c r="W28" s="838"/>
      <c r="X28" s="1094"/>
      <c r="Y28" s="1094"/>
      <c r="Z28" s="1012" t="s">
        <v>175</v>
      </c>
      <c r="AA28" s="1095" t="s">
        <v>124</v>
      </c>
      <c r="AB28" s="1096"/>
      <c r="AC28" s="1096"/>
      <c r="AD28" s="1096"/>
      <c r="AE28" s="1096"/>
      <c r="AF28" s="371"/>
      <c r="AG28" s="371"/>
      <c r="AH28" s="371"/>
      <c r="AI28" s="371"/>
    </row>
    <row r="29" spans="2:35" s="141" customFormat="1" ht="15" customHeight="1" x14ac:dyDescent="0.2">
      <c r="B29" s="1346" t="s">
        <v>323</v>
      </c>
      <c r="C29" s="1347"/>
      <c r="D29" s="1348"/>
      <c r="E29" s="378">
        <f>SUM(E30:E39)</f>
        <v>0</v>
      </c>
      <c r="F29" s="379"/>
      <c r="G29" s="379"/>
      <c r="H29" s="449">
        <f t="shared" ref="H29:I29" si="0">SUM(H30:H39)</f>
        <v>0</v>
      </c>
      <c r="I29" s="449">
        <f t="shared" si="0"/>
        <v>0</v>
      </c>
      <c r="J29" s="583" t="s">
        <v>330</v>
      </c>
      <c r="K29" s="583" t="s">
        <v>330</v>
      </c>
      <c r="L29" s="584" t="s">
        <v>319</v>
      </c>
      <c r="M29" s="583" t="s">
        <v>319</v>
      </c>
      <c r="N29" s="583" t="s">
        <v>319</v>
      </c>
      <c r="O29" s="583" t="s">
        <v>319</v>
      </c>
      <c r="P29" s="583" t="s">
        <v>319</v>
      </c>
      <c r="Q29" s="583" t="s">
        <v>319</v>
      </c>
      <c r="R29" s="585" t="s">
        <v>319</v>
      </c>
      <c r="S29" s="583" t="s">
        <v>319</v>
      </c>
      <c r="T29" s="583" t="s">
        <v>319</v>
      </c>
      <c r="U29" s="583" t="s">
        <v>319</v>
      </c>
      <c r="V29" s="584" t="s">
        <v>319</v>
      </c>
      <c r="W29" s="839"/>
      <c r="X29" s="1097"/>
      <c r="Y29" s="1097"/>
      <c r="Z29" s="993"/>
      <c r="AA29" s="993"/>
      <c r="AB29" s="994"/>
      <c r="AC29" s="994"/>
      <c r="AD29" s="994"/>
      <c r="AE29" s="994"/>
      <c r="AF29" s="216"/>
      <c r="AG29" s="216"/>
      <c r="AH29" s="216"/>
      <c r="AI29" s="216"/>
    </row>
    <row r="30" spans="2:35" s="141" customFormat="1" ht="28.5" customHeight="1" x14ac:dyDescent="0.2">
      <c r="B30" s="372">
        <v>1</v>
      </c>
      <c r="C30" s="1672"/>
      <c r="D30" s="1672"/>
      <c r="E30" s="641"/>
      <c r="F30" s="643">
        <v>0</v>
      </c>
      <c r="G30" s="377">
        <f>(IF(NOT($E30=0),VLOOKUP(C30,'LOCK_ME - Page10 - Lookups'!$B$10:$D$43,3,FALSE),0))</f>
        <v>0</v>
      </c>
      <c r="H30" s="642">
        <f>ROUND(E30/8,2)</f>
        <v>0</v>
      </c>
      <c r="I30" s="376">
        <f t="shared" ref="I30:I39" si="1">E30+H30</f>
        <v>0</v>
      </c>
      <c r="J30" s="374">
        <f>IF(NOT($I30=0),VLOOKUP($AA30,'LOCK_ME - Page10 - Lookups'!$G$48:$N$81,8,FALSE),0)</f>
        <v>0</v>
      </c>
      <c r="K30" s="374">
        <f>IF(NOT(H30=0),'LOCK_ME - Page10 - Lookups'!$N$85,0)</f>
        <v>0</v>
      </c>
      <c r="L30" s="432">
        <f>J30*E30+H30*K30</f>
        <v>0</v>
      </c>
      <c r="M30" s="799">
        <f>VLOOKUP($AA$3,'LOCK_ME - Page10 - Lookups'!$C$89:$H$91,3,FALSE)*$L30</f>
        <v>0</v>
      </c>
      <c r="N30" s="799">
        <f>VLOOKUP($AA$3,'LOCK_ME - Page10 - Lookups'!$C$89:$H$91,5,FALSE)*$L30</f>
        <v>0</v>
      </c>
      <c r="O30" s="799">
        <f>VLOOKUP($AA$3,'LOCK_ME - Page10 - Lookups'!$C$89:$J$91,7,FALSE)*E30*F30*J30</f>
        <v>0</v>
      </c>
      <c r="P30" s="799">
        <f>VLOOKUP($AA$3,'LOCK_ME - Page10 - Lookups'!$C$89:$J$91,8,FALSE)*O30</f>
        <v>0</v>
      </c>
      <c r="Q30" s="1239">
        <f>VLOOKUP($AA$3,'LOCK_ME - Page10 - Lookups'!$C$89:$H$91,4,FALSE)*($L30+O30)</f>
        <v>0</v>
      </c>
      <c r="R30" s="384">
        <f>ROUND(SUM(L30:Q30),2)</f>
        <v>0</v>
      </c>
      <c r="S30" s="799">
        <f t="shared" ref="S30:S39" si="2">ROUND(IF($AA$5="No",$R$18*$R30,$R$20*$R30),2)</f>
        <v>0</v>
      </c>
      <c r="T30" s="482"/>
      <c r="U30" s="799">
        <f t="shared" ref="U30:U39" si="3">T30*($R$18+$R$20)</f>
        <v>0</v>
      </c>
      <c r="V30" s="432">
        <f>ROUND(SUM(R30:U30),2)</f>
        <v>0</v>
      </c>
      <c r="W30" s="840"/>
      <c r="X30" s="1098"/>
      <c r="Y30" s="1098"/>
      <c r="Z30" s="993">
        <f>IF($G30&gt;0,VLOOKUP($C30,'LOCK_ME - Page10 - Lookups'!$B$10:$E$43,4,FALSE),0)</f>
        <v>0</v>
      </c>
      <c r="AA30" s="1067" t="str">
        <f t="shared" ref="AA30:AA39" si="4">CONCATENATE(C30,G30)</f>
        <v>0</v>
      </c>
      <c r="AB30" s="1068"/>
      <c r="AC30" s="1068"/>
      <c r="AD30" s="1068"/>
      <c r="AE30" s="1068"/>
      <c r="AF30" s="216"/>
      <c r="AG30" s="216"/>
      <c r="AH30" s="216"/>
      <c r="AI30" s="216"/>
    </row>
    <row r="31" spans="2:35" s="141" customFormat="1" ht="28.5" customHeight="1" x14ac:dyDescent="0.2">
      <c r="B31" s="372">
        <f>B30+1</f>
        <v>2</v>
      </c>
      <c r="C31" s="1672"/>
      <c r="D31" s="1672"/>
      <c r="E31" s="641"/>
      <c r="F31" s="643">
        <v>0</v>
      </c>
      <c r="G31" s="377">
        <f>(IF(NOT($E31=0),VLOOKUP(C31,'LOCK_ME - Page10 - Lookups'!$B$10:$D$43,3,FALSE),0))</f>
        <v>0</v>
      </c>
      <c r="H31" s="642">
        <f t="shared" ref="H31:H39" si="5">ROUND(E31/8,2)</f>
        <v>0</v>
      </c>
      <c r="I31" s="376">
        <f t="shared" si="1"/>
        <v>0</v>
      </c>
      <c r="J31" s="375">
        <f>IF(NOT($I31=0),VLOOKUP($AA31,'LOCK_ME - Page10 - Lookups'!$G$48:$N$81,8,FALSE),0)</f>
        <v>0</v>
      </c>
      <c r="K31" s="375">
        <f>IF(NOT(H31=0),'LOCK_ME - Page10 - Lookups'!$N$85,0)</f>
        <v>0</v>
      </c>
      <c r="L31" s="433">
        <f t="shared" ref="L31:L39" si="6">J31*E31+H31*K31</f>
        <v>0</v>
      </c>
      <c r="M31" s="388">
        <f>VLOOKUP($AA$3,'LOCK_ME - Page10 - Lookups'!$C$89:$H$91,3,FALSE)*$L31</f>
        <v>0</v>
      </c>
      <c r="N31" s="800">
        <f>VLOOKUP($AA$3,'LOCK_ME - Page10 - Lookups'!$C$89:$H$91,5,FALSE)*$L31</f>
        <v>0</v>
      </c>
      <c r="O31" s="800">
        <f>VLOOKUP($AA$3,'LOCK_ME - Page10 - Lookups'!$C$89:$J$91,7,FALSE)*E31*F31*J31</f>
        <v>0</v>
      </c>
      <c r="P31" s="800">
        <f>VLOOKUP($AA$3,'LOCK_ME - Page10 - Lookups'!$C$89:$J$91,8,FALSE)*O31</f>
        <v>0</v>
      </c>
      <c r="Q31" s="1238">
        <f>VLOOKUP($AA$3,'LOCK_ME - Page10 - Lookups'!$C$89:$H$91,4,FALSE)*($L31+O31)</f>
        <v>0</v>
      </c>
      <c r="R31" s="385">
        <f t="shared" ref="R31:R39" si="7">ROUND(SUM(L31:Q31),2)</f>
        <v>0</v>
      </c>
      <c r="S31" s="800">
        <f t="shared" si="2"/>
        <v>0</v>
      </c>
      <c r="T31" s="483"/>
      <c r="U31" s="800">
        <f t="shared" si="3"/>
        <v>0</v>
      </c>
      <c r="V31" s="433">
        <f t="shared" ref="V31:V39" si="8">ROUND(SUM(R31:U31),2)</f>
        <v>0</v>
      </c>
      <c r="W31" s="470"/>
      <c r="X31" s="1099"/>
      <c r="Y31" s="1099"/>
      <c r="Z31" s="993">
        <f>IF($G31&gt;0,VLOOKUP($C31,'LOCK_ME - Page10 - Lookups'!$B$10:$E$43,4,FALSE),0)</f>
        <v>0</v>
      </c>
      <c r="AA31" s="1067" t="str">
        <f t="shared" si="4"/>
        <v>0</v>
      </c>
      <c r="AB31" s="1068"/>
      <c r="AC31" s="1068"/>
      <c r="AD31" s="1068"/>
      <c r="AE31" s="1068"/>
      <c r="AF31" s="216"/>
      <c r="AG31" s="216"/>
      <c r="AH31" s="216"/>
      <c r="AI31" s="216"/>
    </row>
    <row r="32" spans="2:35" s="141" customFormat="1" ht="28.5" customHeight="1" x14ac:dyDescent="0.2">
      <c r="B32" s="372">
        <f t="shared" ref="B32:B39" si="9">B31+1</f>
        <v>3</v>
      </c>
      <c r="C32" s="1672"/>
      <c r="D32" s="1672"/>
      <c r="E32" s="641"/>
      <c r="F32" s="643">
        <v>0</v>
      </c>
      <c r="G32" s="377">
        <f>(IF(NOT($E32=0),VLOOKUP(C32,'LOCK_ME - Page10 - Lookups'!$B$10:$D$43,3,FALSE),0))</f>
        <v>0</v>
      </c>
      <c r="H32" s="642">
        <f t="shared" si="5"/>
        <v>0</v>
      </c>
      <c r="I32" s="376">
        <f t="shared" si="1"/>
        <v>0</v>
      </c>
      <c r="J32" s="375">
        <f>IF(NOT($I32=0),VLOOKUP($AA32,'LOCK_ME - Page10 - Lookups'!$G$48:$N$81,8,FALSE),0)</f>
        <v>0</v>
      </c>
      <c r="K32" s="375">
        <f>IF(NOT(H32=0),'LOCK_ME - Page10 - Lookups'!$N$85,0)</f>
        <v>0</v>
      </c>
      <c r="L32" s="433">
        <f t="shared" si="6"/>
        <v>0</v>
      </c>
      <c r="M32" s="388">
        <f>VLOOKUP($AA$3,'LOCK_ME - Page10 - Lookups'!$C$89:$H$91,3,FALSE)*$L32</f>
        <v>0</v>
      </c>
      <c r="N32" s="800">
        <f>VLOOKUP($AA$3,'LOCK_ME - Page10 - Lookups'!$C$89:$H$91,5,FALSE)*$L32</f>
        <v>0</v>
      </c>
      <c r="O32" s="800">
        <f>VLOOKUP($AA$3,'LOCK_ME - Page10 - Lookups'!$C$89:$J$91,7,FALSE)*E32*F32*J32</f>
        <v>0</v>
      </c>
      <c r="P32" s="800">
        <f>VLOOKUP($AA$3,'LOCK_ME - Page10 - Lookups'!$C$89:$J$91,8,FALSE)*O32</f>
        <v>0</v>
      </c>
      <c r="Q32" s="1238">
        <f>VLOOKUP($AA$3,'LOCK_ME - Page10 - Lookups'!$C$89:$H$91,4,FALSE)*($L32+O32)</f>
        <v>0</v>
      </c>
      <c r="R32" s="385">
        <f t="shared" si="7"/>
        <v>0</v>
      </c>
      <c r="S32" s="800">
        <f t="shared" si="2"/>
        <v>0</v>
      </c>
      <c r="T32" s="483"/>
      <c r="U32" s="800">
        <f t="shared" si="3"/>
        <v>0</v>
      </c>
      <c r="V32" s="433">
        <f t="shared" si="8"/>
        <v>0</v>
      </c>
      <c r="W32" s="470"/>
      <c r="X32" s="1099"/>
      <c r="Y32" s="1099"/>
      <c r="Z32" s="993">
        <f>IF($G32&gt;0,VLOOKUP($C32,'LOCK_ME - Page10 - Lookups'!$B$10:$E$43,4,FALSE),0)</f>
        <v>0</v>
      </c>
      <c r="AA32" s="1067" t="str">
        <f t="shared" si="4"/>
        <v>0</v>
      </c>
      <c r="AB32" s="1068"/>
      <c r="AC32" s="1068"/>
      <c r="AD32" s="1068"/>
      <c r="AE32" s="1068"/>
      <c r="AF32" s="216"/>
      <c r="AG32" s="216"/>
      <c r="AH32" s="216"/>
      <c r="AI32" s="216"/>
    </row>
    <row r="33" spans="2:35" s="141" customFormat="1" ht="28.5" customHeight="1" x14ac:dyDescent="0.2">
      <c r="B33" s="372">
        <f t="shared" si="9"/>
        <v>4</v>
      </c>
      <c r="C33" s="1672"/>
      <c r="D33" s="1672"/>
      <c r="E33" s="641"/>
      <c r="F33" s="643">
        <v>0</v>
      </c>
      <c r="G33" s="377">
        <f>(IF(NOT($E33=0),VLOOKUP(C33,'LOCK_ME - Page10 - Lookups'!$B$10:$D$43,3,FALSE),0))</f>
        <v>0</v>
      </c>
      <c r="H33" s="642">
        <f t="shared" si="5"/>
        <v>0</v>
      </c>
      <c r="I33" s="376">
        <f t="shared" si="1"/>
        <v>0</v>
      </c>
      <c r="J33" s="375">
        <f>IF(NOT($I33=0),VLOOKUP($AA33,'LOCK_ME - Page10 - Lookups'!$G$48:$N$81,8,FALSE),0)</f>
        <v>0</v>
      </c>
      <c r="K33" s="375">
        <f>IF(NOT(H33=0),'LOCK_ME - Page10 - Lookups'!$N$85,0)</f>
        <v>0</v>
      </c>
      <c r="L33" s="433">
        <f t="shared" si="6"/>
        <v>0</v>
      </c>
      <c r="M33" s="388">
        <f>VLOOKUP($AA$3,'LOCK_ME - Page10 - Lookups'!$C$89:$H$91,3,FALSE)*$L33</f>
        <v>0</v>
      </c>
      <c r="N33" s="800">
        <f>VLOOKUP($AA$3,'LOCK_ME - Page10 - Lookups'!$C$89:$H$91,5,FALSE)*$L33</f>
        <v>0</v>
      </c>
      <c r="O33" s="800">
        <f>VLOOKUP($AA$3,'LOCK_ME - Page10 - Lookups'!$C$89:$J$91,7,FALSE)*E33*F33*J33</f>
        <v>0</v>
      </c>
      <c r="P33" s="800">
        <f>VLOOKUP($AA$3,'LOCK_ME - Page10 - Lookups'!$C$89:$J$91,8,FALSE)*O33</f>
        <v>0</v>
      </c>
      <c r="Q33" s="1238">
        <f>VLOOKUP($AA$3,'LOCK_ME - Page10 - Lookups'!$C$89:$H$91,4,FALSE)*($L33+O33)</f>
        <v>0</v>
      </c>
      <c r="R33" s="385">
        <f t="shared" si="7"/>
        <v>0</v>
      </c>
      <c r="S33" s="800">
        <f t="shared" si="2"/>
        <v>0</v>
      </c>
      <c r="T33" s="483"/>
      <c r="U33" s="800">
        <f t="shared" si="3"/>
        <v>0</v>
      </c>
      <c r="V33" s="433">
        <f>ROUND(SUM(R33:U33),2)</f>
        <v>0</v>
      </c>
      <c r="W33" s="470"/>
      <c r="X33" s="1099"/>
      <c r="Y33" s="1099"/>
      <c r="Z33" s="993">
        <f>IF($G33&gt;0,VLOOKUP($C33,'LOCK_ME - Page10 - Lookups'!$B$10:$E$43,4,FALSE),0)</f>
        <v>0</v>
      </c>
      <c r="AA33" s="1067" t="str">
        <f t="shared" si="4"/>
        <v>0</v>
      </c>
      <c r="AB33" s="1068"/>
      <c r="AC33" s="1068"/>
      <c r="AD33" s="1068"/>
      <c r="AE33" s="1068"/>
      <c r="AF33" s="216"/>
      <c r="AG33" s="216"/>
      <c r="AH33" s="216"/>
      <c r="AI33" s="216"/>
    </row>
    <row r="34" spans="2:35" s="141" customFormat="1" ht="28.5" customHeight="1" x14ac:dyDescent="0.2">
      <c r="B34" s="372">
        <f t="shared" si="9"/>
        <v>5</v>
      </c>
      <c r="C34" s="1672"/>
      <c r="D34" s="1672"/>
      <c r="E34" s="641"/>
      <c r="F34" s="643">
        <v>0</v>
      </c>
      <c r="G34" s="377">
        <f>(IF(NOT($E34=0),VLOOKUP(C34,'LOCK_ME - Page10 - Lookups'!$B$10:$D$43,3,FALSE),0))</f>
        <v>0</v>
      </c>
      <c r="H34" s="642">
        <f t="shared" si="5"/>
        <v>0</v>
      </c>
      <c r="I34" s="376">
        <f t="shared" si="1"/>
        <v>0</v>
      </c>
      <c r="J34" s="375">
        <f>IF(NOT($I34=0),VLOOKUP($AA34,'LOCK_ME - Page10 - Lookups'!$G$48:$N$81,8,FALSE),0)</f>
        <v>0</v>
      </c>
      <c r="K34" s="375">
        <f>IF(NOT(H34=0),'LOCK_ME - Page10 - Lookups'!$N$85,0)</f>
        <v>0</v>
      </c>
      <c r="L34" s="433">
        <f t="shared" si="6"/>
        <v>0</v>
      </c>
      <c r="M34" s="388">
        <f>VLOOKUP($AA$3,'LOCK_ME - Page10 - Lookups'!$C$89:$H$91,3,FALSE)*$L34</f>
        <v>0</v>
      </c>
      <c r="N34" s="800">
        <f>VLOOKUP($AA$3,'LOCK_ME - Page10 - Lookups'!$C$89:$H$91,5,FALSE)*$L34</f>
        <v>0</v>
      </c>
      <c r="O34" s="800">
        <f>VLOOKUP($AA$3,'LOCK_ME - Page10 - Lookups'!$C$89:$J$91,7,FALSE)*E34*F34*J34</f>
        <v>0</v>
      </c>
      <c r="P34" s="800">
        <f>VLOOKUP($AA$3,'LOCK_ME - Page10 - Lookups'!$C$89:$J$91,8,FALSE)*O34</f>
        <v>0</v>
      </c>
      <c r="Q34" s="1238">
        <f>VLOOKUP($AA$3,'LOCK_ME - Page10 - Lookups'!$C$89:$H$91,4,FALSE)*($L34+O34)</f>
        <v>0</v>
      </c>
      <c r="R34" s="385">
        <f t="shared" si="7"/>
        <v>0</v>
      </c>
      <c r="S34" s="800">
        <f t="shared" si="2"/>
        <v>0</v>
      </c>
      <c r="T34" s="483"/>
      <c r="U34" s="800">
        <f t="shared" si="3"/>
        <v>0</v>
      </c>
      <c r="V34" s="433">
        <f t="shared" si="8"/>
        <v>0</v>
      </c>
      <c r="W34" s="470"/>
      <c r="X34" s="1099"/>
      <c r="Y34" s="1099"/>
      <c r="Z34" s="993">
        <f>IF($G34&gt;0,VLOOKUP($C34,'LOCK_ME - Page10 - Lookups'!$B$10:$E$43,4,FALSE),0)</f>
        <v>0</v>
      </c>
      <c r="AA34" s="1067" t="str">
        <f t="shared" si="4"/>
        <v>0</v>
      </c>
      <c r="AB34" s="1068"/>
      <c r="AC34" s="1068"/>
      <c r="AD34" s="1068"/>
      <c r="AE34" s="1068"/>
      <c r="AF34" s="216"/>
      <c r="AG34" s="216"/>
      <c r="AH34" s="216"/>
      <c r="AI34" s="216"/>
    </row>
    <row r="35" spans="2:35" s="141" customFormat="1" ht="28.5" customHeight="1" x14ac:dyDescent="0.2">
      <c r="B35" s="372">
        <f t="shared" si="9"/>
        <v>6</v>
      </c>
      <c r="C35" s="1672"/>
      <c r="D35" s="1672"/>
      <c r="E35" s="641"/>
      <c r="F35" s="643">
        <v>0</v>
      </c>
      <c r="G35" s="377">
        <f>(IF(NOT($E35=0),VLOOKUP(C35,'LOCK_ME - Page10 - Lookups'!$B$10:$D$43,3,FALSE),0))</f>
        <v>0</v>
      </c>
      <c r="H35" s="642">
        <f t="shared" si="5"/>
        <v>0</v>
      </c>
      <c r="I35" s="376">
        <f t="shared" si="1"/>
        <v>0</v>
      </c>
      <c r="J35" s="375">
        <f>IF(NOT($I35=0),VLOOKUP($AA35,'LOCK_ME - Page10 - Lookups'!$G$48:$N$81,8,FALSE),0)</f>
        <v>0</v>
      </c>
      <c r="K35" s="375">
        <f>IF(NOT(H35=0),'LOCK_ME - Page10 - Lookups'!$N$85,0)</f>
        <v>0</v>
      </c>
      <c r="L35" s="433">
        <f t="shared" si="6"/>
        <v>0</v>
      </c>
      <c r="M35" s="388">
        <f>VLOOKUP($AA$3,'LOCK_ME - Page10 - Lookups'!$C$89:$H$91,3,FALSE)*$L35</f>
        <v>0</v>
      </c>
      <c r="N35" s="800">
        <f>VLOOKUP($AA$3,'LOCK_ME - Page10 - Lookups'!$C$89:$H$91,5,FALSE)*$L35</f>
        <v>0</v>
      </c>
      <c r="O35" s="800">
        <f>VLOOKUP($AA$3,'LOCK_ME - Page10 - Lookups'!$C$89:$J$91,7,FALSE)*E35*F35*J35</f>
        <v>0</v>
      </c>
      <c r="P35" s="800">
        <f>VLOOKUP($AA$3,'LOCK_ME - Page10 - Lookups'!$C$89:$J$91,8,FALSE)*O35</f>
        <v>0</v>
      </c>
      <c r="Q35" s="1238">
        <f>VLOOKUP($AA$3,'LOCK_ME - Page10 - Lookups'!$C$89:$H$91,4,FALSE)*($L35+O35)</f>
        <v>0</v>
      </c>
      <c r="R35" s="385">
        <f t="shared" si="7"/>
        <v>0</v>
      </c>
      <c r="S35" s="800">
        <f t="shared" si="2"/>
        <v>0</v>
      </c>
      <c r="T35" s="483"/>
      <c r="U35" s="800">
        <f t="shared" si="3"/>
        <v>0</v>
      </c>
      <c r="V35" s="433">
        <f t="shared" si="8"/>
        <v>0</v>
      </c>
      <c r="W35" s="470"/>
      <c r="X35" s="1099"/>
      <c r="Y35" s="1099"/>
      <c r="Z35" s="993">
        <f>IF($G35&gt;0,VLOOKUP($C35,'LOCK_ME - Page10 - Lookups'!$B$10:$E$43,4,FALSE),0)</f>
        <v>0</v>
      </c>
      <c r="AA35" s="1067" t="str">
        <f t="shared" si="4"/>
        <v>0</v>
      </c>
      <c r="AB35" s="1068"/>
      <c r="AC35" s="1068"/>
      <c r="AD35" s="1068"/>
      <c r="AE35" s="1068"/>
      <c r="AF35" s="216"/>
      <c r="AG35" s="216"/>
      <c r="AH35" s="216"/>
      <c r="AI35" s="216"/>
    </row>
    <row r="36" spans="2:35" s="141" customFormat="1" ht="28.5" customHeight="1" x14ac:dyDescent="0.2">
      <c r="B36" s="372">
        <f t="shared" si="9"/>
        <v>7</v>
      </c>
      <c r="C36" s="1672"/>
      <c r="D36" s="1672"/>
      <c r="E36" s="641"/>
      <c r="F36" s="643">
        <v>0</v>
      </c>
      <c r="G36" s="377">
        <f>(IF(NOT($E36=0),VLOOKUP(C36,'LOCK_ME - Page10 - Lookups'!$B$10:$D$43,3,FALSE),0))</f>
        <v>0</v>
      </c>
      <c r="H36" s="642">
        <f t="shared" si="5"/>
        <v>0</v>
      </c>
      <c r="I36" s="376">
        <f t="shared" si="1"/>
        <v>0</v>
      </c>
      <c r="J36" s="375">
        <f>IF(NOT($I36=0),VLOOKUP($AA36,'LOCK_ME - Page10 - Lookups'!$G$48:$N$81,8,FALSE),0)</f>
        <v>0</v>
      </c>
      <c r="K36" s="375">
        <f>IF(NOT(H36=0),'LOCK_ME - Page10 - Lookups'!$N$85,0)</f>
        <v>0</v>
      </c>
      <c r="L36" s="433">
        <f t="shared" si="6"/>
        <v>0</v>
      </c>
      <c r="M36" s="388">
        <f>VLOOKUP($AA$3,'LOCK_ME - Page10 - Lookups'!$C$89:$H$91,3,FALSE)*$L36</f>
        <v>0</v>
      </c>
      <c r="N36" s="800">
        <f>VLOOKUP($AA$3,'LOCK_ME - Page10 - Lookups'!$C$89:$H$91,5,FALSE)*$L36</f>
        <v>0</v>
      </c>
      <c r="O36" s="800">
        <f>VLOOKUP($AA$3,'LOCK_ME - Page10 - Lookups'!$C$89:$J$91,7,FALSE)*E36*F36*J36</f>
        <v>0</v>
      </c>
      <c r="P36" s="800">
        <f>VLOOKUP($AA$3,'LOCK_ME - Page10 - Lookups'!$C$89:$J$91,8,FALSE)*O36</f>
        <v>0</v>
      </c>
      <c r="Q36" s="1238">
        <f>VLOOKUP($AA$3,'LOCK_ME - Page10 - Lookups'!$C$89:$H$91,4,FALSE)*($L36+O36)</f>
        <v>0</v>
      </c>
      <c r="R36" s="385">
        <f t="shared" si="7"/>
        <v>0</v>
      </c>
      <c r="S36" s="800">
        <f t="shared" si="2"/>
        <v>0</v>
      </c>
      <c r="T36" s="483"/>
      <c r="U36" s="800">
        <f t="shared" si="3"/>
        <v>0</v>
      </c>
      <c r="V36" s="433">
        <f t="shared" si="8"/>
        <v>0</v>
      </c>
      <c r="W36" s="470"/>
      <c r="X36" s="1099"/>
      <c r="Y36" s="1099"/>
      <c r="Z36" s="993">
        <f>IF($G36&gt;0,VLOOKUP($C36,'LOCK_ME - Page10 - Lookups'!$B$10:$E$43,4,FALSE),0)</f>
        <v>0</v>
      </c>
      <c r="AA36" s="1067" t="str">
        <f t="shared" si="4"/>
        <v>0</v>
      </c>
      <c r="AB36" s="1068"/>
      <c r="AC36" s="1068"/>
      <c r="AD36" s="1068"/>
      <c r="AE36" s="1068"/>
      <c r="AF36" s="216"/>
      <c r="AG36" s="216"/>
      <c r="AH36" s="216"/>
      <c r="AI36" s="216"/>
    </row>
    <row r="37" spans="2:35" s="141" customFormat="1" ht="28.5" customHeight="1" x14ac:dyDescent="0.2">
      <c r="B37" s="372">
        <f t="shared" si="9"/>
        <v>8</v>
      </c>
      <c r="C37" s="1672"/>
      <c r="D37" s="1672"/>
      <c r="E37" s="641"/>
      <c r="F37" s="643">
        <v>0</v>
      </c>
      <c r="G37" s="377">
        <f>(IF(NOT($E37=0),VLOOKUP(C37,'LOCK_ME - Page10 - Lookups'!$B$10:$D$43,3,FALSE),0))</f>
        <v>0</v>
      </c>
      <c r="H37" s="642">
        <f t="shared" si="5"/>
        <v>0</v>
      </c>
      <c r="I37" s="376">
        <f t="shared" si="1"/>
        <v>0</v>
      </c>
      <c r="J37" s="375">
        <f>IF(NOT($I37=0),VLOOKUP($AA37,'LOCK_ME - Page10 - Lookups'!$G$48:$N$81,8,FALSE),0)</f>
        <v>0</v>
      </c>
      <c r="K37" s="375">
        <f>IF(NOT(H37=0),'LOCK_ME - Page10 - Lookups'!$N$85,0)</f>
        <v>0</v>
      </c>
      <c r="L37" s="433">
        <f t="shared" si="6"/>
        <v>0</v>
      </c>
      <c r="M37" s="388">
        <f>VLOOKUP($AA$3,'LOCK_ME - Page10 - Lookups'!$C$89:$H$91,3,FALSE)*$L37</f>
        <v>0</v>
      </c>
      <c r="N37" s="800">
        <f>VLOOKUP($AA$3,'LOCK_ME - Page10 - Lookups'!$C$89:$H$91,5,FALSE)*$L37</f>
        <v>0</v>
      </c>
      <c r="O37" s="800">
        <f>VLOOKUP($AA$3,'LOCK_ME - Page10 - Lookups'!$C$89:$J$91,7,FALSE)*E37*F37*J37</f>
        <v>0</v>
      </c>
      <c r="P37" s="800">
        <f>VLOOKUP($AA$3,'LOCK_ME - Page10 - Lookups'!$C$89:$J$91,8,FALSE)*O37</f>
        <v>0</v>
      </c>
      <c r="Q37" s="1238">
        <f>VLOOKUP($AA$3,'LOCK_ME - Page10 - Lookups'!$C$89:$H$91,4,FALSE)*($L37+O37)</f>
        <v>0</v>
      </c>
      <c r="R37" s="385">
        <f t="shared" si="7"/>
        <v>0</v>
      </c>
      <c r="S37" s="800">
        <f t="shared" si="2"/>
        <v>0</v>
      </c>
      <c r="T37" s="483"/>
      <c r="U37" s="800">
        <f t="shared" si="3"/>
        <v>0</v>
      </c>
      <c r="V37" s="433">
        <f t="shared" si="8"/>
        <v>0</v>
      </c>
      <c r="W37" s="470"/>
      <c r="X37" s="1099"/>
      <c r="Y37" s="1099"/>
      <c r="Z37" s="993">
        <f>IF($G37&gt;0,VLOOKUP($C37,'LOCK_ME - Page10 - Lookups'!$B$10:$E$43,4,FALSE),0)</f>
        <v>0</v>
      </c>
      <c r="AA37" s="1067" t="str">
        <f t="shared" si="4"/>
        <v>0</v>
      </c>
      <c r="AB37" s="1068"/>
      <c r="AC37" s="1068"/>
      <c r="AD37" s="1068"/>
      <c r="AE37" s="1068"/>
      <c r="AF37" s="216"/>
      <c r="AG37" s="216"/>
      <c r="AH37" s="216"/>
      <c r="AI37" s="216"/>
    </row>
    <row r="38" spans="2:35" s="141" customFormat="1" ht="28.5" customHeight="1" x14ac:dyDescent="0.2">
      <c r="B38" s="372">
        <f t="shared" si="9"/>
        <v>9</v>
      </c>
      <c r="C38" s="1672"/>
      <c r="D38" s="1672"/>
      <c r="E38" s="641"/>
      <c r="F38" s="643">
        <v>0</v>
      </c>
      <c r="G38" s="377">
        <f>(IF(NOT($E38=0),VLOOKUP(C38,'LOCK_ME - Page10 - Lookups'!$B$10:$D$43,3,FALSE),0))</f>
        <v>0</v>
      </c>
      <c r="H38" s="642">
        <f t="shared" si="5"/>
        <v>0</v>
      </c>
      <c r="I38" s="376">
        <f t="shared" si="1"/>
        <v>0</v>
      </c>
      <c r="J38" s="375">
        <f>IF(NOT($I38=0),VLOOKUP($AA38,'LOCK_ME - Page10 - Lookups'!$G$48:$N$81,8,FALSE),0)</f>
        <v>0</v>
      </c>
      <c r="K38" s="375">
        <f>IF(NOT(H38=0),'LOCK_ME - Page10 - Lookups'!$N$85,0)</f>
        <v>0</v>
      </c>
      <c r="L38" s="433">
        <f t="shared" si="6"/>
        <v>0</v>
      </c>
      <c r="M38" s="388">
        <f>VLOOKUP($AA$3,'LOCK_ME - Page10 - Lookups'!$C$89:$H$91,3,FALSE)*$L38</f>
        <v>0</v>
      </c>
      <c r="N38" s="800">
        <f>VLOOKUP($AA$3,'LOCK_ME - Page10 - Lookups'!$C$89:$H$91,5,FALSE)*$L38</f>
        <v>0</v>
      </c>
      <c r="O38" s="800">
        <f>VLOOKUP($AA$3,'LOCK_ME - Page10 - Lookups'!$C$89:$J$91,7,FALSE)*E38*F38*J38</f>
        <v>0</v>
      </c>
      <c r="P38" s="800">
        <f>VLOOKUP($AA$3,'LOCK_ME - Page10 - Lookups'!$C$89:$J$91,8,FALSE)*O38</f>
        <v>0</v>
      </c>
      <c r="Q38" s="1238">
        <f>VLOOKUP($AA$3,'LOCK_ME - Page10 - Lookups'!$C$89:$H$91,4,FALSE)*($L38+O38)</f>
        <v>0</v>
      </c>
      <c r="R38" s="385">
        <f t="shared" si="7"/>
        <v>0</v>
      </c>
      <c r="S38" s="800">
        <f t="shared" si="2"/>
        <v>0</v>
      </c>
      <c r="T38" s="483"/>
      <c r="U38" s="800">
        <f t="shared" si="3"/>
        <v>0</v>
      </c>
      <c r="V38" s="433">
        <f t="shared" si="8"/>
        <v>0</v>
      </c>
      <c r="W38" s="470"/>
      <c r="X38" s="1099"/>
      <c r="Y38" s="1099"/>
      <c r="Z38" s="993">
        <f>IF($G38&gt;0,VLOOKUP($C38,'LOCK_ME - Page10 - Lookups'!$B$10:$E$43,4,FALSE),0)</f>
        <v>0</v>
      </c>
      <c r="AA38" s="1067" t="str">
        <f t="shared" si="4"/>
        <v>0</v>
      </c>
      <c r="AB38" s="1068"/>
      <c r="AC38" s="1068"/>
      <c r="AD38" s="1068"/>
      <c r="AE38" s="1068"/>
      <c r="AF38" s="216"/>
      <c r="AG38" s="216"/>
      <c r="AH38" s="216"/>
      <c r="AI38" s="216"/>
    </row>
    <row r="39" spans="2:35" s="141" customFormat="1" ht="28.5" customHeight="1" x14ac:dyDescent="0.2">
      <c r="B39" s="372">
        <f t="shared" si="9"/>
        <v>10</v>
      </c>
      <c r="C39" s="1672"/>
      <c r="D39" s="1672"/>
      <c r="E39" s="641"/>
      <c r="F39" s="643">
        <v>0</v>
      </c>
      <c r="G39" s="377">
        <f>(IF(NOT($E39=0),VLOOKUP(C39,'LOCK_ME - Page10 - Lookups'!$B$10:$D$43,3,FALSE),0))</f>
        <v>0</v>
      </c>
      <c r="H39" s="642">
        <f t="shared" si="5"/>
        <v>0</v>
      </c>
      <c r="I39" s="376">
        <f t="shared" si="1"/>
        <v>0</v>
      </c>
      <c r="J39" s="375">
        <f>IF(NOT($I39=0),VLOOKUP($AA39,'LOCK_ME - Page10 - Lookups'!$G$48:$N$81,8,FALSE),0)</f>
        <v>0</v>
      </c>
      <c r="K39" s="375">
        <f>IF(NOT(H39=0),'LOCK_ME - Page10 - Lookups'!$N$85,0)</f>
        <v>0</v>
      </c>
      <c r="L39" s="433">
        <f t="shared" si="6"/>
        <v>0</v>
      </c>
      <c r="M39" s="388">
        <f>VLOOKUP($AA$3,'LOCK_ME - Page10 - Lookups'!$C$89:$H$91,3,FALSE)*$L39</f>
        <v>0</v>
      </c>
      <c r="N39" s="800">
        <f>VLOOKUP($AA$3,'LOCK_ME - Page10 - Lookups'!$C$89:$H$91,5,FALSE)*$L39</f>
        <v>0</v>
      </c>
      <c r="O39" s="800">
        <f>VLOOKUP($AA$3,'LOCK_ME - Page10 - Lookups'!$C$89:$J$91,7,FALSE)*E39*F39*J39</f>
        <v>0</v>
      </c>
      <c r="P39" s="800">
        <f>VLOOKUP($AA$3,'LOCK_ME - Page10 - Lookups'!$C$89:$J$91,8,FALSE)*O39</f>
        <v>0</v>
      </c>
      <c r="Q39" s="1238">
        <f>VLOOKUP($AA$3,'LOCK_ME - Page10 - Lookups'!$C$89:$H$91,4,FALSE)*($L39+O39)</f>
        <v>0</v>
      </c>
      <c r="R39" s="385">
        <f t="shared" si="7"/>
        <v>0</v>
      </c>
      <c r="S39" s="800">
        <f t="shared" si="2"/>
        <v>0</v>
      </c>
      <c r="T39" s="483"/>
      <c r="U39" s="800">
        <f t="shared" si="3"/>
        <v>0</v>
      </c>
      <c r="V39" s="433">
        <f t="shared" si="8"/>
        <v>0</v>
      </c>
      <c r="W39" s="470"/>
      <c r="X39" s="1099"/>
      <c r="Y39" s="1099"/>
      <c r="Z39" s="993">
        <f>IF($G39&gt;0,VLOOKUP($C39,'LOCK_ME - Page10 - Lookups'!$B$10:$E$43,4,FALSE),0)</f>
        <v>0</v>
      </c>
      <c r="AA39" s="1067" t="str">
        <f t="shared" si="4"/>
        <v>0</v>
      </c>
      <c r="AB39" s="1068"/>
      <c r="AC39" s="1068"/>
      <c r="AD39" s="1068"/>
      <c r="AE39" s="1068"/>
      <c r="AF39" s="216"/>
      <c r="AG39" s="216"/>
      <c r="AH39" s="216"/>
      <c r="AI39" s="216"/>
    </row>
    <row r="40" spans="2:35" s="381" customFormat="1" ht="15" customHeight="1" thickBot="1" x14ac:dyDescent="0.25">
      <c r="B40" s="1696" t="s">
        <v>324</v>
      </c>
      <c r="C40" s="1697"/>
      <c r="D40" s="1698"/>
      <c r="E40" s="640">
        <f>SUM(E30:E39)</f>
        <v>0</v>
      </c>
      <c r="F40" s="382"/>
      <c r="G40" s="382"/>
      <c r="H40" s="593">
        <f>SUM(H30:H39)</f>
        <v>0</v>
      </c>
      <c r="I40" s="593">
        <f>SUM(I30:I39)</f>
        <v>0</v>
      </c>
      <c r="J40" s="804">
        <f>IF(NOT($I$40=0),SUMPRODUCT(J$30:J$39,$I$30:$I$39)/$I$40,0)</f>
        <v>0</v>
      </c>
      <c r="K40" s="804">
        <f>IF(NOT($I$40=0),SUMPRODUCT(K$30:K$39,$I$30:$I$39)/$I$40,0)</f>
        <v>0</v>
      </c>
      <c r="L40" s="434">
        <f>SUM(L30:L39)</f>
        <v>0</v>
      </c>
      <c r="M40" s="434">
        <f t="shared" ref="M40" si="10">SUM(M30:M39)</f>
        <v>0</v>
      </c>
      <c r="N40" s="434">
        <f>SUM(N30:N39)</f>
        <v>0</v>
      </c>
      <c r="O40" s="434">
        <f>SUM(O30:O39)</f>
        <v>0</v>
      </c>
      <c r="P40" s="434">
        <f>SUM(P30:P39)</f>
        <v>0</v>
      </c>
      <c r="Q40" s="434">
        <f>SUM(Q30:Q39)</f>
        <v>0</v>
      </c>
      <c r="R40" s="804">
        <f>IF(NOT($I$40=0),SUMPRODUCT(R$30:R$39,$I$30:$I$39)/$I$40,0)</f>
        <v>0</v>
      </c>
      <c r="S40" s="804">
        <f>IF(NOT($I$40=0),SUMPRODUCT(S$30:S$39,$I$30:$I$39)/$I$40,0)</f>
        <v>0</v>
      </c>
      <c r="T40" s="434">
        <f>SUM(T30:T39)</f>
        <v>0</v>
      </c>
      <c r="U40" s="434">
        <f>SUM(U30:U39)</f>
        <v>0</v>
      </c>
      <c r="V40" s="434">
        <f>SUM(V30:V39)</f>
        <v>0</v>
      </c>
      <c r="W40" s="468"/>
      <c r="X40" s="1100"/>
      <c r="Y40" s="1100"/>
      <c r="Z40" s="1069"/>
      <c r="AA40" s="1069"/>
      <c r="AB40" s="1069"/>
      <c r="AC40" s="1069"/>
      <c r="AD40" s="1069"/>
      <c r="AE40" s="1069"/>
      <c r="AF40" s="380"/>
      <c r="AG40" s="380"/>
      <c r="AH40" s="380"/>
      <c r="AI40" s="380"/>
    </row>
    <row r="41" spans="2:35" s="141" customFormat="1" ht="9" customHeight="1" x14ac:dyDescent="0.25">
      <c r="B41" s="203"/>
      <c r="C41" s="202"/>
      <c r="F41" s="369"/>
      <c r="G41" s="370"/>
      <c r="I41" s="472"/>
      <c r="J41" s="472"/>
      <c r="K41" s="472"/>
      <c r="L41" s="472"/>
      <c r="M41" s="472"/>
      <c r="N41" s="472"/>
      <c r="O41" s="472"/>
      <c r="P41" s="472"/>
      <c r="Q41" s="216"/>
      <c r="R41" s="574"/>
      <c r="S41" s="216"/>
      <c r="T41" s="216"/>
      <c r="U41" s="216"/>
      <c r="V41" s="219"/>
      <c r="W41" s="219"/>
      <c r="X41" s="994"/>
      <c r="Y41" s="994"/>
      <c r="Z41" s="992"/>
      <c r="AA41" s="992"/>
      <c r="AB41" s="992"/>
      <c r="AC41" s="992"/>
      <c r="AD41" s="992"/>
      <c r="AE41" s="992"/>
      <c r="AF41" s="463"/>
      <c r="AG41" s="216"/>
      <c r="AH41" s="216"/>
      <c r="AI41" s="216"/>
    </row>
    <row r="42" spans="2:35" x14ac:dyDescent="0.2">
      <c r="B42" s="575"/>
      <c r="C42" s="1670" t="s">
        <v>30</v>
      </c>
      <c r="D42" s="1670"/>
      <c r="E42" s="1670"/>
      <c r="F42" s="1670"/>
      <c r="G42" s="1670"/>
      <c r="H42" s="1562" t="s">
        <v>608</v>
      </c>
      <c r="I42" s="1562"/>
      <c r="J42" s="1625" t="s">
        <v>538</v>
      </c>
      <c r="K42" s="1625"/>
      <c r="L42" s="1625"/>
      <c r="M42" s="1625"/>
      <c r="N42" s="1625"/>
      <c r="O42" s="1625"/>
      <c r="P42" s="1625"/>
      <c r="S42" s="34"/>
      <c r="T42" s="34"/>
      <c r="U42" s="34"/>
      <c r="V42" s="254"/>
      <c r="W42" s="254"/>
      <c r="Y42" s="937"/>
      <c r="Z42" s="1070" t="s">
        <v>56</v>
      </c>
      <c r="AA42" s="1070" t="s">
        <v>486</v>
      </c>
      <c r="AB42" s="1070" t="s">
        <v>136</v>
      </c>
      <c r="AC42" s="1061"/>
      <c r="AD42" s="1061"/>
      <c r="AE42" s="1061"/>
      <c r="AF42" s="594"/>
      <c r="AG42" s="52"/>
      <c r="AH42" s="52"/>
      <c r="AI42" s="52"/>
    </row>
    <row r="43" spans="2:35" x14ac:dyDescent="0.2">
      <c r="B43" s="576">
        <v>1</v>
      </c>
      <c r="C43" s="1679" t="s">
        <v>508</v>
      </c>
      <c r="D43" s="1679"/>
      <c r="E43" s="1679"/>
      <c r="F43" s="1679"/>
      <c r="G43" s="1679"/>
      <c r="H43" s="1561"/>
      <c r="I43" s="1561"/>
      <c r="J43" s="1550"/>
      <c r="K43" s="1551"/>
      <c r="L43" s="1551"/>
      <c r="M43" s="1551"/>
      <c r="N43" s="1551"/>
      <c r="O43" s="1551"/>
      <c r="P43" s="1552"/>
      <c r="S43" s="34"/>
      <c r="T43" s="34"/>
      <c r="U43" s="34"/>
      <c r="V43" s="34"/>
      <c r="Z43" s="1070">
        <f>ROUND(H43,2)</f>
        <v>0</v>
      </c>
      <c r="AA43" s="1070">
        <f>ROUND($Z43*($R$18+$R$20),2)</f>
        <v>0</v>
      </c>
      <c r="AB43" s="1070">
        <f>Z43+AA43</f>
        <v>0</v>
      </c>
      <c r="AC43" s="1061"/>
      <c r="AD43" s="1061"/>
      <c r="AE43" s="1061"/>
      <c r="AF43" s="595"/>
      <c r="AG43" s="52"/>
      <c r="AH43" s="52"/>
      <c r="AI43" s="52"/>
    </row>
    <row r="44" spans="2:35" x14ac:dyDescent="0.2">
      <c r="B44" s="576">
        <f t="shared" ref="B44:B50" si="11">B43+1</f>
        <v>2</v>
      </c>
      <c r="C44" s="1669" t="s">
        <v>325</v>
      </c>
      <c r="D44" s="1669"/>
      <c r="E44" s="1669"/>
      <c r="F44" s="1669"/>
      <c r="G44" s="1669"/>
      <c r="H44" s="1561"/>
      <c r="I44" s="1561"/>
      <c r="J44" s="1550"/>
      <c r="K44" s="1551"/>
      <c r="L44" s="1551"/>
      <c r="M44" s="1551"/>
      <c r="N44" s="1551"/>
      <c r="O44" s="1551"/>
      <c r="P44" s="1552"/>
      <c r="S44" s="34"/>
      <c r="T44" s="34"/>
      <c r="U44" s="34"/>
      <c r="V44" s="34"/>
      <c r="Z44" s="1070">
        <f t="shared" ref="Z44:Z47" si="12">ROUND(H44,2)</f>
        <v>0</v>
      </c>
      <c r="AA44" s="1070">
        <f>ROUND($Z44*($R$18+$R$20),2)</f>
        <v>0</v>
      </c>
      <c r="AB44" s="1070">
        <f t="shared" ref="AB44:AB48" si="13">Z44+AA44</f>
        <v>0</v>
      </c>
      <c r="AC44" s="1061"/>
      <c r="AD44" s="1061"/>
      <c r="AE44" s="1061"/>
      <c r="AF44" s="595"/>
      <c r="AG44" s="52"/>
      <c r="AH44" s="52"/>
      <c r="AI44" s="52"/>
    </row>
    <row r="45" spans="2:35" x14ac:dyDescent="0.2">
      <c r="B45" s="576">
        <f t="shared" si="11"/>
        <v>3</v>
      </c>
      <c r="C45" s="1669" t="s">
        <v>325</v>
      </c>
      <c r="D45" s="1669"/>
      <c r="E45" s="1669"/>
      <c r="F45" s="1669"/>
      <c r="G45" s="1669"/>
      <c r="H45" s="1561"/>
      <c r="I45" s="1561"/>
      <c r="J45" s="1550"/>
      <c r="K45" s="1551"/>
      <c r="L45" s="1551"/>
      <c r="M45" s="1551"/>
      <c r="N45" s="1551"/>
      <c r="O45" s="1551"/>
      <c r="P45" s="1552"/>
      <c r="S45" s="34"/>
      <c r="T45" s="34"/>
      <c r="U45" s="34"/>
      <c r="V45" s="34"/>
      <c r="Z45" s="1070">
        <f t="shared" si="12"/>
        <v>0</v>
      </c>
      <c r="AA45" s="1070">
        <f>ROUND($Z45*($R$18+$R$20),2)</f>
        <v>0</v>
      </c>
      <c r="AB45" s="1070">
        <f t="shared" si="13"/>
        <v>0</v>
      </c>
      <c r="AC45" s="1061"/>
      <c r="AD45" s="1061"/>
      <c r="AE45" s="1061"/>
      <c r="AF45" s="595"/>
      <c r="AG45" s="52"/>
      <c r="AH45" s="52"/>
      <c r="AI45" s="52"/>
    </row>
    <row r="46" spans="2:35" x14ac:dyDescent="0.2">
      <c r="B46" s="576">
        <f t="shared" si="11"/>
        <v>4</v>
      </c>
      <c r="C46" s="1669" t="s">
        <v>325</v>
      </c>
      <c r="D46" s="1669"/>
      <c r="E46" s="1669"/>
      <c r="F46" s="1669"/>
      <c r="G46" s="1669"/>
      <c r="H46" s="1561"/>
      <c r="I46" s="1561"/>
      <c r="J46" s="1550"/>
      <c r="K46" s="1551"/>
      <c r="L46" s="1551"/>
      <c r="M46" s="1551"/>
      <c r="N46" s="1551"/>
      <c r="O46" s="1551"/>
      <c r="P46" s="1552"/>
      <c r="S46" s="34"/>
      <c r="T46" s="34"/>
      <c r="U46" s="34"/>
      <c r="V46" s="34"/>
      <c r="Z46" s="1070">
        <f t="shared" si="12"/>
        <v>0</v>
      </c>
      <c r="AA46" s="1070">
        <f>ROUND($Z46*($R$18+$R$20),2)</f>
        <v>0</v>
      </c>
      <c r="AB46" s="1070">
        <f t="shared" si="13"/>
        <v>0</v>
      </c>
      <c r="AC46" s="1061"/>
      <c r="AD46" s="1061"/>
      <c r="AE46" s="1061"/>
      <c r="AF46" s="595"/>
      <c r="AG46" s="52"/>
      <c r="AH46" s="52"/>
      <c r="AI46" s="52"/>
    </row>
    <row r="47" spans="2:35" ht="14.25" customHeight="1" x14ac:dyDescent="0.2">
      <c r="B47" s="576">
        <f t="shared" si="11"/>
        <v>5</v>
      </c>
      <c r="C47" s="1669" t="s">
        <v>325</v>
      </c>
      <c r="D47" s="1669"/>
      <c r="E47" s="1669"/>
      <c r="F47" s="1669"/>
      <c r="G47" s="1669"/>
      <c r="H47" s="1561"/>
      <c r="I47" s="1561"/>
      <c r="J47" s="1550"/>
      <c r="K47" s="1551"/>
      <c r="L47" s="1551"/>
      <c r="M47" s="1551"/>
      <c r="N47" s="1551"/>
      <c r="O47" s="1551"/>
      <c r="P47" s="1552"/>
      <c r="S47" s="34"/>
      <c r="T47" s="34"/>
      <c r="U47" s="34"/>
      <c r="V47" s="34"/>
      <c r="Z47" s="1070">
        <f t="shared" si="12"/>
        <v>0</v>
      </c>
      <c r="AA47" s="1070">
        <f>ROUND($Z47*($R$18+$R$20),2)</f>
        <v>0</v>
      </c>
      <c r="AB47" s="1070">
        <f t="shared" si="13"/>
        <v>0</v>
      </c>
      <c r="AC47" s="1061"/>
      <c r="AD47" s="1061"/>
      <c r="AE47" s="1061"/>
      <c r="AF47" s="595"/>
      <c r="AG47" s="52"/>
      <c r="AH47" s="52"/>
      <c r="AI47" s="52"/>
    </row>
    <row r="48" spans="2:35" s="55" customFormat="1" ht="14.25" customHeight="1" thickBot="1" x14ac:dyDescent="0.25">
      <c r="B48" s="576">
        <f t="shared" si="11"/>
        <v>6</v>
      </c>
      <c r="C48" s="1699" t="s">
        <v>498</v>
      </c>
      <c r="D48" s="1699"/>
      <c r="E48" s="1699"/>
      <c r="F48" s="1699"/>
      <c r="G48" s="1699"/>
      <c r="H48" s="1609">
        <f>Z48</f>
        <v>0</v>
      </c>
      <c r="I48" s="1609"/>
      <c r="J48" s="1550"/>
      <c r="K48" s="1551"/>
      <c r="L48" s="1551"/>
      <c r="M48" s="1551"/>
      <c r="N48" s="1551"/>
      <c r="O48" s="1551"/>
      <c r="P48" s="1552"/>
      <c r="W48" s="386"/>
      <c r="X48" s="1101"/>
      <c r="Y48" s="1102"/>
      <c r="Z48" s="1103">
        <f>SUM(Z43:Z47)</f>
        <v>0</v>
      </c>
      <c r="AA48" s="1103">
        <f>SUM(AA43:AA47)</f>
        <v>0</v>
      </c>
      <c r="AB48" s="1103">
        <f t="shared" si="13"/>
        <v>0</v>
      </c>
      <c r="AC48" s="1061"/>
      <c r="AD48" s="1061"/>
      <c r="AE48" s="1061"/>
      <c r="AF48" s="596"/>
      <c r="AG48" s="386"/>
      <c r="AH48" s="386"/>
      <c r="AI48" s="386"/>
    </row>
    <row r="49" spans="1:35" s="55" customFormat="1" ht="14.25" customHeight="1" thickTop="1" x14ac:dyDescent="0.2">
      <c r="B49" s="576">
        <f t="shared" si="11"/>
        <v>7</v>
      </c>
      <c r="C49" s="1702" t="s">
        <v>54</v>
      </c>
      <c r="D49" s="1702"/>
      <c r="E49" s="1702"/>
      <c r="F49" s="1702"/>
      <c r="G49" s="1702"/>
      <c r="H49" s="1575">
        <f>AA48</f>
        <v>0</v>
      </c>
      <c r="I49" s="1575"/>
      <c r="J49" s="1550"/>
      <c r="K49" s="1551"/>
      <c r="L49" s="1551"/>
      <c r="M49" s="1551"/>
      <c r="N49" s="1551"/>
      <c r="O49" s="1551"/>
      <c r="P49" s="1552"/>
      <c r="W49" s="386"/>
      <c r="X49" s="1101"/>
      <c r="Y49" s="1102"/>
      <c r="Z49" s="1104"/>
      <c r="AA49" s="992"/>
      <c r="AB49" s="992"/>
      <c r="AC49" s="992"/>
      <c r="AD49" s="992"/>
      <c r="AE49" s="992"/>
      <c r="AF49" s="468"/>
      <c r="AG49" s="386"/>
      <c r="AH49" s="386"/>
      <c r="AI49" s="386"/>
    </row>
    <row r="50" spans="1:35" s="55" customFormat="1" ht="14.25" customHeight="1" x14ac:dyDescent="0.2">
      <c r="B50" s="576">
        <f t="shared" si="11"/>
        <v>8</v>
      </c>
      <c r="C50" s="1668" t="s">
        <v>329</v>
      </c>
      <c r="D50" s="1668"/>
      <c r="E50" s="1668"/>
      <c r="F50" s="1668"/>
      <c r="G50" s="1668"/>
      <c r="H50" s="1609">
        <f>H48+H49</f>
        <v>0</v>
      </c>
      <c r="I50" s="1609"/>
      <c r="J50" s="1550"/>
      <c r="K50" s="1551"/>
      <c r="L50" s="1551"/>
      <c r="M50" s="1551"/>
      <c r="N50" s="1551"/>
      <c r="O50" s="1551"/>
      <c r="P50" s="1552"/>
      <c r="W50" s="386"/>
      <c r="X50" s="1101"/>
      <c r="Y50" s="1102"/>
      <c r="Z50" s="1104"/>
      <c r="AA50" s="992"/>
      <c r="AB50" s="992"/>
      <c r="AC50" s="992"/>
      <c r="AD50" s="992"/>
      <c r="AE50" s="992"/>
      <c r="AF50" s="468"/>
      <c r="AG50" s="386"/>
      <c r="AH50" s="386"/>
      <c r="AI50" s="386"/>
    </row>
    <row r="51" spans="1:35" s="272" customFormat="1" ht="9" customHeight="1" x14ac:dyDescent="0.2">
      <c r="B51" s="577"/>
      <c r="C51" s="577"/>
      <c r="D51" s="577"/>
      <c r="E51" s="577"/>
      <c r="F51" s="577"/>
      <c r="G51" s="577"/>
      <c r="H51" s="578"/>
      <c r="I51" s="219"/>
      <c r="J51" s="577"/>
      <c r="K51" s="219"/>
      <c r="L51" s="219"/>
      <c r="O51" s="557"/>
      <c r="P51" s="443"/>
      <c r="W51" s="254"/>
      <c r="X51" s="937"/>
      <c r="Y51" s="937"/>
      <c r="Z51" s="1104"/>
      <c r="AA51" s="992"/>
      <c r="AB51" s="992"/>
      <c r="AC51" s="992"/>
      <c r="AD51" s="992"/>
      <c r="AE51" s="992"/>
      <c r="AF51" s="52"/>
      <c r="AG51" s="254"/>
      <c r="AH51" s="254"/>
      <c r="AI51" s="254"/>
    </row>
    <row r="52" spans="1:35" s="272" customFormat="1" ht="14.25" customHeight="1" x14ac:dyDescent="0.2">
      <c r="B52" s="577"/>
      <c r="C52" s="1670" t="s">
        <v>480</v>
      </c>
      <c r="D52" s="1670"/>
      <c r="E52" s="1670"/>
      <c r="F52" s="1670"/>
      <c r="G52" s="1670"/>
      <c r="H52" s="1562" t="s">
        <v>608</v>
      </c>
      <c r="I52" s="1562"/>
      <c r="J52" s="1625" t="s">
        <v>538</v>
      </c>
      <c r="K52" s="1625"/>
      <c r="L52" s="1625"/>
      <c r="M52" s="1625"/>
      <c r="N52" s="1625"/>
      <c r="O52" s="1625"/>
      <c r="P52" s="1625"/>
      <c r="W52" s="254"/>
      <c r="X52" s="937"/>
      <c r="Y52" s="937"/>
      <c r="Z52" s="1070" t="s">
        <v>485</v>
      </c>
      <c r="AA52" s="994"/>
      <c r="AB52" s="994"/>
      <c r="AC52" s="994"/>
      <c r="AD52" s="994"/>
      <c r="AE52" s="994"/>
      <c r="AF52" s="52"/>
      <c r="AG52" s="254"/>
      <c r="AH52" s="254"/>
      <c r="AI52" s="254"/>
    </row>
    <row r="53" spans="1:35" s="272" customFormat="1" ht="14.25" customHeight="1" x14ac:dyDescent="0.2">
      <c r="B53" s="576">
        <f>B50+1</f>
        <v>9</v>
      </c>
      <c r="C53" s="1669" t="s">
        <v>479</v>
      </c>
      <c r="D53" s="1669"/>
      <c r="E53" s="1669"/>
      <c r="F53" s="1669"/>
      <c r="G53" s="1669"/>
      <c r="H53" s="1561"/>
      <c r="I53" s="1561"/>
      <c r="J53" s="1550"/>
      <c r="K53" s="1551"/>
      <c r="L53" s="1551"/>
      <c r="M53" s="1551"/>
      <c r="N53" s="1551"/>
      <c r="O53" s="1551"/>
      <c r="P53" s="1552"/>
      <c r="W53" s="254"/>
      <c r="X53" s="937"/>
      <c r="Y53" s="937"/>
      <c r="Z53" s="1070">
        <f>ROUND(H53,2)</f>
        <v>0</v>
      </c>
      <c r="AA53" s="994"/>
      <c r="AB53" s="994"/>
      <c r="AC53" s="994"/>
      <c r="AD53" s="994"/>
      <c r="AE53" s="994"/>
      <c r="AF53" s="52"/>
      <c r="AG53" s="254"/>
      <c r="AH53" s="254"/>
      <c r="AI53" s="254"/>
    </row>
    <row r="54" spans="1:35" s="272" customFormat="1" ht="14.25" customHeight="1" x14ac:dyDescent="0.2">
      <c r="B54" s="576">
        <f t="shared" ref="B54:B56" si="14">B53+1</f>
        <v>10</v>
      </c>
      <c r="C54" s="1669" t="s">
        <v>479</v>
      </c>
      <c r="D54" s="1669"/>
      <c r="E54" s="1669"/>
      <c r="F54" s="1669"/>
      <c r="G54" s="1669"/>
      <c r="H54" s="1561">
        <v>0</v>
      </c>
      <c r="I54" s="1561"/>
      <c r="J54" s="1550"/>
      <c r="K54" s="1551"/>
      <c r="L54" s="1551"/>
      <c r="M54" s="1551"/>
      <c r="N54" s="1551"/>
      <c r="O54" s="1551"/>
      <c r="P54" s="1552"/>
      <c r="W54" s="254"/>
      <c r="X54" s="937"/>
      <c r="Y54" s="937"/>
      <c r="Z54" s="1070">
        <f t="shared" ref="Z54:Z55" si="15">ROUND(H54,2)</f>
        <v>0</v>
      </c>
      <c r="AA54" s="994"/>
      <c r="AB54" s="994"/>
      <c r="AC54" s="994"/>
      <c r="AD54" s="994"/>
      <c r="AE54" s="994"/>
      <c r="AF54" s="52"/>
      <c r="AG54" s="254"/>
      <c r="AH54" s="254"/>
      <c r="AI54" s="254"/>
    </row>
    <row r="55" spans="1:35" s="272" customFormat="1" ht="14.25" customHeight="1" x14ac:dyDescent="0.2">
      <c r="B55" s="576">
        <f t="shared" si="14"/>
        <v>11</v>
      </c>
      <c r="C55" s="1669" t="s">
        <v>479</v>
      </c>
      <c r="D55" s="1669"/>
      <c r="E55" s="1669"/>
      <c r="F55" s="1669"/>
      <c r="G55" s="1669"/>
      <c r="H55" s="1561"/>
      <c r="I55" s="1561"/>
      <c r="J55" s="1550"/>
      <c r="K55" s="1551"/>
      <c r="L55" s="1551"/>
      <c r="M55" s="1551"/>
      <c r="N55" s="1551"/>
      <c r="O55" s="1551"/>
      <c r="P55" s="1552"/>
      <c r="W55" s="254"/>
      <c r="X55" s="937"/>
      <c r="Y55" s="937"/>
      <c r="Z55" s="1070">
        <f t="shared" si="15"/>
        <v>0</v>
      </c>
      <c r="AA55" s="994"/>
      <c r="AB55" s="994"/>
      <c r="AC55" s="994"/>
      <c r="AD55" s="994"/>
      <c r="AE55" s="994"/>
      <c r="AF55" s="52"/>
      <c r="AG55" s="254"/>
      <c r="AH55" s="254"/>
      <c r="AI55" s="254"/>
    </row>
    <row r="56" spans="1:35" s="272" customFormat="1" ht="14.25" customHeight="1" x14ac:dyDescent="0.2">
      <c r="B56" s="576">
        <f t="shared" si="14"/>
        <v>12</v>
      </c>
      <c r="C56" s="1699" t="s">
        <v>499</v>
      </c>
      <c r="D56" s="1699"/>
      <c r="E56" s="1699"/>
      <c r="F56" s="1699"/>
      <c r="G56" s="1699"/>
      <c r="H56" s="1609">
        <f>Z56</f>
        <v>0</v>
      </c>
      <c r="I56" s="1609"/>
      <c r="J56" s="577"/>
      <c r="K56" s="202"/>
      <c r="L56" s="202"/>
      <c r="O56" s="557"/>
      <c r="P56" s="443"/>
      <c r="W56" s="254"/>
      <c r="X56" s="937"/>
      <c r="Y56" s="937"/>
      <c r="Z56" s="1070">
        <f>SUM(Z53:Z55)</f>
        <v>0</v>
      </c>
      <c r="AA56" s="994"/>
      <c r="AB56" s="994"/>
      <c r="AC56" s="994"/>
      <c r="AD56" s="994"/>
      <c r="AE56" s="994"/>
      <c r="AF56" s="52"/>
      <c r="AG56" s="254"/>
      <c r="AH56" s="254"/>
      <c r="AI56" s="254"/>
    </row>
    <row r="57" spans="1:35" s="272" customFormat="1" ht="9" customHeight="1" x14ac:dyDescent="0.2">
      <c r="B57" s="577"/>
      <c r="C57" s="577"/>
      <c r="D57" s="577"/>
      <c r="E57" s="577"/>
      <c r="F57" s="577"/>
      <c r="G57" s="577"/>
      <c r="H57" s="578"/>
      <c r="I57" s="219"/>
      <c r="J57" s="577"/>
      <c r="K57" s="202"/>
      <c r="L57" s="202"/>
      <c r="O57" s="557"/>
      <c r="P57" s="443"/>
      <c r="W57" s="254"/>
      <c r="X57" s="937"/>
      <c r="Y57" s="937"/>
      <c r="Z57" s="1104"/>
      <c r="AA57" s="994"/>
      <c r="AB57" s="994"/>
      <c r="AC57" s="994"/>
      <c r="AD57" s="994"/>
      <c r="AE57" s="994"/>
      <c r="AF57" s="52"/>
      <c r="AG57" s="254"/>
      <c r="AH57" s="254"/>
      <c r="AI57" s="254"/>
    </row>
    <row r="58" spans="1:35" ht="15.75" customHeight="1" x14ac:dyDescent="0.25">
      <c r="A58" s="52"/>
      <c r="B58" s="576">
        <f>B56+1</f>
        <v>13</v>
      </c>
      <c r="C58" s="863" t="s">
        <v>517</v>
      </c>
      <c r="D58" s="864"/>
      <c r="E58" s="864"/>
      <c r="F58" s="864"/>
      <c r="G58" s="865"/>
      <c r="H58" s="1648">
        <f>H50+V40+H56</f>
        <v>0</v>
      </c>
      <c r="I58" s="1648"/>
      <c r="J58" s="1550"/>
      <c r="K58" s="1551"/>
      <c r="L58" s="1551"/>
      <c r="M58" s="1551"/>
      <c r="N58" s="1551"/>
      <c r="O58" s="1551"/>
      <c r="P58" s="1552"/>
      <c r="R58" s="34"/>
      <c r="S58" s="34"/>
      <c r="T58" s="34"/>
      <c r="U58" s="34"/>
      <c r="V58" s="34"/>
      <c r="Z58" s="1104"/>
      <c r="AF58" s="52"/>
      <c r="AG58" s="52"/>
      <c r="AH58" s="52"/>
      <c r="AI58" s="52"/>
    </row>
    <row r="59" spans="1:35" ht="9" customHeight="1" x14ac:dyDescent="0.2">
      <c r="A59" s="52"/>
      <c r="B59" s="216"/>
      <c r="C59" s="216"/>
      <c r="D59" s="216"/>
      <c r="E59" s="216"/>
      <c r="F59" s="216"/>
      <c r="G59" s="216"/>
      <c r="H59" s="216"/>
      <c r="I59" s="216"/>
      <c r="J59" s="216"/>
      <c r="K59" s="141"/>
      <c r="L59" s="141"/>
      <c r="M59" s="34"/>
      <c r="N59" s="34"/>
      <c r="O59" s="557"/>
      <c r="R59" s="34"/>
      <c r="S59" s="34"/>
      <c r="T59" s="34"/>
      <c r="U59" s="34"/>
      <c r="V59" s="34"/>
      <c r="AF59" s="52"/>
      <c r="AG59" s="52"/>
      <c r="AH59" s="52"/>
      <c r="AI59" s="52"/>
    </row>
    <row r="60" spans="1:35" ht="13.5" customHeight="1" x14ac:dyDescent="0.2">
      <c r="A60" s="52"/>
      <c r="C60" s="1670"/>
      <c r="D60" s="1670"/>
      <c r="E60" s="1670"/>
      <c r="F60" s="1670"/>
      <c r="G60" s="1670"/>
      <c r="H60" s="1562" t="s">
        <v>608</v>
      </c>
      <c r="I60" s="1562"/>
      <c r="J60" s="216"/>
      <c r="K60" s="141"/>
      <c r="L60" s="141"/>
      <c r="M60" s="34"/>
      <c r="N60" s="34"/>
      <c r="O60" s="557"/>
      <c r="R60" s="34"/>
      <c r="S60" s="34"/>
      <c r="T60" s="34"/>
      <c r="U60" s="34"/>
      <c r="V60" s="34"/>
      <c r="AF60" s="52"/>
      <c r="AG60" s="52"/>
      <c r="AH60" s="52"/>
      <c r="AI60" s="52"/>
    </row>
    <row r="61" spans="1:35" ht="13.5" customHeight="1" x14ac:dyDescent="0.2">
      <c r="A61" s="52"/>
      <c r="B61" s="576">
        <f>B58+1</f>
        <v>14</v>
      </c>
      <c r="C61" s="1647" t="s">
        <v>834</v>
      </c>
      <c r="D61" s="1647"/>
      <c r="E61" s="1647"/>
      <c r="F61" s="1647"/>
      <c r="G61" s="1647"/>
      <c r="H61" s="1561"/>
      <c r="I61" s="1561"/>
      <c r="J61" s="1550"/>
      <c r="K61" s="1551"/>
      <c r="L61" s="1551"/>
      <c r="M61" s="1551"/>
      <c r="N61" s="1551"/>
      <c r="O61" s="1551"/>
      <c r="P61" s="1552"/>
      <c r="R61" s="34"/>
      <c r="S61" s="34"/>
      <c r="T61" s="34"/>
      <c r="U61" s="34"/>
      <c r="V61" s="34"/>
      <c r="AF61" s="52"/>
      <c r="AG61" s="52"/>
      <c r="AH61" s="52"/>
      <c r="AI61" s="52"/>
    </row>
    <row r="62" spans="1:35" s="52" customFormat="1" ht="9" customHeight="1" x14ac:dyDescent="0.2">
      <c r="B62" s="742"/>
      <c r="C62" s="221"/>
      <c r="D62" s="221"/>
      <c r="E62" s="221"/>
      <c r="F62" s="221"/>
      <c r="G62" s="221"/>
      <c r="H62" s="586"/>
      <c r="I62" s="586"/>
      <c r="J62" s="815"/>
      <c r="K62" s="815"/>
      <c r="L62" s="815"/>
      <c r="M62" s="815"/>
      <c r="N62" s="815"/>
      <c r="O62" s="815"/>
      <c r="P62" s="815"/>
      <c r="X62" s="937"/>
      <c r="Y62" s="1003"/>
      <c r="Z62" s="992"/>
      <c r="AA62" s="992"/>
      <c r="AB62" s="992"/>
      <c r="AC62" s="992"/>
      <c r="AD62" s="992"/>
      <c r="AE62" s="992"/>
    </row>
    <row r="63" spans="1:35" ht="13.5" hidden="1" customHeight="1" x14ac:dyDescent="0.25">
      <c r="B63" s="1700" t="s">
        <v>518</v>
      </c>
      <c r="C63" s="1700"/>
      <c r="D63" s="1700"/>
      <c r="E63" s="1700"/>
      <c r="F63" s="1700"/>
      <c r="G63" s="1700"/>
      <c r="H63" s="1701">
        <f>H58+H61</f>
        <v>0</v>
      </c>
      <c r="I63" s="1701"/>
      <c r="J63" s="216"/>
      <c r="K63" s="141"/>
      <c r="L63" s="141"/>
      <c r="M63" s="34"/>
      <c r="N63" s="34"/>
      <c r="O63" s="557"/>
      <c r="R63" s="34"/>
      <c r="S63" s="34"/>
      <c r="T63" s="34"/>
      <c r="U63" s="34"/>
      <c r="V63" s="34"/>
      <c r="AF63" s="52"/>
      <c r="AG63" s="52"/>
      <c r="AH63" s="52"/>
      <c r="AI63" s="52"/>
    </row>
    <row r="64" spans="1:35" ht="9" hidden="1" customHeight="1" x14ac:dyDescent="0.2">
      <c r="B64" s="216"/>
      <c r="C64" s="216"/>
      <c r="D64" s="216"/>
      <c r="E64" s="216"/>
      <c r="F64" s="216"/>
      <c r="G64" s="216"/>
      <c r="H64" s="216"/>
      <c r="I64" s="216"/>
      <c r="J64" s="216"/>
      <c r="K64" s="141"/>
      <c r="L64" s="141"/>
      <c r="M64" s="34"/>
      <c r="N64" s="34"/>
      <c r="O64" s="557"/>
      <c r="R64" s="34"/>
      <c r="S64" s="34"/>
      <c r="T64" s="34"/>
      <c r="U64" s="34"/>
      <c r="V64" s="34"/>
      <c r="AF64" s="52"/>
      <c r="AG64" s="52"/>
      <c r="AH64" s="52"/>
      <c r="AI64" s="52"/>
    </row>
    <row r="65" spans="1:35" x14ac:dyDescent="0.2">
      <c r="B65" s="216"/>
      <c r="C65" s="216"/>
      <c r="D65" s="216"/>
      <c r="E65" s="216"/>
      <c r="F65" s="216"/>
      <c r="G65" s="216"/>
      <c r="H65" s="1599" t="s">
        <v>194</v>
      </c>
      <c r="I65" s="1600"/>
      <c r="J65" s="216"/>
      <c r="K65" s="141"/>
      <c r="L65" s="141"/>
      <c r="M65" s="34"/>
      <c r="N65" s="1599" t="s">
        <v>665</v>
      </c>
      <c r="O65" s="1600"/>
      <c r="P65" s="743" t="s">
        <v>666</v>
      </c>
      <c r="R65" s="34"/>
      <c r="S65" s="34"/>
      <c r="T65" s="34"/>
      <c r="U65" s="34"/>
      <c r="V65" s="34"/>
      <c r="AF65" s="52"/>
      <c r="AG65" s="52"/>
      <c r="AH65" s="52"/>
      <c r="AI65" s="52"/>
    </row>
    <row r="66" spans="1:35" ht="26.25" customHeight="1" x14ac:dyDescent="0.2">
      <c r="C66" s="1622" t="s">
        <v>539</v>
      </c>
      <c r="D66" s="1623"/>
      <c r="E66" s="1623"/>
      <c r="F66" s="1623"/>
      <c r="G66" s="1623"/>
      <c r="H66" s="1623"/>
      <c r="I66" s="1624"/>
      <c r="J66" s="1524" t="s">
        <v>585</v>
      </c>
      <c r="K66" s="1524"/>
      <c r="L66" s="1524" t="s">
        <v>586</v>
      </c>
      <c r="M66" s="1524"/>
      <c r="N66" s="1524" t="s">
        <v>769</v>
      </c>
      <c r="O66" s="1524"/>
      <c r="P66" s="652" t="s">
        <v>487</v>
      </c>
      <c r="R66" s="34"/>
      <c r="S66" s="34"/>
      <c r="T66" s="34"/>
      <c r="U66" s="34"/>
      <c r="V66" s="34"/>
      <c r="AF66" s="52"/>
      <c r="AG66" s="52"/>
      <c r="AH66" s="52"/>
      <c r="AI66" s="52"/>
    </row>
    <row r="67" spans="1:35" ht="13.5" customHeight="1" x14ac:dyDescent="0.2">
      <c r="A67" s="52"/>
      <c r="B67" s="576">
        <f>B61+1</f>
        <v>15</v>
      </c>
      <c r="C67" s="1572" t="s">
        <v>543</v>
      </c>
      <c r="D67" s="1573"/>
      <c r="E67" s="1573"/>
      <c r="F67" s="1573"/>
      <c r="G67" s="1574"/>
      <c r="H67" s="1675">
        <f>Z43</f>
        <v>0</v>
      </c>
      <c r="I67" s="1676"/>
      <c r="J67" s="1525">
        <f>O77</f>
        <v>0</v>
      </c>
      <c r="K67" s="1525"/>
      <c r="L67" s="1534">
        <v>0</v>
      </c>
      <c r="M67" s="1534"/>
      <c r="N67" s="1525">
        <f>ROUND(J67*$E$80,2)</f>
        <v>0</v>
      </c>
      <c r="O67" s="1525"/>
      <c r="P67" s="653">
        <f>H67-N67</f>
        <v>0</v>
      </c>
      <c r="R67" s="34"/>
      <c r="S67" s="34"/>
      <c r="T67" s="34"/>
      <c r="U67" s="34"/>
      <c r="V67" s="34"/>
      <c r="AF67" s="52"/>
      <c r="AG67" s="52"/>
      <c r="AH67" s="52"/>
      <c r="AI67" s="52"/>
    </row>
    <row r="68" spans="1:35" ht="13.5" customHeight="1" x14ac:dyDescent="0.2">
      <c r="A68" s="52"/>
      <c r="B68" s="576">
        <f t="shared" ref="B68:B69" si="16">B67+1</f>
        <v>16</v>
      </c>
      <c r="C68" s="1572" t="s">
        <v>459</v>
      </c>
      <c r="D68" s="1573"/>
      <c r="E68" s="1573"/>
      <c r="F68" s="1573"/>
      <c r="G68" s="1574"/>
      <c r="H68" s="1675">
        <f>H63-H67</f>
        <v>0</v>
      </c>
      <c r="I68" s="1676"/>
      <c r="J68" s="1525">
        <f>K77</f>
        <v>0</v>
      </c>
      <c r="K68" s="1525"/>
      <c r="L68" s="1534">
        <f>M77</f>
        <v>0</v>
      </c>
      <c r="M68" s="1534"/>
      <c r="N68" s="1525">
        <f>ROUND(J68*$E$80,2)</f>
        <v>0</v>
      </c>
      <c r="O68" s="1525"/>
      <c r="P68" s="653">
        <f>H68-N68</f>
        <v>0</v>
      </c>
      <c r="R68" s="34"/>
      <c r="S68" s="34"/>
      <c r="T68" s="34"/>
      <c r="U68" s="34"/>
      <c r="V68" s="34"/>
      <c r="AF68" s="52"/>
      <c r="AG68" s="52"/>
      <c r="AH68" s="52"/>
      <c r="AI68" s="52"/>
    </row>
    <row r="69" spans="1:35" ht="13.5" customHeight="1" x14ac:dyDescent="0.25">
      <c r="A69" s="52"/>
      <c r="B69" s="576">
        <f t="shared" si="16"/>
        <v>17</v>
      </c>
      <c r="C69" s="1553" t="s">
        <v>518</v>
      </c>
      <c r="D69" s="1554"/>
      <c r="E69" s="1554"/>
      <c r="F69" s="1554"/>
      <c r="G69" s="1555"/>
      <c r="H69" s="1680">
        <f>SUM(H67:I68)</f>
        <v>0</v>
      </c>
      <c r="I69" s="1681"/>
      <c r="J69" s="1682">
        <f>SUM(J67:K68)</f>
        <v>0</v>
      </c>
      <c r="K69" s="1682"/>
      <c r="L69" s="1684">
        <f>SUM(L67:M68)</f>
        <v>0</v>
      </c>
      <c r="M69" s="1684"/>
      <c r="N69" s="1674">
        <f>SUM(N67:O68)</f>
        <v>0</v>
      </c>
      <c r="O69" s="1674"/>
      <c r="P69" s="654">
        <f>SUM(P67:P68)</f>
        <v>0</v>
      </c>
      <c r="R69" s="34"/>
      <c r="S69" s="34"/>
      <c r="T69" s="34"/>
      <c r="U69" s="34"/>
      <c r="V69" s="34"/>
      <c r="AF69" s="52"/>
      <c r="AG69" s="52"/>
      <c r="AH69" s="52"/>
      <c r="AI69" s="52"/>
    </row>
    <row r="70" spans="1:35" ht="15" customHeight="1" x14ac:dyDescent="0.2">
      <c r="B70" s="38"/>
      <c r="I70" s="647"/>
      <c r="L70" s="34"/>
      <c r="M70" s="34"/>
      <c r="N70" s="34"/>
      <c r="O70" s="496"/>
      <c r="Q70" s="186"/>
      <c r="R70" s="186"/>
      <c r="S70" s="186"/>
      <c r="T70" s="186"/>
      <c r="U70" s="186"/>
      <c r="AF70" s="52"/>
      <c r="AG70" s="52"/>
      <c r="AH70" s="52"/>
      <c r="AI70" s="52"/>
    </row>
    <row r="71" spans="1:35" ht="15" customHeight="1" x14ac:dyDescent="0.25">
      <c r="B71" s="1383" t="s">
        <v>542</v>
      </c>
      <c r="C71" s="1383"/>
      <c r="D71" s="1383"/>
      <c r="E71" s="1383"/>
      <c r="F71" s="1383"/>
      <c r="G71" s="1383"/>
      <c r="H71" s="1383"/>
      <c r="I71" s="1383"/>
      <c r="J71" s="1383"/>
      <c r="K71" s="1383"/>
      <c r="L71" s="1383"/>
      <c r="M71" s="1383"/>
      <c r="N71" s="1383"/>
      <c r="O71" s="1383"/>
      <c r="P71" s="1383"/>
      <c r="Q71" s="1383"/>
      <c r="R71" s="1383"/>
      <c r="S71" s="1383"/>
      <c r="T71" s="186"/>
      <c r="U71" s="186"/>
      <c r="AF71" s="52"/>
      <c r="AG71" s="52"/>
      <c r="AH71" s="52"/>
      <c r="AI71" s="52"/>
    </row>
    <row r="72" spans="1:35" ht="8.1" customHeight="1" x14ac:dyDescent="0.25">
      <c r="A72" s="52"/>
      <c r="B72" s="790"/>
      <c r="C72" s="790"/>
      <c r="D72" s="790"/>
      <c r="E72" s="790"/>
      <c r="F72" s="790"/>
      <c r="G72" s="790"/>
      <c r="H72" s="790"/>
      <c r="I72" s="790"/>
      <c r="J72" s="790"/>
      <c r="K72" s="790"/>
      <c r="L72" s="790"/>
      <c r="M72" s="790"/>
      <c r="N72" s="790"/>
      <c r="O72" s="790"/>
      <c r="P72" s="790"/>
      <c r="Q72" s="790"/>
      <c r="R72" s="790"/>
      <c r="S72" s="790"/>
      <c r="T72" s="186"/>
      <c r="U72" s="186"/>
      <c r="AF72" s="52"/>
      <c r="AG72" s="52"/>
      <c r="AH72" s="52"/>
      <c r="AI72" s="52"/>
    </row>
    <row r="73" spans="1:35" s="141" customFormat="1" ht="15" hidden="1" outlineLevel="1" x14ac:dyDescent="0.25">
      <c r="B73" s="609" t="s">
        <v>614</v>
      </c>
      <c r="L73" s="216"/>
      <c r="M73" s="478"/>
      <c r="N73" s="216"/>
      <c r="O73" s="216"/>
      <c r="P73" s="216"/>
      <c r="R73" s="219"/>
      <c r="S73" s="254"/>
      <c r="T73" s="216"/>
      <c r="V73" s="216"/>
      <c r="W73" s="216"/>
      <c r="X73" s="994"/>
      <c r="Y73" s="992"/>
      <c r="Z73" s="1075" t="s">
        <v>587</v>
      </c>
      <c r="AA73" s="1113">
        <f>PTPage7!E9</f>
        <v>41899</v>
      </c>
      <c r="AB73" s="994"/>
      <c r="AC73" s="992"/>
      <c r="AD73" s="992"/>
      <c r="AE73" s="994"/>
    </row>
    <row r="74" spans="1:35" s="141" customFormat="1" hidden="1" outlineLevel="1" x14ac:dyDescent="0.2">
      <c r="L74" s="216"/>
      <c r="M74" s="540"/>
      <c r="N74" s="219"/>
      <c r="O74" s="219"/>
      <c r="P74" s="219"/>
      <c r="R74" s="1678"/>
      <c r="S74" s="1678"/>
      <c r="T74" s="216"/>
      <c r="V74" s="216"/>
      <c r="W74" s="216"/>
      <c r="X74" s="994"/>
      <c r="Y74" s="992"/>
      <c r="Z74" s="1075" t="s">
        <v>596</v>
      </c>
      <c r="AA74" s="1076">
        <f>PTPage7!H9</f>
        <v>42079</v>
      </c>
      <c r="AB74" s="994"/>
      <c r="AC74" s="992" t="s">
        <v>599</v>
      </c>
      <c r="AD74" s="1074">
        <f>DATE(YEAR(AA73)+2,MONTH(AA73),DAY(AA73))-1</f>
        <v>42629</v>
      </c>
      <c r="AE74" s="994"/>
    </row>
    <row r="75" spans="1:35" s="141" customFormat="1" hidden="1" outlineLevel="1" x14ac:dyDescent="0.2">
      <c r="K75" s="1677" t="s">
        <v>588</v>
      </c>
      <c r="L75" s="1677"/>
      <c r="M75" s="1677"/>
      <c r="N75" s="1677"/>
      <c r="O75" s="1677" t="s">
        <v>367</v>
      </c>
      <c r="P75" s="1677"/>
      <c r="Q75" s="811"/>
      <c r="R75" s="811"/>
      <c r="S75" s="811"/>
      <c r="T75" s="216"/>
      <c r="V75" s="216"/>
      <c r="W75" s="216"/>
      <c r="X75" s="994"/>
      <c r="Y75" s="992"/>
      <c r="Z75" s="1077" t="s">
        <v>597</v>
      </c>
      <c r="AA75" s="1076">
        <f>PTPage7!N9</f>
        <v>0</v>
      </c>
      <c r="AB75" s="1074"/>
      <c r="AC75" s="992" t="s">
        <v>600</v>
      </c>
      <c r="AD75" s="1074">
        <f>AA73+916</f>
        <v>42815</v>
      </c>
      <c r="AE75" s="1074"/>
    </row>
    <row r="76" spans="1:35" s="140" customFormat="1" ht="25.5" hidden="1" outlineLevel="1" x14ac:dyDescent="0.2">
      <c r="F76" s="806"/>
      <c r="G76" s="1522" t="s">
        <v>610</v>
      </c>
      <c r="H76" s="1523"/>
      <c r="I76" s="1522" t="s">
        <v>611</v>
      </c>
      <c r="J76" s="1523"/>
      <c r="K76" s="805" t="s">
        <v>387</v>
      </c>
      <c r="L76" s="805" t="s">
        <v>388</v>
      </c>
      <c r="M76" s="805" t="s">
        <v>589</v>
      </c>
      <c r="N76" s="805" t="s">
        <v>590</v>
      </c>
      <c r="O76" s="805" t="s">
        <v>387</v>
      </c>
      <c r="P76" s="805" t="s">
        <v>388</v>
      </c>
      <c r="Q76" s="648"/>
      <c r="R76" s="1545"/>
      <c r="S76" s="1545"/>
      <c r="T76" s="286"/>
      <c r="V76" s="286"/>
      <c r="W76" s="286"/>
      <c r="X76" s="1002"/>
      <c r="Y76" s="1105"/>
      <c r="Z76" s="1077" t="s">
        <v>598</v>
      </c>
      <c r="AA76" s="1114">
        <f>IF(AA75&gt;AA74,AA75,AA74)</f>
        <v>42079</v>
      </c>
      <c r="AB76" s="1074"/>
      <c r="AC76" s="1074"/>
      <c r="AD76" s="1074"/>
      <c r="AE76" s="1074"/>
    </row>
    <row r="77" spans="1:35" s="141" customFormat="1" hidden="1" outlineLevel="1" x14ac:dyDescent="0.2">
      <c r="B77" s="141" t="s">
        <v>493</v>
      </c>
      <c r="E77" s="597">
        <f>IF(NOT(G77=0),IF(G89="NO",(YEAR(I77)-YEAR(G77))*12+MONTH(I77)-MONTH(G77)+IF(G81="no",1,0)+IF(I81="yes",-1,0),0),0)</f>
        <v>0</v>
      </c>
      <c r="F77" s="796"/>
      <c r="G77" s="1559">
        <f>$L$18</f>
        <v>0</v>
      </c>
      <c r="H77" s="1560"/>
      <c r="I77" s="1559">
        <f>$L$20</f>
        <v>0</v>
      </c>
      <c r="J77" s="1560"/>
      <c r="K77" s="588">
        <f>IF(ISERROR(L77/E80),0,(ROUND(L77/E80,2)))</f>
        <v>0</v>
      </c>
      <c r="L77" s="588">
        <f>IF(NOT(G77=0),H68,0)</f>
        <v>0</v>
      </c>
      <c r="M77" s="651">
        <f>IF(E80&gt;0,ROUND(N77/E80,2),0)</f>
        <v>0</v>
      </c>
      <c r="N77" s="650">
        <f>IF(E80&gt;0,ROUND(E29,2),0)</f>
        <v>0</v>
      </c>
      <c r="O77" s="588">
        <f>IF(ISERROR(P77/E80),0,(ROUND(P77/E80,2)))</f>
        <v>0</v>
      </c>
      <c r="P77" s="588">
        <f>IF(NOT(G77=0),H67,0)</f>
        <v>0</v>
      </c>
      <c r="Q77" s="649"/>
      <c r="R77" s="1683"/>
      <c r="S77" s="1683"/>
      <c r="T77" s="216"/>
      <c r="V77" s="216"/>
      <c r="W77" s="216"/>
      <c r="X77" s="994"/>
      <c r="Y77" s="992"/>
      <c r="Z77" s="992" t="s">
        <v>379</v>
      </c>
      <c r="AA77" s="1106">
        <f>AA73</f>
        <v>41899</v>
      </c>
      <c r="AB77" s="994"/>
      <c r="AC77" s="994"/>
      <c r="AD77" s="994"/>
      <c r="AE77" s="994"/>
    </row>
    <row r="78" spans="1:35" s="141" customFormat="1" hidden="1" outlineLevel="1" x14ac:dyDescent="0.2">
      <c r="B78" s="141" t="s">
        <v>494</v>
      </c>
      <c r="E78" s="598">
        <f>IF(NOT(G77=0),G93,0)</f>
        <v>0</v>
      </c>
      <c r="G78" s="141">
        <f>G84</f>
        <v>31</v>
      </c>
      <c r="I78" s="141">
        <f>I84</f>
        <v>31</v>
      </c>
      <c r="K78" s="803" t="s">
        <v>391</v>
      </c>
      <c r="L78" s="216"/>
      <c r="M78" s="216"/>
      <c r="N78" s="219"/>
      <c r="O78" s="219"/>
      <c r="P78" s="219"/>
      <c r="Q78" s="219"/>
      <c r="R78" s="219"/>
      <c r="S78" s="219"/>
      <c r="T78" s="216"/>
      <c r="V78" s="216"/>
      <c r="W78" s="216"/>
      <c r="X78" s="994"/>
      <c r="Y78" s="992"/>
      <c r="Z78" s="992" t="s">
        <v>380</v>
      </c>
      <c r="AA78" s="1074">
        <f>DATE(YEAR(AA77)+1,MONTH(AA77),DAY(AA77))-1</f>
        <v>42263</v>
      </c>
      <c r="AB78" s="994"/>
      <c r="AC78" s="994"/>
      <c r="AD78" s="994"/>
      <c r="AE78" s="994"/>
    </row>
    <row r="79" spans="1:35" s="141" customFormat="1" hidden="1" outlineLevel="1" x14ac:dyDescent="0.2">
      <c r="B79" s="141" t="s">
        <v>495</v>
      </c>
      <c r="E79" s="599">
        <f>IF(NOT(G77=0),I93,0)</f>
        <v>0</v>
      </c>
      <c r="G79" s="141">
        <v>1</v>
      </c>
      <c r="I79" s="141">
        <v>1</v>
      </c>
      <c r="K79" s="803" t="s">
        <v>392</v>
      </c>
      <c r="L79" s="216"/>
      <c r="M79" s="478"/>
      <c r="O79" s="219"/>
      <c r="P79" s="219"/>
      <c r="Q79" s="219"/>
      <c r="R79" s="219"/>
      <c r="S79" s="219"/>
      <c r="T79" s="216"/>
      <c r="V79" s="216"/>
      <c r="W79" s="216"/>
      <c r="X79" s="994"/>
      <c r="Y79" s="992"/>
      <c r="Z79" s="992" t="s">
        <v>381</v>
      </c>
      <c r="AA79" s="1106">
        <f>IF(AA76&gt;=AA78,AA78,AA76)</f>
        <v>42079</v>
      </c>
      <c r="AB79" s="994"/>
      <c r="AC79" s="994"/>
      <c r="AD79" s="994"/>
      <c r="AE79" s="994"/>
    </row>
    <row r="80" spans="1:35" s="141" customFormat="1" hidden="1" outlineLevel="1" x14ac:dyDescent="0.2">
      <c r="B80" s="219" t="s">
        <v>496</v>
      </c>
      <c r="E80" s="597">
        <f>SUM(E77:E79)</f>
        <v>0</v>
      </c>
      <c r="G80" s="141">
        <f>DAY(G77)</f>
        <v>0</v>
      </c>
      <c r="I80" s="141">
        <f>DAY(I77)</f>
        <v>0</v>
      </c>
      <c r="K80" s="803" t="s">
        <v>393</v>
      </c>
      <c r="L80" s="216"/>
      <c r="M80" s="216"/>
      <c r="N80" s="219"/>
      <c r="O80" s="219"/>
      <c r="P80" s="219"/>
      <c r="Q80" s="219"/>
      <c r="R80" s="219"/>
      <c r="S80" s="219"/>
      <c r="T80" s="216"/>
      <c r="V80" s="216"/>
      <c r="W80" s="216"/>
      <c r="X80" s="994"/>
      <c r="Y80" s="992"/>
      <c r="Z80" s="992" t="s">
        <v>384</v>
      </c>
      <c r="AA80" s="1107" t="str">
        <f>IF(AA76&gt;AA79,"yes","no")</f>
        <v>no</v>
      </c>
      <c r="AB80" s="994"/>
      <c r="AC80" s="994"/>
      <c r="AD80" s="994"/>
      <c r="AE80" s="994"/>
    </row>
    <row r="81" spans="2:31" s="141" customFormat="1" hidden="1" outlineLevel="1" x14ac:dyDescent="0.2">
      <c r="B81" s="219"/>
      <c r="C81" s="216"/>
      <c r="D81" s="601"/>
      <c r="E81" s="216"/>
      <c r="G81" s="516" t="str">
        <f>IF(G80=G79,"No","Yes")</f>
        <v>Yes</v>
      </c>
      <c r="I81" s="516" t="str">
        <f>IF(I80=I78,"No","Yes")</f>
        <v>Yes</v>
      </c>
      <c r="K81" s="803" t="s">
        <v>394</v>
      </c>
      <c r="L81" s="216"/>
      <c r="M81" s="216"/>
      <c r="N81" s="499"/>
      <c r="O81" s="499"/>
      <c r="P81" s="499"/>
      <c r="Q81" s="499"/>
      <c r="R81" s="499"/>
      <c r="S81" s="499"/>
      <c r="T81" s="216"/>
      <c r="U81" s="216"/>
      <c r="V81" s="216"/>
      <c r="W81" s="216"/>
      <c r="X81" s="994"/>
      <c r="Y81" s="992"/>
      <c r="Z81" s="992" t="s">
        <v>386</v>
      </c>
      <c r="AA81" s="1106" t="b">
        <f>IF(AA80="yes",AA79+1)</f>
        <v>0</v>
      </c>
      <c r="AB81" s="994"/>
      <c r="AC81" s="994"/>
      <c r="AD81" s="994"/>
      <c r="AE81" s="994"/>
    </row>
    <row r="82" spans="2:31" s="141" customFormat="1" hidden="1" outlineLevel="1" x14ac:dyDescent="0.2">
      <c r="B82" s="219"/>
      <c r="C82" s="216"/>
      <c r="D82" s="601"/>
      <c r="G82" s="219"/>
      <c r="I82" s="219"/>
      <c r="K82" s="803"/>
      <c r="L82" s="216"/>
      <c r="M82" s="216"/>
      <c r="N82" s="254"/>
      <c r="O82" s="254"/>
      <c r="P82" s="254"/>
      <c r="Q82" s="254"/>
      <c r="R82" s="254"/>
      <c r="S82" s="254"/>
      <c r="T82" s="216"/>
      <c r="U82" s="216"/>
      <c r="V82" s="216"/>
      <c r="W82" s="216"/>
      <c r="X82" s="994"/>
      <c r="Y82" s="992"/>
      <c r="Z82" s="992" t="s">
        <v>548</v>
      </c>
      <c r="AA82" s="1106" t="b">
        <f>IF(AA80="yes",DATE(YEAR(AA81)+1,MONTH(AA81),DAY(AA81))-1)</f>
        <v>0</v>
      </c>
      <c r="AB82" s="994"/>
      <c r="AC82" s="994"/>
      <c r="AD82" s="994"/>
      <c r="AE82" s="994"/>
    </row>
    <row r="83" spans="2:31" s="141" customFormat="1" hidden="1" outlineLevel="1" x14ac:dyDescent="0.2">
      <c r="B83" s="219"/>
      <c r="D83" s="216"/>
      <c r="G83" s="518">
        <f>EOMONTH(G77,0)</f>
        <v>31</v>
      </c>
      <c r="I83" s="518">
        <f>EOMONTH(I77,0)</f>
        <v>31</v>
      </c>
      <c r="K83" s="803" t="s">
        <v>395</v>
      </c>
      <c r="L83" s="216"/>
      <c r="M83" s="216"/>
      <c r="N83" s="550"/>
      <c r="O83" s="550"/>
      <c r="P83" s="550"/>
      <c r="Q83" s="550"/>
      <c r="R83" s="550"/>
      <c r="S83" s="550"/>
      <c r="T83" s="216"/>
      <c r="U83" s="216"/>
      <c r="V83" s="216"/>
      <c r="W83" s="216"/>
      <c r="X83" s="994"/>
      <c r="Y83" s="992"/>
      <c r="Z83" s="992" t="s">
        <v>549</v>
      </c>
      <c r="AA83" s="1106" t="b">
        <f>IF(AA80="Yes",IF(AA76&gt;=AA82,AA82,AA76))</f>
        <v>0</v>
      </c>
      <c r="AB83" s="994"/>
      <c r="AC83" s="994"/>
      <c r="AD83" s="994"/>
      <c r="AE83" s="994"/>
    </row>
    <row r="84" spans="2:31" s="141" customFormat="1" hidden="1" outlineLevel="1" x14ac:dyDescent="0.2">
      <c r="C84" s="803"/>
      <c r="G84" s="141">
        <f>DAY(G83)</f>
        <v>31</v>
      </c>
      <c r="I84" s="141">
        <f>DAY(I83)</f>
        <v>31</v>
      </c>
      <c r="K84" s="803" t="s">
        <v>396</v>
      </c>
      <c r="L84" s="216"/>
      <c r="M84" s="216"/>
      <c r="N84" s="219"/>
      <c r="O84" s="219"/>
      <c r="P84" s="219"/>
      <c r="Q84" s="219"/>
      <c r="R84" s="219"/>
      <c r="S84" s="219"/>
      <c r="T84" s="216"/>
      <c r="U84" s="216"/>
      <c r="V84" s="216"/>
      <c r="W84" s="216"/>
      <c r="X84" s="994"/>
      <c r="Y84" s="992"/>
      <c r="Z84" s="994" t="s">
        <v>550</v>
      </c>
      <c r="AA84" s="1108" t="str">
        <f>IF(AA76&gt;AA83,"yes","no")</f>
        <v>no</v>
      </c>
      <c r="AB84" s="994"/>
      <c r="AC84" s="994"/>
      <c r="AD84" s="994"/>
      <c r="AE84" s="994"/>
    </row>
    <row r="85" spans="2:31" s="141" customFormat="1" hidden="1" outlineLevel="1" x14ac:dyDescent="0.2">
      <c r="C85" s="803"/>
      <c r="G85" s="520">
        <f>G83-G77+1</f>
        <v>32</v>
      </c>
      <c r="I85" s="520">
        <f>I83-I77</f>
        <v>31</v>
      </c>
      <c r="K85" s="803" t="s">
        <v>628</v>
      </c>
      <c r="L85" s="216"/>
      <c r="M85" s="216"/>
      <c r="N85" s="219"/>
      <c r="O85" s="219"/>
      <c r="P85" s="219"/>
      <c r="Q85" s="219"/>
      <c r="R85" s="219"/>
      <c r="S85" s="219"/>
      <c r="T85" s="216"/>
      <c r="U85" s="216"/>
      <c r="V85" s="216"/>
      <c r="W85" s="216"/>
      <c r="X85" s="994"/>
      <c r="Y85" s="992"/>
      <c r="Z85" s="994" t="s">
        <v>551</v>
      </c>
      <c r="AA85" s="1108" t="b">
        <f>IF(AA84="yes",AA83+1)</f>
        <v>0</v>
      </c>
      <c r="AB85" s="994"/>
      <c r="AC85" s="994"/>
      <c r="AD85" s="994"/>
      <c r="AE85" s="994"/>
    </row>
    <row r="86" spans="2:31" s="141" customFormat="1" hidden="1" outlineLevel="1" x14ac:dyDescent="0.2">
      <c r="C86" s="803"/>
      <c r="G86" s="141">
        <f>G84-G85</f>
        <v>-1</v>
      </c>
      <c r="I86" s="141">
        <f>I84-I85</f>
        <v>0</v>
      </c>
      <c r="K86" s="803" t="s">
        <v>397</v>
      </c>
      <c r="L86" s="216"/>
      <c r="M86" s="216"/>
      <c r="N86" s="219"/>
      <c r="O86" s="219"/>
      <c r="P86" s="219"/>
      <c r="Q86" s="219"/>
      <c r="R86" s="219"/>
      <c r="S86" s="219"/>
      <c r="T86" s="216"/>
      <c r="U86" s="216"/>
      <c r="V86" s="216"/>
      <c r="W86" s="216"/>
      <c r="X86" s="994"/>
      <c r="Y86" s="992"/>
      <c r="Z86" s="994" t="s">
        <v>552</v>
      </c>
      <c r="AA86" s="1108" t="b">
        <f>IF(AA84="yes",AA76)</f>
        <v>0</v>
      </c>
      <c r="AB86" s="994"/>
      <c r="AC86" s="994"/>
      <c r="AD86" s="994"/>
      <c r="AE86" s="994"/>
    </row>
    <row r="87" spans="2:31" s="141" customFormat="1" hidden="1" outlineLevel="1" x14ac:dyDescent="0.2">
      <c r="C87" s="803"/>
      <c r="G87" s="718">
        <f>IF(G81="Yes",ROUND(G85/G84,6),0)</f>
        <v>1.0322579999999999</v>
      </c>
      <c r="H87" s="719"/>
      <c r="I87" s="718">
        <f>IF(I81="Yes",ROUND(I86/I84,6),0)</f>
        <v>0</v>
      </c>
      <c r="J87" s="589"/>
      <c r="K87" s="803" t="s">
        <v>398</v>
      </c>
      <c r="L87" s="216"/>
      <c r="M87" s="216"/>
      <c r="N87" s="549"/>
      <c r="O87" s="549"/>
      <c r="P87" s="549"/>
      <c r="Q87" s="549"/>
      <c r="R87" s="549"/>
      <c r="S87" s="549"/>
      <c r="T87" s="216"/>
      <c r="U87" s="216"/>
      <c r="V87" s="216"/>
      <c r="W87" s="216"/>
      <c r="X87" s="994"/>
      <c r="Y87" s="992"/>
      <c r="Z87" s="994"/>
      <c r="AA87" s="994"/>
      <c r="AB87" s="994"/>
      <c r="AC87" s="994"/>
      <c r="AD87" s="994"/>
      <c r="AE87" s="994"/>
    </row>
    <row r="88" spans="2:31" s="141" customFormat="1" hidden="1" outlineLevel="1" x14ac:dyDescent="0.2">
      <c r="C88" s="803"/>
      <c r="K88" s="803"/>
      <c r="L88" s="216"/>
      <c r="M88" s="216"/>
      <c r="N88" s="219"/>
      <c r="O88" s="219"/>
      <c r="P88" s="219"/>
      <c r="Q88" s="219"/>
      <c r="R88" s="219"/>
      <c r="S88" s="219"/>
      <c r="T88" s="216"/>
      <c r="U88" s="216"/>
      <c r="V88" s="216"/>
      <c r="W88" s="216"/>
      <c r="X88" s="994"/>
      <c r="Y88" s="992"/>
      <c r="Z88" s="994"/>
      <c r="AA88" s="994"/>
      <c r="AB88" s="994"/>
      <c r="AC88" s="994"/>
      <c r="AD88" s="994"/>
      <c r="AE88" s="994"/>
    </row>
    <row r="89" spans="2:31" s="141" customFormat="1" hidden="1" outlineLevel="1" x14ac:dyDescent="0.2">
      <c r="C89" s="803"/>
      <c r="G89" s="542" t="str">
        <f>IF(AND(YEAR(G77)=YEAR(I77),MONTH(G77)=MONTH(I77),G81="YES",I81="YES"),"YES","NO")</f>
        <v>YES</v>
      </c>
      <c r="K89" s="803" t="s">
        <v>410</v>
      </c>
      <c r="L89" s="216"/>
      <c r="M89" s="216"/>
      <c r="N89" s="544"/>
      <c r="O89" s="510"/>
      <c r="P89" s="544"/>
      <c r="Q89" s="219"/>
      <c r="R89" s="544"/>
      <c r="S89" s="219"/>
      <c r="T89" s="216"/>
      <c r="U89" s="216"/>
      <c r="V89" s="216"/>
      <c r="W89" s="216"/>
      <c r="X89" s="994"/>
      <c r="Y89" s="992"/>
      <c r="Z89" s="992"/>
      <c r="AA89" s="992"/>
      <c r="AB89" s="992"/>
      <c r="AC89" s="992"/>
      <c r="AD89" s="992"/>
      <c r="AE89" s="992"/>
    </row>
    <row r="90" spans="2:31" s="141" customFormat="1" hidden="1" outlineLevel="1" x14ac:dyDescent="0.2">
      <c r="C90" s="803"/>
      <c r="G90" s="141">
        <f>IF(G89="yes",I77-G77+1,0)</f>
        <v>1</v>
      </c>
      <c r="K90" s="803" t="s">
        <v>411</v>
      </c>
      <c r="L90" s="216"/>
      <c r="M90" s="216"/>
      <c r="N90" s="219"/>
      <c r="O90" s="510"/>
      <c r="P90" s="219"/>
      <c r="Q90" s="219"/>
      <c r="R90" s="219"/>
      <c r="S90" s="219"/>
      <c r="T90" s="216"/>
      <c r="U90" s="216"/>
      <c r="V90" s="216"/>
      <c r="W90" s="216"/>
      <c r="X90" s="994"/>
      <c r="Y90" s="992"/>
      <c r="Z90" s="992"/>
      <c r="AA90" s="992"/>
      <c r="AB90" s="992"/>
      <c r="AC90" s="992"/>
      <c r="AD90" s="992"/>
      <c r="AE90" s="992"/>
    </row>
    <row r="91" spans="2:31" s="141" customFormat="1" hidden="1" outlineLevel="1" x14ac:dyDescent="0.2">
      <c r="C91" s="803"/>
      <c r="G91" s="720">
        <f>ROUND(G90/G84,6)</f>
        <v>3.2258000000000002E-2</v>
      </c>
      <c r="K91" s="803" t="s">
        <v>398</v>
      </c>
      <c r="L91" s="216"/>
      <c r="M91" s="216"/>
      <c r="N91" s="549"/>
      <c r="O91" s="510"/>
      <c r="P91" s="549"/>
      <c r="Q91" s="219"/>
      <c r="R91" s="549"/>
      <c r="S91" s="219"/>
      <c r="T91" s="216"/>
      <c r="U91" s="216"/>
      <c r="V91" s="216"/>
      <c r="W91" s="216"/>
      <c r="X91" s="994"/>
      <c r="Y91" s="992"/>
      <c r="Z91" s="992"/>
      <c r="AA91" s="992"/>
      <c r="AB91" s="992"/>
      <c r="AC91" s="992"/>
      <c r="AD91" s="992"/>
      <c r="AE91" s="992"/>
    </row>
    <row r="92" spans="2:31" s="141" customFormat="1" hidden="1" outlineLevel="1" x14ac:dyDescent="0.2">
      <c r="L92" s="216"/>
      <c r="M92" s="216"/>
      <c r="N92" s="219"/>
      <c r="O92" s="219"/>
      <c r="P92" s="219"/>
      <c r="Q92" s="219"/>
      <c r="R92" s="219"/>
      <c r="S92" s="219"/>
      <c r="T92" s="216"/>
      <c r="U92" s="216"/>
      <c r="V92" s="216"/>
      <c r="W92" s="216"/>
      <c r="X92" s="994"/>
      <c r="Y92" s="992"/>
      <c r="Z92" s="992"/>
      <c r="AA92" s="992"/>
      <c r="AB92" s="992"/>
      <c r="AC92" s="992"/>
      <c r="AD92" s="992"/>
      <c r="AE92" s="992"/>
    </row>
    <row r="93" spans="2:31" s="141" customFormat="1" ht="13.5" hidden="1" outlineLevel="1" thickBot="1" x14ac:dyDescent="0.25">
      <c r="G93" s="722">
        <f>IF(G89="No",G87,G91)</f>
        <v>3.2258000000000002E-2</v>
      </c>
      <c r="H93" s="723"/>
      <c r="I93" s="722">
        <f>IF(G89="No",I87,0)</f>
        <v>0</v>
      </c>
      <c r="K93" s="141" t="s">
        <v>492</v>
      </c>
      <c r="L93" s="216"/>
      <c r="M93" s="216"/>
      <c r="N93" s="549"/>
      <c r="O93" s="549"/>
      <c r="P93" s="549"/>
      <c r="Q93" s="549"/>
      <c r="R93" s="549"/>
      <c r="S93" s="549"/>
      <c r="T93" s="216"/>
      <c r="U93" s="216"/>
      <c r="V93" s="216"/>
      <c r="W93" s="216"/>
      <c r="X93" s="994"/>
      <c r="Y93" s="992"/>
      <c r="Z93" s="992"/>
      <c r="AA93" s="992"/>
      <c r="AB93" s="992"/>
      <c r="AC93" s="992"/>
      <c r="AD93" s="992"/>
      <c r="AE93" s="992"/>
    </row>
    <row r="94" spans="2:31" s="141" customFormat="1" hidden="1" outlineLevel="1" x14ac:dyDescent="0.2">
      <c r="B94" s="216"/>
      <c r="C94" s="216"/>
      <c r="D94" s="216"/>
      <c r="E94" s="216"/>
      <c r="F94" s="216"/>
      <c r="G94" s="216"/>
      <c r="H94" s="216"/>
      <c r="I94" s="216"/>
      <c r="J94" s="216"/>
      <c r="K94" s="216"/>
      <c r="L94" s="216"/>
      <c r="M94" s="216"/>
      <c r="N94" s="216"/>
      <c r="O94" s="216"/>
      <c r="P94" s="216"/>
      <c r="Q94" s="216"/>
      <c r="R94" s="219"/>
      <c r="S94" s="219"/>
      <c r="T94" s="216"/>
      <c r="U94" s="216"/>
      <c r="V94" s="216"/>
      <c r="W94" s="216"/>
      <c r="X94" s="994"/>
      <c r="Y94" s="992"/>
      <c r="Z94" s="992"/>
      <c r="AA94" s="992"/>
      <c r="AB94" s="992"/>
      <c r="AC94" s="992"/>
      <c r="AD94" s="992"/>
      <c r="AE94" s="992"/>
    </row>
    <row r="95" spans="2:31" s="141" customFormat="1" ht="15.75" collapsed="1" x14ac:dyDescent="0.25">
      <c r="B95" s="1569" t="s">
        <v>693</v>
      </c>
      <c r="C95" s="1569"/>
      <c r="D95" s="1569"/>
      <c r="E95" s="1569"/>
      <c r="F95" s="1569"/>
      <c r="G95" s="1569"/>
      <c r="H95" s="1569"/>
      <c r="I95" s="1569"/>
      <c r="J95" s="1569"/>
      <c r="K95" s="1569"/>
      <c r="L95" s="1569"/>
      <c r="M95" s="1569"/>
      <c r="N95" s="1569"/>
      <c r="O95" s="1569"/>
      <c r="P95" s="1569"/>
      <c r="Q95" s="1569"/>
      <c r="R95" s="1569"/>
      <c r="S95" s="1569"/>
      <c r="T95" s="216"/>
      <c r="U95" s="216"/>
      <c r="V95" s="216"/>
      <c r="W95" s="216"/>
      <c r="X95" s="994"/>
      <c r="Y95" s="992"/>
      <c r="Z95" s="992"/>
      <c r="AA95" s="992"/>
      <c r="AB95" s="992"/>
      <c r="AC95" s="992"/>
      <c r="AD95" s="992"/>
      <c r="AE95" s="992"/>
    </row>
    <row r="96" spans="2:31" s="141" customFormat="1" x14ac:dyDescent="0.2">
      <c r="B96" s="216"/>
      <c r="C96" s="216"/>
      <c r="D96" s="216"/>
      <c r="E96" s="216"/>
      <c r="F96" s="216"/>
      <c r="G96" s="216"/>
      <c r="H96" s="216"/>
      <c r="I96" s="216"/>
      <c r="J96" s="216"/>
      <c r="K96" s="216"/>
      <c r="L96" s="216"/>
      <c r="M96" s="216"/>
      <c r="N96" s="216"/>
      <c r="O96" s="216"/>
      <c r="P96" s="216"/>
      <c r="Q96" s="216"/>
      <c r="R96" s="219"/>
      <c r="S96" s="219"/>
      <c r="T96" s="216"/>
      <c r="U96" s="216"/>
      <c r="V96" s="216"/>
      <c r="W96" s="216"/>
      <c r="X96" s="994"/>
      <c r="Y96" s="992"/>
      <c r="Z96" s="992"/>
      <c r="AA96" s="992"/>
      <c r="AB96" s="992"/>
      <c r="AC96" s="992"/>
      <c r="AD96" s="992"/>
      <c r="AE96" s="992"/>
    </row>
    <row r="97" spans="1:31" ht="15" x14ac:dyDescent="0.25">
      <c r="B97" s="609" t="s">
        <v>591</v>
      </c>
      <c r="N97" s="216"/>
      <c r="O97" s="216"/>
      <c r="P97" s="216"/>
      <c r="Q97" s="216"/>
      <c r="R97" s="219"/>
      <c r="S97" s="219"/>
    </row>
    <row r="98" spans="1:31" x14ac:dyDescent="0.2">
      <c r="R98" s="1660" t="s">
        <v>547</v>
      </c>
      <c r="S98" s="1660"/>
    </row>
    <row r="99" spans="1:31" hidden="1" outlineLevel="1" x14ac:dyDescent="0.2">
      <c r="A99" s="141"/>
      <c r="B99" s="141" t="s">
        <v>493</v>
      </c>
      <c r="C99" s="141"/>
      <c r="D99" s="597">
        <f>IF(NOT(G108=0),IF(G121="NO",(YEAR(I108)-YEAR(G108))*12+MONTH(I108)-MONTH(G108)+IF(G112="no",1,0)+IF(I112="yes",-1,0),0),0)</f>
        <v>0</v>
      </c>
      <c r="E99" s="141"/>
      <c r="F99" s="141"/>
      <c r="G99" s="141"/>
      <c r="H99" s="141"/>
      <c r="I99" s="141"/>
      <c r="J99" s="141"/>
      <c r="K99" s="141"/>
      <c r="L99" s="141"/>
      <c r="M99" s="516" t="s">
        <v>493</v>
      </c>
      <c r="N99" s="597">
        <f>IF(NOT(N106="n/a"),(YEAR(O106)-YEAR(N106))*12+MONTH(O106)-MONTH(N106)+IF(N112="no",1,0)+IF(O112="yes",-1,0),0)</f>
        <v>0</v>
      </c>
      <c r="O99" s="254"/>
      <c r="P99" s="597">
        <f>IF(NOT(P106="n/a"),(YEAR(Q106)-YEAR(P106))*12+MONTH(Q106)-MONTH(P106)+IF(P112="no",1,0)+IF(Q112="yes",-1,0),0)</f>
        <v>0</v>
      </c>
      <c r="Q99" s="141"/>
      <c r="R99" s="597">
        <f>IF(NOT(R106="n/a"),(YEAR(S106)-YEAR(R106))*12+MONTH(S106)-MONTH(R106)+IF(R112="no",1,0)+IF(S112="yes",-1,0),0)</f>
        <v>0</v>
      </c>
      <c r="S99" s="202"/>
      <c r="T99" s="216"/>
      <c r="U99" s="141"/>
      <c r="V99" s="216"/>
      <c r="W99" s="216"/>
      <c r="X99" s="994"/>
      <c r="Y99" s="992"/>
    </row>
    <row r="100" spans="1:31" hidden="1" outlineLevel="1" x14ac:dyDescent="0.2">
      <c r="A100" s="141"/>
      <c r="B100" s="141" t="s">
        <v>494</v>
      </c>
      <c r="C100" s="141"/>
      <c r="D100" s="598">
        <f>IF(NOT(G108=0),G126,0)</f>
        <v>0</v>
      </c>
      <c r="E100" s="141"/>
      <c r="F100" s="141"/>
      <c r="G100" s="141"/>
      <c r="H100" s="141"/>
      <c r="I100" s="141"/>
      <c r="J100" s="141"/>
      <c r="K100" s="141"/>
      <c r="L100" s="141"/>
      <c r="M100" s="516" t="s">
        <v>494</v>
      </c>
      <c r="N100" s="598">
        <f>N126</f>
        <v>0</v>
      </c>
      <c r="O100" s="216"/>
      <c r="P100" s="598">
        <f>P126</f>
        <v>0</v>
      </c>
      <c r="Q100" s="141"/>
      <c r="R100" s="598">
        <f>R126</f>
        <v>0</v>
      </c>
      <c r="S100" s="202"/>
      <c r="T100" s="216"/>
      <c r="U100" s="141"/>
      <c r="V100" s="216"/>
      <c r="W100" s="216"/>
      <c r="X100" s="994"/>
      <c r="Y100" s="992"/>
    </row>
    <row r="101" spans="1:31" hidden="1" outlineLevel="1" x14ac:dyDescent="0.2">
      <c r="A101" s="141"/>
      <c r="B101" s="141" t="s">
        <v>495</v>
      </c>
      <c r="C101" s="141"/>
      <c r="D101" s="599">
        <f>IF(NOT(G108=0),I126,0)</f>
        <v>0</v>
      </c>
      <c r="E101" s="141"/>
      <c r="F101" s="141"/>
      <c r="G101" s="141"/>
      <c r="H101" s="141"/>
      <c r="I101" s="141"/>
      <c r="J101" s="141"/>
      <c r="K101" s="141"/>
      <c r="L101" s="141"/>
      <c r="M101" s="516" t="s">
        <v>495</v>
      </c>
      <c r="N101" s="599">
        <f>O126</f>
        <v>0</v>
      </c>
      <c r="O101" s="216"/>
      <c r="P101" s="599">
        <f>Q126</f>
        <v>0</v>
      </c>
      <c r="Q101" s="141"/>
      <c r="R101" s="599">
        <f>S126</f>
        <v>0</v>
      </c>
      <c r="S101" s="202"/>
      <c r="T101" s="216"/>
      <c r="U101" s="141"/>
      <c r="V101" s="216"/>
      <c r="W101" s="216"/>
      <c r="X101" s="994"/>
      <c r="Y101" s="992"/>
    </row>
    <row r="102" spans="1:31" hidden="1" outlineLevel="1" x14ac:dyDescent="0.2">
      <c r="A102" s="141"/>
      <c r="B102" s="219" t="s">
        <v>496</v>
      </c>
      <c r="C102" s="141"/>
      <c r="D102" s="597">
        <f>SUM(D99:D101)</f>
        <v>0</v>
      </c>
      <c r="E102" s="141"/>
      <c r="F102" s="141"/>
      <c r="G102" s="141"/>
      <c r="H102" s="141"/>
      <c r="I102" s="141"/>
      <c r="J102" s="141"/>
      <c r="K102" s="141"/>
      <c r="L102" s="141"/>
      <c r="M102" s="499" t="s">
        <v>496</v>
      </c>
      <c r="N102" s="597">
        <f>SUM(N99:N101)</f>
        <v>0</v>
      </c>
      <c r="O102" s="216"/>
      <c r="P102" s="597">
        <f>SUM(P99:P101)</f>
        <v>0</v>
      </c>
      <c r="Q102" s="141"/>
      <c r="R102" s="597">
        <f>SUM(R99:R101)</f>
        <v>0</v>
      </c>
      <c r="S102" s="202"/>
      <c r="T102" s="216"/>
      <c r="U102" s="141"/>
      <c r="V102" s="216"/>
      <c r="W102" s="216"/>
      <c r="X102" s="994"/>
      <c r="Y102" s="992"/>
    </row>
    <row r="103" spans="1:31" hidden="1" outlineLevel="1" x14ac:dyDescent="0.2">
      <c r="A103" s="216"/>
      <c r="B103" s="219"/>
      <c r="C103" s="216"/>
      <c r="D103" s="601"/>
      <c r="E103" s="216"/>
      <c r="F103" s="216"/>
      <c r="G103" s="216"/>
      <c r="H103" s="216"/>
      <c r="I103" s="216"/>
      <c r="J103" s="216"/>
      <c r="K103" s="216"/>
      <c r="L103" s="216"/>
      <c r="M103" s="499"/>
      <c r="N103" s="216"/>
      <c r="O103" s="216"/>
      <c r="P103" s="601"/>
      <c r="Q103" s="216"/>
      <c r="R103" s="216"/>
      <c r="S103" s="254"/>
      <c r="T103" s="216"/>
      <c r="U103" s="216"/>
      <c r="V103" s="216"/>
      <c r="W103" s="216"/>
      <c r="X103" s="994"/>
      <c r="Y103" s="992"/>
    </row>
    <row r="104" spans="1:31" hidden="1" outlineLevel="1" x14ac:dyDescent="0.2">
      <c r="A104" s="141"/>
      <c r="B104" s="141"/>
      <c r="C104" s="141"/>
      <c r="D104" s="141"/>
      <c r="E104" s="141"/>
      <c r="F104" s="141"/>
      <c r="G104" s="141"/>
      <c r="H104" s="141"/>
      <c r="I104" s="141"/>
      <c r="J104" s="141"/>
      <c r="K104" s="141"/>
      <c r="L104" s="141"/>
      <c r="M104" s="141"/>
      <c r="N104" s="141"/>
      <c r="O104" s="141"/>
      <c r="P104" s="141"/>
      <c r="Q104" s="141"/>
      <c r="R104" s="216"/>
      <c r="S104" s="254"/>
      <c r="T104" s="216"/>
      <c r="U104" s="141"/>
      <c r="V104" s="216"/>
      <c r="W104" s="216"/>
      <c r="X104" s="994"/>
      <c r="Y104" s="992"/>
    </row>
    <row r="105" spans="1:31" collapsed="1" x14ac:dyDescent="0.2">
      <c r="A105" s="141"/>
      <c r="B105" s="219" t="s">
        <v>497</v>
      </c>
      <c r="C105" s="141"/>
      <c r="D105" s="216"/>
      <c r="E105" s="600">
        <f>$L$68</f>
        <v>0</v>
      </c>
      <c r="F105" s="141"/>
      <c r="G105" s="1664"/>
      <c r="H105" s="1664"/>
      <c r="I105" s="1664"/>
      <c r="J105" s="141"/>
      <c r="K105" s="141"/>
      <c r="L105" s="216"/>
      <c r="M105" s="216"/>
      <c r="N105" s="590" t="s">
        <v>545</v>
      </c>
      <c r="O105" s="591" t="s">
        <v>579</v>
      </c>
      <c r="P105" s="590" t="s">
        <v>545</v>
      </c>
      <c r="Q105" s="591" t="s">
        <v>579</v>
      </c>
      <c r="R105" s="590" t="s">
        <v>545</v>
      </c>
      <c r="S105" s="591" t="s">
        <v>579</v>
      </c>
      <c r="T105" s="216"/>
      <c r="U105" s="141"/>
      <c r="V105" s="216"/>
      <c r="W105" s="216"/>
      <c r="X105" s="994"/>
      <c r="Y105" s="992"/>
      <c r="Z105" s="994" t="s">
        <v>581</v>
      </c>
      <c r="AA105" s="1074">
        <f>IF(G108&gt;0,IF(MONTH(G108)&gt;3,DATE(YEAR(G108)+1,3,31),DATE(YEAR(G108),3,31)),0)</f>
        <v>0</v>
      </c>
    </row>
    <row r="106" spans="1:31" x14ac:dyDescent="0.2">
      <c r="A106" s="141"/>
      <c r="B106" s="141"/>
      <c r="C106" s="141"/>
      <c r="D106" s="141"/>
      <c r="E106" s="141"/>
      <c r="F106" s="141"/>
      <c r="G106" s="494" t="str">
        <f>IF(AD109&gt;0,"WARNING: Generally, you may not cross a CLBC March 31 fiscal year end, please re-check your dates.","")</f>
        <v/>
      </c>
      <c r="H106" s="141"/>
      <c r="I106" s="141"/>
      <c r="J106" s="141"/>
      <c r="K106" s="141"/>
      <c r="L106" s="216"/>
      <c r="M106" s="216"/>
      <c r="N106" s="503" t="str">
        <f>IF(OR(Z115=1,Z115=2,Z115=3),G108,"N/A")</f>
        <v>N/A</v>
      </c>
      <c r="O106" s="504" t="str">
        <f>IF(Z115=1,I108,IF(OR(Z115=2,Z115=3),$AA$79,"N/A"))</f>
        <v>N/A</v>
      </c>
      <c r="P106" s="503" t="str">
        <f>IF(OR(Z115=2,Z115=3),$AA$81,IF(OR(Z115=4,Z115=5),G108,"N/A"))</f>
        <v>N/A</v>
      </c>
      <c r="Q106" s="504" t="str">
        <f>IF(OR(Z115=2,Z115=4),I108,IF(OR(Z115=3,Z115=5),$AA$83,"N/A"))</f>
        <v>N/A</v>
      </c>
      <c r="R106" s="505" t="str">
        <f>IF(OR(Z115=3,Z115=5),$AA$85,IF(Z115=6,G108,"N/A"))</f>
        <v>N/A</v>
      </c>
      <c r="S106" s="504" t="str">
        <f>IF(OR(Z115=3,Z115=5,Z115=6),I108,"N/A")</f>
        <v>N/A</v>
      </c>
      <c r="T106" s="216"/>
      <c r="U106" s="141"/>
      <c r="V106" s="216"/>
      <c r="W106" s="216"/>
      <c r="X106" s="994"/>
      <c r="Y106" s="992"/>
      <c r="Z106" s="994" t="s">
        <v>582</v>
      </c>
      <c r="AA106" s="1074">
        <f>IF(AA105&gt;=$L$20,$L$20,AA105)</f>
        <v>0</v>
      </c>
    </row>
    <row r="107" spans="1:31" ht="38.25" x14ac:dyDescent="0.2">
      <c r="A107" s="140"/>
      <c r="B107" s="792" t="s">
        <v>464</v>
      </c>
      <c r="C107" s="1543" t="s">
        <v>351</v>
      </c>
      <c r="D107" s="1543"/>
      <c r="E107" s="587" t="s">
        <v>481</v>
      </c>
      <c r="F107" s="587" t="s">
        <v>482</v>
      </c>
      <c r="G107" s="1522" t="s">
        <v>519</v>
      </c>
      <c r="H107" s="1523"/>
      <c r="I107" s="1522" t="s">
        <v>520</v>
      </c>
      <c r="J107" s="1523" t="s">
        <v>520</v>
      </c>
      <c r="K107" s="805" t="s">
        <v>387</v>
      </c>
      <c r="L107" s="793" t="s">
        <v>483</v>
      </c>
      <c r="M107" s="793" t="s">
        <v>388</v>
      </c>
      <c r="N107" s="1543" t="s">
        <v>389</v>
      </c>
      <c r="O107" s="1543"/>
      <c r="P107" s="1543" t="s">
        <v>390</v>
      </c>
      <c r="Q107" s="1543"/>
      <c r="R107" s="1543" t="s">
        <v>578</v>
      </c>
      <c r="S107" s="1543"/>
      <c r="T107" s="286"/>
      <c r="U107" s="140"/>
      <c r="V107" s="286"/>
      <c r="W107" s="286"/>
      <c r="X107" s="1002"/>
      <c r="Y107" s="1105"/>
    </row>
    <row r="108" spans="1:31" x14ac:dyDescent="0.2">
      <c r="A108" s="141"/>
      <c r="B108" s="666"/>
      <c r="C108" s="1544"/>
      <c r="D108" s="1544"/>
      <c r="E108" s="808" t="s">
        <v>484</v>
      </c>
      <c r="F108" s="808" t="str">
        <f>IF($L$23="Fixed Lump Sum","Y","N")</f>
        <v>N</v>
      </c>
      <c r="G108" s="1665"/>
      <c r="H108" s="1667"/>
      <c r="I108" s="1665"/>
      <c r="J108" s="1666"/>
      <c r="K108" s="588">
        <f>IF(F108="N",IF(NOT(G108=0),$J$68,0),0)</f>
        <v>0</v>
      </c>
      <c r="L108" s="588">
        <f>IF(F108="Y",$J$68*D102,0)</f>
        <v>0</v>
      </c>
      <c r="M108" s="588">
        <f>ROUND(IF(F108="Y",L108,IF(G121="yes",G128,K108*D99+G128+I128)),2)</f>
        <v>0</v>
      </c>
      <c r="N108" s="1661">
        <f>IF(N121="yes",N127,ROUND(E105*N99,0)+N127+O127)</f>
        <v>0</v>
      </c>
      <c r="O108" s="1662"/>
      <c r="P108" s="1661">
        <f>IF(P121="yes",P127,ROUND(E105*P99,0)+P127+Q127)</f>
        <v>0</v>
      </c>
      <c r="Q108" s="1662"/>
      <c r="R108" s="1661">
        <f>IF(R121="yes",R127,ROUND(E105*R99,0)+R127+S127)</f>
        <v>0</v>
      </c>
      <c r="S108" s="1662"/>
      <c r="T108" s="216"/>
      <c r="U108" s="141"/>
      <c r="V108" s="216"/>
      <c r="W108" s="216"/>
      <c r="X108" s="994"/>
      <c r="Y108" s="992"/>
      <c r="AA108" s="992" t="s">
        <v>553</v>
      </c>
      <c r="AB108" s="992" t="s">
        <v>554</v>
      </c>
      <c r="AC108" s="1074"/>
      <c r="AD108" s="1109" t="s">
        <v>617</v>
      </c>
      <c r="AE108" s="1109" t="s">
        <v>718</v>
      </c>
    </row>
    <row r="109" spans="1:31" hidden="1" outlineLevel="1" x14ac:dyDescent="0.2">
      <c r="A109" s="141"/>
      <c r="B109" s="141"/>
      <c r="C109" s="803"/>
      <c r="D109" s="141"/>
      <c r="E109" s="141"/>
      <c r="F109" s="141"/>
      <c r="G109" s="141">
        <f>G115</f>
        <v>31</v>
      </c>
      <c r="H109" s="141"/>
      <c r="I109" s="141">
        <f>I115</f>
        <v>31</v>
      </c>
      <c r="J109" s="141"/>
      <c r="K109" s="803" t="s">
        <v>391</v>
      </c>
      <c r="L109" s="216"/>
      <c r="M109" s="216"/>
      <c r="N109" s="141">
        <f t="shared" ref="N109:S109" si="17">N115</f>
        <v>0</v>
      </c>
      <c r="O109" s="141">
        <f t="shared" si="17"/>
        <v>0</v>
      </c>
      <c r="P109" s="141">
        <f t="shared" si="17"/>
        <v>0</v>
      </c>
      <c r="Q109" s="141">
        <f t="shared" si="17"/>
        <v>0</v>
      </c>
      <c r="R109" s="141">
        <f t="shared" si="17"/>
        <v>0</v>
      </c>
      <c r="S109" s="141">
        <f t="shared" si="17"/>
        <v>0</v>
      </c>
      <c r="T109" s="216"/>
      <c r="U109" s="141"/>
      <c r="V109" s="216"/>
      <c r="W109" s="216"/>
      <c r="X109" s="994"/>
      <c r="Y109" s="992"/>
      <c r="Z109" s="992">
        <f>IF(AND(G108&gt;=$AA$77,I108&lt;=$AA$79),1,0)</f>
        <v>0</v>
      </c>
      <c r="AA109" s="992" t="s">
        <v>556</v>
      </c>
      <c r="AB109" s="992" t="s">
        <v>557</v>
      </c>
      <c r="AC109" s="1110"/>
      <c r="AD109" s="994">
        <f>IF(AND(G108&gt;0,I108&gt;0,I108&gt;$AA106),1,0)</f>
        <v>0</v>
      </c>
      <c r="AE109" s="994" t="s">
        <v>619</v>
      </c>
    </row>
    <row r="110" spans="1:31" hidden="1" outlineLevel="1" x14ac:dyDescent="0.2">
      <c r="A110" s="141"/>
      <c r="B110" s="141"/>
      <c r="C110" s="803"/>
      <c r="D110" s="141"/>
      <c r="E110" s="141"/>
      <c r="F110" s="141"/>
      <c r="G110" s="141">
        <v>1</v>
      </c>
      <c r="H110" s="141"/>
      <c r="I110" s="141">
        <v>1</v>
      </c>
      <c r="J110" s="141"/>
      <c r="K110" s="803" t="s">
        <v>392</v>
      </c>
      <c r="L110" s="216"/>
      <c r="M110" s="216"/>
      <c r="N110" s="141">
        <v>1</v>
      </c>
      <c r="O110" s="141">
        <v>1</v>
      </c>
      <c r="P110" s="141">
        <v>1</v>
      </c>
      <c r="Q110" s="141">
        <v>1</v>
      </c>
      <c r="R110" s="141">
        <v>1</v>
      </c>
      <c r="S110" s="141">
        <v>1</v>
      </c>
      <c r="T110" s="216"/>
      <c r="U110" s="141"/>
      <c r="V110" s="216"/>
      <c r="W110" s="216"/>
      <c r="X110" s="994"/>
      <c r="Y110" s="992"/>
      <c r="Z110" s="992">
        <f>IF(AND(G108&lt;=$AA$79,I108&gt;$AA$79,I108&lt;=$AA$83),2,0)</f>
        <v>0</v>
      </c>
      <c r="AA110" s="992" t="s">
        <v>559</v>
      </c>
      <c r="AB110" s="992" t="s">
        <v>560</v>
      </c>
      <c r="AC110" s="1074"/>
    </row>
    <row r="111" spans="1:31" hidden="1" outlineLevel="1" x14ac:dyDescent="0.2">
      <c r="A111" s="141"/>
      <c r="B111" s="141"/>
      <c r="C111" s="803"/>
      <c r="D111" s="141"/>
      <c r="E111" s="141"/>
      <c r="F111" s="141"/>
      <c r="G111" s="141">
        <f>DAY(G108)</f>
        <v>0</v>
      </c>
      <c r="H111" s="141"/>
      <c r="I111" s="141">
        <f>DAY(I108)</f>
        <v>0</v>
      </c>
      <c r="J111" s="141"/>
      <c r="K111" s="803" t="s">
        <v>393</v>
      </c>
      <c r="L111" s="216"/>
      <c r="M111" s="216"/>
      <c r="N111" s="141" t="b">
        <f t="shared" ref="N111:O111" si="18">IF(NOT(N106="n/a"),DAY(N106))</f>
        <v>0</v>
      </c>
      <c r="O111" s="141" t="b">
        <f t="shared" si="18"/>
        <v>0</v>
      </c>
      <c r="P111" s="141" t="b">
        <f>IF(NOT(P106="n/a"),DAY(P106))</f>
        <v>0</v>
      </c>
      <c r="Q111" s="141" t="b">
        <f>IF(NOT(Q106="n/a"),DAY(Q106))</f>
        <v>0</v>
      </c>
      <c r="R111" s="141" t="b">
        <f>IF(NOT(R106="n/a"),DAY(R106))</f>
        <v>0</v>
      </c>
      <c r="S111" s="141" t="b">
        <f>IF(NOT(S106="n/a"),DAY(S106))</f>
        <v>0</v>
      </c>
      <c r="T111" s="216"/>
      <c r="U111" s="141"/>
      <c r="V111" s="216"/>
      <c r="W111" s="216"/>
      <c r="X111" s="994"/>
      <c r="Y111" s="992"/>
      <c r="Z111" s="994">
        <f>IF(AND(G108&lt;$AA$79,I108&gt;$AA$83,I108&lt;=$AA$86),3,0)</f>
        <v>0</v>
      </c>
      <c r="AA111" s="992" t="s">
        <v>562</v>
      </c>
      <c r="AB111" s="994" t="s">
        <v>563</v>
      </c>
      <c r="AC111" s="1074"/>
      <c r="AD111" s="1109" t="s">
        <v>617</v>
      </c>
      <c r="AE111" s="1109" t="s">
        <v>719</v>
      </c>
    </row>
    <row r="112" spans="1:31" hidden="1" outlineLevel="1" x14ac:dyDescent="0.2">
      <c r="A112" s="141"/>
      <c r="B112" s="141"/>
      <c r="C112" s="803"/>
      <c r="D112" s="141"/>
      <c r="E112" s="141"/>
      <c r="F112" s="141"/>
      <c r="G112" s="516" t="str">
        <f>IF(G111=G110,"No","Yes")</f>
        <v>Yes</v>
      </c>
      <c r="H112" s="141"/>
      <c r="I112" s="516" t="str">
        <f>IF(I111=I109,"No","Yes")</f>
        <v>Yes</v>
      </c>
      <c r="J112" s="141"/>
      <c r="K112" s="803" t="s">
        <v>394</v>
      </c>
      <c r="L112" s="216"/>
      <c r="M112" s="216"/>
      <c r="N112" s="516" t="str">
        <f>IF(N111=N110,"No","Yes")</f>
        <v>Yes</v>
      </c>
      <c r="O112" s="516" t="str">
        <f>IF(O111=O109,"No","Yes")</f>
        <v>Yes</v>
      </c>
      <c r="P112" s="516" t="str">
        <f>IF(P111=P110,"No","Yes")</f>
        <v>Yes</v>
      </c>
      <c r="Q112" s="516" t="str">
        <f>IF(Q111=Q109,"No","Yes")</f>
        <v>Yes</v>
      </c>
      <c r="R112" s="516" t="str">
        <f>IF(R111=R110,"No","Yes")</f>
        <v>Yes</v>
      </c>
      <c r="S112" s="516" t="str">
        <f>IF(S111=S109,"No","Yes")</f>
        <v>Yes</v>
      </c>
      <c r="T112" s="216"/>
      <c r="U112" s="216"/>
      <c r="V112" s="216"/>
      <c r="W112" s="216"/>
      <c r="X112" s="994"/>
      <c r="Y112" s="992"/>
      <c r="Z112" s="992">
        <f>IF(AND(G108&gt;=$AA$81,I108&lt;=$AA$83),4,0)</f>
        <v>4</v>
      </c>
      <c r="AA112" s="992" t="s">
        <v>565</v>
      </c>
      <c r="AB112" s="994" t="s">
        <v>566</v>
      </c>
      <c r="AD112" s="994">
        <f>IF(OR(G108&lt;$L$18,G108&gt;$L$20),1,0)</f>
        <v>0</v>
      </c>
      <c r="AE112" s="994" t="s">
        <v>618</v>
      </c>
    </row>
    <row r="113" spans="1:31" hidden="1" outlineLevel="1" x14ac:dyDescent="0.2">
      <c r="A113" s="141"/>
      <c r="B113" s="141"/>
      <c r="C113" s="803"/>
      <c r="D113" s="141"/>
      <c r="E113" s="141"/>
      <c r="F113" s="141"/>
      <c r="G113" s="219"/>
      <c r="H113" s="141"/>
      <c r="I113" s="219"/>
      <c r="J113" s="141"/>
      <c r="K113" s="803"/>
      <c r="L113" s="216"/>
      <c r="M113" s="216"/>
      <c r="N113" s="34"/>
      <c r="O113" s="34"/>
      <c r="P113" s="34"/>
      <c r="R113" s="34"/>
      <c r="S113" s="34"/>
      <c r="T113" s="216"/>
      <c r="U113" s="216"/>
      <c r="V113" s="216"/>
      <c r="W113" s="216"/>
      <c r="X113" s="994"/>
      <c r="Y113" s="992"/>
      <c r="Z113" s="992">
        <f>IF(AND(G108&gt;=$AA$81,G108&lt;=$AA$83,I108&gt;$AA$85),5,0)</f>
        <v>0</v>
      </c>
      <c r="AA113" s="992" t="s">
        <v>568</v>
      </c>
      <c r="AB113" s="994" t="s">
        <v>569</v>
      </c>
      <c r="AD113" s="994">
        <f>IF(OR(I108&lt;$L$18,I108&gt;$L$20),1,0)</f>
        <v>0</v>
      </c>
      <c r="AE113" s="994" t="s">
        <v>705</v>
      </c>
    </row>
    <row r="114" spans="1:31" hidden="1" outlineLevel="1" x14ac:dyDescent="0.2">
      <c r="A114" s="141"/>
      <c r="B114" s="141"/>
      <c r="C114" s="803"/>
      <c r="D114" s="141"/>
      <c r="E114" s="141"/>
      <c r="F114" s="141"/>
      <c r="G114" s="518">
        <f>EOMONTH(G108,0)</f>
        <v>31</v>
      </c>
      <c r="H114" s="141"/>
      <c r="I114" s="518">
        <f>EOMONTH(I108,0)</f>
        <v>31</v>
      </c>
      <c r="J114" s="141"/>
      <c r="K114" s="803" t="s">
        <v>395</v>
      </c>
      <c r="L114" s="216"/>
      <c r="M114" s="216"/>
      <c r="N114" s="518" t="b">
        <f t="shared" ref="N114:S114" si="19">IF(NOT(N106="n/a"),EOMONTH(N106,0))</f>
        <v>0</v>
      </c>
      <c r="O114" s="518" t="b">
        <f t="shared" si="19"/>
        <v>0</v>
      </c>
      <c r="P114" s="518" t="b">
        <f t="shared" si="19"/>
        <v>0</v>
      </c>
      <c r="Q114" s="518" t="b">
        <f t="shared" si="19"/>
        <v>0</v>
      </c>
      <c r="R114" s="518" t="b">
        <f t="shared" si="19"/>
        <v>0</v>
      </c>
      <c r="S114" s="518" t="b">
        <f t="shared" si="19"/>
        <v>0</v>
      </c>
      <c r="T114" s="216"/>
      <c r="U114" s="216"/>
      <c r="V114" s="216"/>
      <c r="W114" s="216"/>
      <c r="X114" s="994"/>
      <c r="Y114" s="992"/>
      <c r="Z114" s="1111">
        <f>IF(AND(G108&gt;=$AA$85,I108&lt;=$AA$86),6,0)</f>
        <v>6</v>
      </c>
      <c r="AA114" s="992" t="s">
        <v>571</v>
      </c>
      <c r="AB114" s="994" t="s">
        <v>572</v>
      </c>
      <c r="AD114" s="994"/>
      <c r="AE114" s="994"/>
    </row>
    <row r="115" spans="1:31" ht="13.5" hidden="1" outlineLevel="1" thickBot="1" x14ac:dyDescent="0.25">
      <c r="A115" s="141"/>
      <c r="B115" s="141"/>
      <c r="C115" s="803"/>
      <c r="D115" s="141"/>
      <c r="E115" s="141"/>
      <c r="F115" s="141"/>
      <c r="G115" s="141">
        <f>DAY(G114)</f>
        <v>31</v>
      </c>
      <c r="H115" s="141"/>
      <c r="I115" s="141">
        <f>DAY(I114)</f>
        <v>31</v>
      </c>
      <c r="J115" s="141"/>
      <c r="K115" s="803" t="s">
        <v>396</v>
      </c>
      <c r="L115" s="216"/>
      <c r="M115" s="216"/>
      <c r="N115" s="141">
        <f>DAY(N114)</f>
        <v>0</v>
      </c>
      <c r="O115" s="141">
        <f>DAY(O114)</f>
        <v>0</v>
      </c>
      <c r="P115" s="141">
        <f t="shared" ref="P115:S115" si="20">DAY(P114)</f>
        <v>0</v>
      </c>
      <c r="Q115" s="141">
        <f t="shared" si="20"/>
        <v>0</v>
      </c>
      <c r="R115" s="141">
        <f t="shared" si="20"/>
        <v>0</v>
      </c>
      <c r="S115" s="141">
        <f t="shared" si="20"/>
        <v>0</v>
      </c>
      <c r="T115" s="216"/>
      <c r="U115" s="216"/>
      <c r="V115" s="216"/>
      <c r="W115" s="216"/>
      <c r="X115" s="994"/>
      <c r="Y115" s="992"/>
      <c r="Z115" s="1112">
        <f>IF(AND(NOT(G108=0),NOT(I108=0)),SUM(Z109:Z114),0)</f>
        <v>0</v>
      </c>
      <c r="AA115" s="992" t="s">
        <v>601</v>
      </c>
      <c r="AD115" s="1112">
        <f>IF(AND(G108&gt;0,I108&gt;0),SUM(AD112:AD114),0)</f>
        <v>0</v>
      </c>
      <c r="AE115" s="994" t="s">
        <v>620</v>
      </c>
    </row>
    <row r="116" spans="1:31" hidden="1" outlineLevel="1" x14ac:dyDescent="0.2">
      <c r="A116" s="141"/>
      <c r="B116" s="141"/>
      <c r="C116" s="803"/>
      <c r="D116" s="141"/>
      <c r="E116" s="141"/>
      <c r="F116" s="141"/>
      <c r="G116" s="520">
        <f>G114-G108+1</f>
        <v>32</v>
      </c>
      <c r="H116" s="141"/>
      <c r="I116" s="520">
        <f>I114-I108</f>
        <v>31</v>
      </c>
      <c r="J116" s="141"/>
      <c r="K116" s="803" t="s">
        <v>628</v>
      </c>
      <c r="L116" s="216"/>
      <c r="M116" s="216"/>
      <c r="N116" s="520" t="b">
        <f>IF(NOT(N106="n/a"),N114-N106+1)</f>
        <v>0</v>
      </c>
      <c r="O116" s="520" t="b">
        <f>IF(NOT(O106="n/a"),O114-O106)</f>
        <v>0</v>
      </c>
      <c r="P116" s="520" t="b">
        <f>IF(NOT(P106="n/a"),P114-P106+1)</f>
        <v>0</v>
      </c>
      <c r="Q116" s="520" t="b">
        <f>IF(NOT(Q106="n/a"),Q114-Q106)</f>
        <v>0</v>
      </c>
      <c r="R116" s="520" t="b">
        <f>IF(NOT(R106="n/a"),R114-R106+1)</f>
        <v>0</v>
      </c>
      <c r="S116" s="520" t="b">
        <f>IF(NOT(S106="n/a"),S114-S106)</f>
        <v>0</v>
      </c>
      <c r="T116" s="216"/>
      <c r="U116" s="216"/>
      <c r="V116" s="216"/>
      <c r="W116" s="216"/>
      <c r="X116" s="994"/>
      <c r="Y116" s="992"/>
      <c r="AE116" s="994"/>
    </row>
    <row r="117" spans="1:31" hidden="1" outlineLevel="1" x14ac:dyDescent="0.2">
      <c r="A117" s="141"/>
      <c r="B117" s="141"/>
      <c r="C117" s="803"/>
      <c r="D117" s="141"/>
      <c r="E117" s="141"/>
      <c r="F117" s="141"/>
      <c r="G117" s="141">
        <f>G115-G116</f>
        <v>-1</v>
      </c>
      <c r="H117" s="141"/>
      <c r="I117" s="141">
        <f>I115-I116</f>
        <v>0</v>
      </c>
      <c r="J117" s="141"/>
      <c r="K117" s="803" t="s">
        <v>397</v>
      </c>
      <c r="L117" s="216"/>
      <c r="M117" s="216"/>
      <c r="N117" s="141">
        <f t="shared" ref="N117:S117" si="21">N115-N116</f>
        <v>0</v>
      </c>
      <c r="O117" s="141">
        <f t="shared" si="21"/>
        <v>0</v>
      </c>
      <c r="P117" s="141">
        <f t="shared" si="21"/>
        <v>0</v>
      </c>
      <c r="Q117" s="141">
        <f t="shared" si="21"/>
        <v>0</v>
      </c>
      <c r="R117" s="141">
        <f t="shared" si="21"/>
        <v>0</v>
      </c>
      <c r="S117" s="141">
        <f t="shared" si="21"/>
        <v>0</v>
      </c>
      <c r="T117" s="216"/>
      <c r="U117" s="216"/>
      <c r="V117" s="216"/>
      <c r="W117" s="216"/>
      <c r="X117" s="994"/>
      <c r="Y117" s="992"/>
      <c r="AE117" s="994"/>
    </row>
    <row r="118" spans="1:31" hidden="1" outlineLevel="1" x14ac:dyDescent="0.2">
      <c r="A118" s="141"/>
      <c r="B118" s="141"/>
      <c r="C118" s="803"/>
      <c r="D118" s="141"/>
      <c r="E118" s="141"/>
      <c r="F118" s="141"/>
      <c r="G118" s="718">
        <f>IF(G112="Yes",ROUND(G116/G115,6),0)</f>
        <v>1.0322579999999999</v>
      </c>
      <c r="H118" s="719"/>
      <c r="I118" s="718">
        <f>IF(I112="Yes",ROUND(I117/I115,6),0)</f>
        <v>0</v>
      </c>
      <c r="J118" s="589"/>
      <c r="K118" s="803" t="s">
        <v>398</v>
      </c>
      <c r="L118" s="216"/>
      <c r="M118" s="216"/>
      <c r="N118" s="716">
        <f>IF(ISERROR(IF(N112="Yes",ROUND(N116/N115,6),0)),0,IF(N112="Yes",ROUND(N116/N115,6),0))</f>
        <v>0</v>
      </c>
      <c r="O118" s="716">
        <f>IF(ISERROR(IF(O112="Yes",ROUND(O117/O115,6),0)),0,IF(O112="Yes",ROUND(O117/O115,6),0))</f>
        <v>0</v>
      </c>
      <c r="P118" s="716">
        <f>IF(ISERROR(IF(P112="Yes",ROUND(P116/P115,6),0)),0,IF(P112="Yes",ROUND(P116/P115,6),0))</f>
        <v>0</v>
      </c>
      <c r="Q118" s="716">
        <f>IF(ISERROR(IF(Q112="Yes",ROUND(Q117/Q115,6),0)),0,IF(Q112="Yes",ROUND(Q117/Q115,6),0))</f>
        <v>0</v>
      </c>
      <c r="R118" s="716">
        <f>IF(ISERROR(IF(R112="Yes",ROUND(R116/R115,6),0)),0,IF(R112="Yes",ROUND(R116/R115,6),0))</f>
        <v>0</v>
      </c>
      <c r="S118" s="716">
        <f>IF(ISERROR(IF(S112="Yes",ROUND(S117/S115,6),0)),0,IF(S112="Yes",ROUND(S117/S115,6),0))</f>
        <v>0</v>
      </c>
      <c r="T118" s="216"/>
      <c r="U118" s="216"/>
      <c r="V118" s="216"/>
      <c r="W118" s="216"/>
      <c r="X118" s="994"/>
      <c r="Y118" s="992"/>
      <c r="AA118" s="994" t="s">
        <v>556</v>
      </c>
      <c r="AB118" s="994" t="s">
        <v>575</v>
      </c>
      <c r="AE118" s="994"/>
    </row>
    <row r="119" spans="1:31" ht="13.5" hidden="1" outlineLevel="1" thickBot="1" x14ac:dyDescent="0.25">
      <c r="A119" s="141"/>
      <c r="B119" s="141"/>
      <c r="C119" s="803"/>
      <c r="D119" s="141"/>
      <c r="E119" s="141"/>
      <c r="F119" s="141"/>
      <c r="G119" s="592">
        <f>IF(G121="Yes",0,ROUND(K108*G118,2))</f>
        <v>0</v>
      </c>
      <c r="H119" s="141"/>
      <c r="I119" s="592">
        <f>IF(G121="Yes",0,ROUND(K108*I118,2))</f>
        <v>0</v>
      </c>
      <c r="J119" s="141"/>
      <c r="K119" s="803" t="s">
        <v>409</v>
      </c>
      <c r="L119" s="216"/>
      <c r="M119" s="216"/>
      <c r="N119" s="546">
        <f>IF(N121="yes",0,ROUND(N118*E105,0))</f>
        <v>0</v>
      </c>
      <c r="O119" s="546">
        <f>IF(N121="yes",0,ROUND(O118*E105,0))</f>
        <v>0</v>
      </c>
      <c r="P119" s="546">
        <f>IF(P121="yes",0,ROUND(P118*E105,0))</f>
        <v>0</v>
      </c>
      <c r="Q119" s="546">
        <f>IF(P121="yes",0,ROUND(Q118*E105,0))</f>
        <v>0</v>
      </c>
      <c r="R119" s="546">
        <f>IF(R121="yes",0,ROUND(R118*E105,0))</f>
        <v>0</v>
      </c>
      <c r="S119" s="546">
        <f>IF(R121="yes",0,ROUND(S118*E105,0))</f>
        <v>0</v>
      </c>
      <c r="T119" s="216"/>
      <c r="U119" s="216"/>
      <c r="V119" s="216"/>
      <c r="W119" s="216"/>
      <c r="X119" s="994"/>
      <c r="Y119" s="992"/>
      <c r="AA119" s="994" t="s">
        <v>565</v>
      </c>
      <c r="AB119" s="994" t="s">
        <v>576</v>
      </c>
      <c r="AE119" s="994"/>
    </row>
    <row r="120" spans="1:31" ht="13.5" hidden="1" outlineLevel="1" thickTop="1" x14ac:dyDescent="0.2">
      <c r="A120" s="141"/>
      <c r="B120" s="141"/>
      <c r="C120" s="803"/>
      <c r="D120" s="141"/>
      <c r="E120" s="141"/>
      <c r="F120" s="141"/>
      <c r="G120" s="141"/>
      <c r="H120" s="141"/>
      <c r="I120" s="141"/>
      <c r="J120" s="141"/>
      <c r="K120" s="803"/>
      <c r="L120" s="216"/>
      <c r="M120" s="216"/>
      <c r="N120" s="216"/>
      <c r="O120" s="216"/>
      <c r="P120" s="216"/>
      <c r="Q120" s="141"/>
      <c r="R120" s="216"/>
      <c r="S120" s="141"/>
      <c r="T120" s="216"/>
      <c r="U120" s="216"/>
      <c r="V120" s="216"/>
      <c r="W120" s="216"/>
      <c r="X120" s="994"/>
      <c r="Y120" s="992"/>
      <c r="AA120" s="994" t="s">
        <v>571</v>
      </c>
      <c r="AB120" s="994" t="s">
        <v>577</v>
      </c>
      <c r="AE120" s="994"/>
    </row>
    <row r="121" spans="1:31" hidden="1" outlineLevel="1" x14ac:dyDescent="0.2">
      <c r="A121" s="141"/>
      <c r="B121" s="141"/>
      <c r="C121" s="803"/>
      <c r="D121" s="141"/>
      <c r="E121" s="141"/>
      <c r="F121" s="141"/>
      <c r="G121" s="542" t="str">
        <f>IF(AND(YEAR(G108)=YEAR(I108),MONTH(G108)=MONTH(I108),G112="YES",I112="YES"),"YES","NO")</f>
        <v>YES</v>
      </c>
      <c r="H121" s="141"/>
      <c r="I121" s="141"/>
      <c r="J121" s="141"/>
      <c r="K121" s="803" t="s">
        <v>410</v>
      </c>
      <c r="L121" s="216"/>
      <c r="M121" s="216"/>
      <c r="N121" s="544" t="str">
        <f>IF(N106="n/a","NO",IF(AND(YEAR(N106)=YEAR(O106),MONTH(N106)=MONTH(O106),N112="YES",O112="YES"),"YES","NO"))</f>
        <v>NO</v>
      </c>
      <c r="O121" s="510"/>
      <c r="P121" s="544" t="str">
        <f>IF(P106="n/a","NO",IF(AND(YEAR(P106)=YEAR(Q106),MONTH(P106)=MONTH(Q106),P112="YES",Q112="YES"),"YES","NO"))</f>
        <v>NO</v>
      </c>
      <c r="Q121" s="141"/>
      <c r="R121" s="544" t="str">
        <f>IF(R106="n/a","NO",IF(AND(YEAR(R106)=YEAR(S106),MONTH(R106)=MONTH(S106),R112="YES",S112="YES"),"YES","NO"))</f>
        <v>NO</v>
      </c>
      <c r="S121" s="141"/>
      <c r="T121" s="216"/>
      <c r="U121" s="216"/>
      <c r="V121" s="216"/>
      <c r="W121" s="216"/>
      <c r="X121" s="994"/>
      <c r="Y121" s="992"/>
    </row>
    <row r="122" spans="1:31" hidden="1" outlineLevel="1" x14ac:dyDescent="0.2">
      <c r="A122" s="141"/>
      <c r="B122" s="141"/>
      <c r="C122" s="803"/>
      <c r="D122" s="141"/>
      <c r="E122" s="141"/>
      <c r="F122" s="141"/>
      <c r="G122" s="141">
        <f>IF(G121="yes",I108-G108+1,0)</f>
        <v>1</v>
      </c>
      <c r="H122" s="141"/>
      <c r="I122" s="141"/>
      <c r="J122" s="141"/>
      <c r="K122" s="803" t="s">
        <v>411</v>
      </c>
      <c r="L122" s="216"/>
      <c r="M122" s="216"/>
      <c r="N122" s="141">
        <f>IF(N121="yes",O106-N106+1,0)</f>
        <v>0</v>
      </c>
      <c r="O122" s="510"/>
      <c r="P122" s="141">
        <f>IF(P121="yes",Q106-P106+1,0)</f>
        <v>0</v>
      </c>
      <c r="Q122" s="141"/>
      <c r="R122" s="141">
        <f>IF(R121="yes",S106-R106+1,0)</f>
        <v>0</v>
      </c>
      <c r="S122" s="141"/>
      <c r="T122" s="216"/>
      <c r="U122" s="216"/>
      <c r="V122" s="216"/>
      <c r="W122" s="216"/>
      <c r="X122" s="994"/>
      <c r="Y122" s="992"/>
    </row>
    <row r="123" spans="1:31" hidden="1" outlineLevel="1" x14ac:dyDescent="0.2">
      <c r="A123" s="141"/>
      <c r="B123" s="141"/>
      <c r="C123" s="803"/>
      <c r="D123" s="141"/>
      <c r="E123" s="141"/>
      <c r="F123" s="141"/>
      <c r="G123" s="717">
        <f>ROUND(G122/G115,6)</f>
        <v>3.2258000000000002E-2</v>
      </c>
      <c r="H123" s="141"/>
      <c r="I123" s="141"/>
      <c r="J123" s="141"/>
      <c r="K123" s="803" t="s">
        <v>398</v>
      </c>
      <c r="L123" s="216"/>
      <c r="M123" s="216"/>
      <c r="N123" s="717">
        <f>IF(ISERROR(ROUND(N122/N115,6)),0,ROUND(N122/N115,6))</f>
        <v>0</v>
      </c>
      <c r="O123" s="543"/>
      <c r="P123" s="717">
        <f>IF(ISERROR(ROUND(P122/P115,6)),0,ROUND(P122/P115,6))</f>
        <v>0</v>
      </c>
      <c r="Q123" s="520"/>
      <c r="R123" s="717">
        <f>IF(ISERROR(ROUND(R122/R115,6)),0,ROUND(R122/R115,6))</f>
        <v>0</v>
      </c>
      <c r="S123" s="141"/>
      <c r="T123" s="216"/>
      <c r="U123" s="216"/>
      <c r="V123" s="216"/>
      <c r="W123" s="216"/>
      <c r="X123" s="994"/>
      <c r="Y123" s="992"/>
    </row>
    <row r="124" spans="1:31" hidden="1" outlineLevel="1" x14ac:dyDescent="0.2">
      <c r="A124" s="141"/>
      <c r="B124" s="141"/>
      <c r="C124" s="803"/>
      <c r="D124" s="141"/>
      <c r="E124" s="141"/>
      <c r="F124" s="141"/>
      <c r="G124" s="540">
        <f>ROUND(IF(NOT(G108=0),G123*K108,0),2)</f>
        <v>0</v>
      </c>
      <c r="H124" s="141"/>
      <c r="I124" s="141"/>
      <c r="J124" s="141"/>
      <c r="K124" s="803" t="s">
        <v>413</v>
      </c>
      <c r="L124" s="216"/>
      <c r="M124" s="216"/>
      <c r="N124" s="510">
        <f>IF(NOT(N106=0),ROUND(N123*E105,0),0)</f>
        <v>0</v>
      </c>
      <c r="O124" s="510"/>
      <c r="P124" s="510">
        <f>IF(NOT(P106=0),ROUND(P123*E105,0),0)</f>
        <v>0</v>
      </c>
      <c r="Q124" s="141"/>
      <c r="R124" s="510">
        <f>IF(NOT(R106=0),ROUND(R123*E105,0),0)</f>
        <v>0</v>
      </c>
      <c r="S124" s="141"/>
      <c r="T124" s="216"/>
      <c r="U124" s="216"/>
      <c r="V124" s="216"/>
      <c r="W124" s="216"/>
      <c r="X124" s="994"/>
      <c r="Y124" s="992"/>
    </row>
    <row r="125" spans="1:31" hidden="1" outlineLevel="1" x14ac:dyDescent="0.2">
      <c r="A125" s="141"/>
      <c r="B125" s="141"/>
      <c r="C125" s="141"/>
      <c r="D125" s="141"/>
      <c r="E125" s="141"/>
      <c r="F125" s="141"/>
      <c r="G125" s="141"/>
      <c r="H125" s="141"/>
      <c r="I125" s="141"/>
      <c r="J125" s="141"/>
      <c r="K125" s="141"/>
      <c r="L125" s="216"/>
      <c r="M125" s="216"/>
      <c r="N125" s="216"/>
      <c r="O125" s="216"/>
      <c r="P125" s="216"/>
      <c r="Q125" s="141"/>
      <c r="R125" s="216"/>
      <c r="S125" s="141"/>
      <c r="T125" s="216"/>
      <c r="U125" s="216"/>
      <c r="V125" s="216"/>
      <c r="W125" s="216"/>
      <c r="X125" s="994"/>
      <c r="Y125" s="992"/>
    </row>
    <row r="126" spans="1:31" hidden="1" outlineLevel="1" x14ac:dyDescent="0.2">
      <c r="A126" s="141"/>
      <c r="B126" s="141"/>
      <c r="C126" s="141"/>
      <c r="D126" s="141"/>
      <c r="E126" s="141"/>
      <c r="F126" s="141"/>
      <c r="G126" s="716">
        <f>IF(G121="No",G118,G123)</f>
        <v>3.2258000000000002E-2</v>
      </c>
      <c r="H126" s="721"/>
      <c r="I126" s="716">
        <f>IF(G121="No",I118,0)</f>
        <v>0</v>
      </c>
      <c r="J126" s="141"/>
      <c r="K126" s="141" t="s">
        <v>492</v>
      </c>
      <c r="L126" s="216"/>
      <c r="M126" s="216"/>
      <c r="N126" s="716">
        <f>IF(N121="No",N118,N123)</f>
        <v>0</v>
      </c>
      <c r="O126" s="718">
        <f>IF(N121="No",O118,0)</f>
        <v>0</v>
      </c>
      <c r="P126" s="716">
        <f>IF(P121="No",P118,P123)</f>
        <v>0</v>
      </c>
      <c r="Q126" s="718">
        <f>IF(P121="No",Q118,0)</f>
        <v>0</v>
      </c>
      <c r="R126" s="716">
        <f>IF(R121="No",R118,R123)</f>
        <v>0</v>
      </c>
      <c r="S126" s="718">
        <f>IF(R121="No",S118,0)</f>
        <v>0</v>
      </c>
      <c r="T126" s="216"/>
      <c r="U126" s="216"/>
      <c r="V126" s="216"/>
      <c r="W126" s="216"/>
      <c r="X126" s="994"/>
      <c r="Y126" s="992"/>
    </row>
    <row r="127" spans="1:31" ht="13.5" hidden="1" outlineLevel="1" thickBot="1" x14ac:dyDescent="0.25">
      <c r="A127" s="141"/>
      <c r="B127" s="141"/>
      <c r="C127" s="141"/>
      <c r="D127" s="141"/>
      <c r="E127" s="141"/>
      <c r="F127" s="141"/>
      <c r="G127" s="603"/>
      <c r="H127" s="520"/>
      <c r="I127" s="603"/>
      <c r="J127" s="520"/>
      <c r="K127" s="141"/>
      <c r="L127" s="216"/>
      <c r="M127" s="516" t="s">
        <v>412</v>
      </c>
      <c r="N127" s="602">
        <f>N119+N124</f>
        <v>0</v>
      </c>
      <c r="O127" s="602">
        <f t="shared" ref="O127" si="22">O119+O124</f>
        <v>0</v>
      </c>
      <c r="P127" s="602">
        <f>P119+P124</f>
        <v>0</v>
      </c>
      <c r="Q127" s="602">
        <f t="shared" ref="Q127" si="23">Q119+Q124</f>
        <v>0</v>
      </c>
      <c r="R127" s="602">
        <f>R119+R124</f>
        <v>0</v>
      </c>
      <c r="S127" s="602">
        <f>S119+S124</f>
        <v>0</v>
      </c>
      <c r="T127" s="216"/>
      <c r="U127" s="216"/>
      <c r="V127" s="216"/>
      <c r="W127" s="216"/>
      <c r="X127" s="994"/>
      <c r="Y127" s="992"/>
    </row>
    <row r="128" spans="1:31" ht="13.5" collapsed="1" thickBot="1" x14ac:dyDescent="0.25">
      <c r="A128" s="141"/>
      <c r="B128" s="141"/>
      <c r="C128" s="141"/>
      <c r="D128" s="141"/>
      <c r="E128" s="141"/>
      <c r="F128" s="141"/>
      <c r="G128" s="1663">
        <f>G119+G124</f>
        <v>0</v>
      </c>
      <c r="H128" s="1663"/>
      <c r="I128" s="1663">
        <f>I119+I124</f>
        <v>0</v>
      </c>
      <c r="J128" s="1663"/>
      <c r="K128" s="803" t="s">
        <v>399</v>
      </c>
      <c r="L128" s="216"/>
      <c r="M128" s="216"/>
      <c r="N128" s="141"/>
      <c r="O128" s="216"/>
      <c r="P128" s="216"/>
      <c r="Q128" s="141"/>
      <c r="R128" s="219"/>
      <c r="S128" s="219"/>
      <c r="T128" s="216"/>
      <c r="U128" s="216"/>
      <c r="V128" s="216"/>
      <c r="W128" s="216"/>
      <c r="X128" s="994"/>
      <c r="Y128" s="992"/>
    </row>
    <row r="129" spans="1:31" ht="15.75" thickTop="1" x14ac:dyDescent="0.25">
      <c r="A129" s="141"/>
      <c r="B129" s="141"/>
      <c r="C129" s="141"/>
      <c r="D129" s="141"/>
      <c r="E129" s="141"/>
      <c r="F129" s="141"/>
      <c r="G129" s="842" t="str">
        <f>IF($AD115&gt;0,"ERROR ALERT:  The date range in your service start/end dates is NOT consistent with the OTO start/end dates ('OTO Terms' above), please check your dates and re-enter.","")</f>
        <v/>
      </c>
      <c r="H129" s="801"/>
      <c r="I129" s="801"/>
      <c r="J129" s="801"/>
      <c r="K129" s="803"/>
      <c r="L129" s="216"/>
      <c r="M129" s="216"/>
      <c r="N129" s="141"/>
      <c r="O129" s="216"/>
      <c r="P129" s="216"/>
      <c r="Q129" s="141"/>
      <c r="R129" s="219"/>
      <c r="S129" s="219"/>
      <c r="T129" s="216"/>
      <c r="U129" s="216"/>
      <c r="V129" s="216"/>
      <c r="W129" s="216"/>
      <c r="X129" s="994"/>
      <c r="Y129" s="992"/>
    </row>
    <row r="130" spans="1:31" ht="15" x14ac:dyDescent="0.25">
      <c r="B130" s="609" t="s">
        <v>592</v>
      </c>
      <c r="R130" s="254"/>
      <c r="S130" s="254"/>
    </row>
    <row r="131" spans="1:31" x14ac:dyDescent="0.2">
      <c r="R131" s="1660" t="s">
        <v>547</v>
      </c>
      <c r="S131" s="1660"/>
    </row>
    <row r="132" spans="1:31" hidden="1" outlineLevel="1" x14ac:dyDescent="0.2">
      <c r="A132" s="141"/>
      <c r="B132" s="141" t="s">
        <v>493</v>
      </c>
      <c r="C132" s="141"/>
      <c r="D132" s="597">
        <f>IF(NOT(G141=0),IF(G154="NO",(YEAR(I141)-YEAR(G141))*12+MONTH(I141)-MONTH(G141)+IF(G145="no",1,0)+IF(I145="yes",-1,0),0),0)</f>
        <v>0</v>
      </c>
      <c r="E132" s="141"/>
      <c r="F132" s="141"/>
      <c r="G132" s="141"/>
      <c r="H132" s="141"/>
      <c r="I132" s="141"/>
      <c r="J132" s="141"/>
      <c r="K132" s="141"/>
      <c r="L132" s="141"/>
      <c r="M132" s="516" t="s">
        <v>493</v>
      </c>
      <c r="N132" s="597">
        <f>IF(NOT(N139="n/a"),(YEAR(O139)-YEAR(N139))*12+MONTH(O139)-MONTH(N139)+IF(N145="no",1,0)+IF(O145="yes",-1,0),0)</f>
        <v>0</v>
      </c>
      <c r="O132" s="254"/>
      <c r="P132" s="597">
        <f>IF(NOT(P139="n/a"),(YEAR(Q139)-YEAR(P139))*12+MONTH(Q139)-MONTH(P139)+IF(P145="no",1,0)+IF(Q145="yes",-1,0),0)</f>
        <v>0</v>
      </c>
      <c r="Q132" s="141"/>
      <c r="R132" s="597">
        <f>IF(NOT(R139="n/a"),(YEAR(S139)-YEAR(R139))*12+MONTH(S139)-MONTH(R139)+IF(R145="no",1,0)+IF(S145="yes",-1,0),0)</f>
        <v>0</v>
      </c>
      <c r="S132" s="202"/>
      <c r="T132" s="216"/>
      <c r="U132" s="141"/>
      <c r="V132" s="216"/>
      <c r="W132" s="216"/>
      <c r="X132" s="994"/>
      <c r="Y132" s="992"/>
    </row>
    <row r="133" spans="1:31" hidden="1" outlineLevel="1" x14ac:dyDescent="0.2">
      <c r="A133" s="141"/>
      <c r="B133" s="141" t="s">
        <v>494</v>
      </c>
      <c r="C133" s="141"/>
      <c r="D133" s="598">
        <f>IF(NOT(G141=0),G159,0)</f>
        <v>0</v>
      </c>
      <c r="E133" s="141"/>
      <c r="F133" s="141"/>
      <c r="G133" s="141"/>
      <c r="H133" s="141"/>
      <c r="I133" s="141"/>
      <c r="J133" s="141"/>
      <c r="K133" s="141"/>
      <c r="L133" s="141"/>
      <c r="M133" s="516" t="s">
        <v>494</v>
      </c>
      <c r="N133" s="598">
        <f>N159</f>
        <v>0</v>
      </c>
      <c r="O133" s="216"/>
      <c r="P133" s="598">
        <f>P159</f>
        <v>0</v>
      </c>
      <c r="Q133" s="141"/>
      <c r="R133" s="598">
        <f>R159</f>
        <v>0</v>
      </c>
      <c r="S133" s="202"/>
      <c r="T133" s="216"/>
      <c r="U133" s="141"/>
      <c r="V133" s="216"/>
      <c r="W133" s="216"/>
      <c r="X133" s="994"/>
      <c r="Y133" s="992"/>
    </row>
    <row r="134" spans="1:31" hidden="1" outlineLevel="1" x14ac:dyDescent="0.2">
      <c r="A134" s="141"/>
      <c r="B134" s="141" t="s">
        <v>495</v>
      </c>
      <c r="C134" s="141"/>
      <c r="D134" s="599">
        <f>IF(NOT(G141=0),I159,0)</f>
        <v>0</v>
      </c>
      <c r="E134" s="141"/>
      <c r="F134" s="141"/>
      <c r="G134" s="141"/>
      <c r="H134" s="141"/>
      <c r="I134" s="141"/>
      <c r="J134" s="141"/>
      <c r="K134" s="141"/>
      <c r="L134" s="141"/>
      <c r="M134" s="516" t="s">
        <v>495</v>
      </c>
      <c r="N134" s="599">
        <f>O159</f>
        <v>0</v>
      </c>
      <c r="O134" s="216"/>
      <c r="P134" s="599">
        <f>Q159</f>
        <v>0</v>
      </c>
      <c r="Q134" s="141"/>
      <c r="R134" s="599">
        <f>S159</f>
        <v>0</v>
      </c>
      <c r="S134" s="202"/>
      <c r="T134" s="216"/>
      <c r="U134" s="141"/>
      <c r="V134" s="216"/>
      <c r="W134" s="216"/>
      <c r="X134" s="994"/>
      <c r="Y134" s="992"/>
    </row>
    <row r="135" spans="1:31" hidden="1" outlineLevel="1" x14ac:dyDescent="0.2">
      <c r="A135" s="141"/>
      <c r="B135" s="219" t="s">
        <v>496</v>
      </c>
      <c r="C135" s="141"/>
      <c r="D135" s="597">
        <f>SUM(D132:D134)</f>
        <v>0</v>
      </c>
      <c r="E135" s="141"/>
      <c r="F135" s="141"/>
      <c r="G135" s="141"/>
      <c r="H135" s="141"/>
      <c r="I135" s="141"/>
      <c r="J135" s="141"/>
      <c r="K135" s="141"/>
      <c r="L135" s="141"/>
      <c r="M135" s="499" t="s">
        <v>496</v>
      </c>
      <c r="N135" s="597">
        <f>SUM(N132:N134)</f>
        <v>0</v>
      </c>
      <c r="O135" s="216"/>
      <c r="P135" s="597">
        <f>SUM(P132:P134)</f>
        <v>0</v>
      </c>
      <c r="Q135" s="141"/>
      <c r="R135" s="597">
        <f>SUM(R132:R134)</f>
        <v>0</v>
      </c>
      <c r="S135" s="202"/>
      <c r="T135" s="216"/>
      <c r="U135" s="141"/>
      <c r="V135" s="216"/>
      <c r="W135" s="216"/>
      <c r="X135" s="994"/>
      <c r="Y135" s="992"/>
    </row>
    <row r="136" spans="1:31" hidden="1" outlineLevel="1" x14ac:dyDescent="0.2">
      <c r="A136" s="216"/>
      <c r="B136" s="219"/>
      <c r="C136" s="216"/>
      <c r="D136" s="601"/>
      <c r="E136" s="216"/>
      <c r="F136" s="216"/>
      <c r="G136" s="216"/>
      <c r="H136" s="216"/>
      <c r="I136" s="216"/>
      <c r="J136" s="216"/>
      <c r="K136" s="216"/>
      <c r="L136" s="216"/>
      <c r="M136" s="499"/>
      <c r="N136" s="216"/>
      <c r="O136" s="216"/>
      <c r="P136" s="601"/>
      <c r="Q136" s="216"/>
      <c r="R136" s="216"/>
      <c r="S136" s="254"/>
      <c r="T136" s="216"/>
      <c r="U136" s="216"/>
      <c r="V136" s="216"/>
      <c r="W136" s="216"/>
      <c r="X136" s="994"/>
      <c r="Y136" s="992"/>
    </row>
    <row r="137" spans="1:31" hidden="1" outlineLevel="1" x14ac:dyDescent="0.2">
      <c r="A137" s="141"/>
      <c r="B137" s="141"/>
      <c r="C137" s="141"/>
      <c r="D137" s="141"/>
      <c r="E137" s="141"/>
      <c r="F137" s="141"/>
      <c r="G137" s="141"/>
      <c r="H137" s="141"/>
      <c r="I137" s="141"/>
      <c r="J137" s="141"/>
      <c r="K137" s="141"/>
      <c r="L137" s="141"/>
      <c r="M137" s="141"/>
      <c r="N137" s="141"/>
      <c r="O137" s="141"/>
      <c r="P137" s="141"/>
      <c r="Q137" s="141"/>
      <c r="R137" s="216"/>
      <c r="S137" s="254"/>
      <c r="T137" s="216"/>
      <c r="U137" s="141"/>
      <c r="V137" s="216"/>
      <c r="W137" s="216"/>
      <c r="X137" s="994"/>
      <c r="Y137" s="992"/>
    </row>
    <row r="138" spans="1:31" collapsed="1" x14ac:dyDescent="0.2">
      <c r="A138" s="141"/>
      <c r="B138" s="219" t="s">
        <v>497</v>
      </c>
      <c r="C138" s="141"/>
      <c r="D138" s="216"/>
      <c r="E138" s="600">
        <f>$L$68</f>
        <v>0</v>
      </c>
      <c r="F138" s="141"/>
      <c r="G138" s="1664"/>
      <c r="H138" s="1664"/>
      <c r="I138" s="141"/>
      <c r="J138" s="141"/>
      <c r="K138" s="141"/>
      <c r="L138" s="216"/>
      <c r="M138" s="216"/>
      <c r="N138" s="590" t="s">
        <v>545</v>
      </c>
      <c r="O138" s="591" t="s">
        <v>579</v>
      </c>
      <c r="P138" s="590" t="s">
        <v>545</v>
      </c>
      <c r="Q138" s="591" t="s">
        <v>579</v>
      </c>
      <c r="R138" s="590" t="s">
        <v>545</v>
      </c>
      <c r="S138" s="591" t="s">
        <v>579</v>
      </c>
      <c r="T138" s="216"/>
      <c r="U138" s="141"/>
      <c r="V138" s="216"/>
      <c r="W138" s="216"/>
      <c r="X138" s="994"/>
      <c r="Y138" s="992"/>
      <c r="Z138" s="994" t="s">
        <v>581</v>
      </c>
      <c r="AA138" s="1074">
        <f>IF(G141&gt;0,IF(MONTH(G141)&gt;3,DATE(YEAR(G141)+1,3,31),DATE(YEAR(G141),3,31)),0)</f>
        <v>0</v>
      </c>
    </row>
    <row r="139" spans="1:31" x14ac:dyDescent="0.2">
      <c r="A139" s="141"/>
      <c r="B139" s="141"/>
      <c r="C139" s="141"/>
      <c r="D139" s="141"/>
      <c r="E139" s="141"/>
      <c r="F139" s="141"/>
      <c r="G139" s="494" t="str">
        <f>IF(AD142&gt;0,"WARNING: Generally, you may not cross a CLBC March 31 fiscal year end, please re-check your dates.","")</f>
        <v/>
      </c>
      <c r="H139" s="141"/>
      <c r="I139" s="141"/>
      <c r="J139" s="141"/>
      <c r="K139" s="141"/>
      <c r="L139" s="216"/>
      <c r="M139" s="216"/>
      <c r="N139" s="503" t="str">
        <f>IF(OR(Z148=1,Z148=2,Z148=3),G141,"N/A")</f>
        <v>N/A</v>
      </c>
      <c r="O139" s="504" t="str">
        <f>IF(Z148=1,I141,IF(OR(Z148=2,Z148=3),$AA$79,"N/A"))</f>
        <v>N/A</v>
      </c>
      <c r="P139" s="503" t="str">
        <f>IF(OR(Z148=2,Z148=3),$AA$81,IF(OR(Z148=4,Z148=5),G141,"N/A"))</f>
        <v>N/A</v>
      </c>
      <c r="Q139" s="504" t="str">
        <f>IF(OR(Z148=2,Z148=4),I141,IF(OR(Z148=3,Z148=5),$AA$83,"N/A"))</f>
        <v>N/A</v>
      </c>
      <c r="R139" s="505" t="str">
        <f>IF(OR(Z148=3,Z148=5),$AA$85,IF(Z148=6,G141,"N/A"))</f>
        <v>N/A</v>
      </c>
      <c r="S139" s="504" t="str">
        <f>IF(OR(Z148=3,Z148=5,Z148=6),I141,"N/A")</f>
        <v>N/A</v>
      </c>
      <c r="T139" s="216"/>
      <c r="U139" s="141"/>
      <c r="V139" s="216"/>
      <c r="W139" s="216"/>
      <c r="X139" s="994"/>
      <c r="Y139" s="992"/>
      <c r="Z139" s="994" t="s">
        <v>582</v>
      </c>
      <c r="AA139" s="1074">
        <f>IF(AA138&gt;=$L$20,$L$20,AA138)</f>
        <v>0</v>
      </c>
    </row>
    <row r="140" spans="1:31" ht="38.25" customHeight="1" x14ac:dyDescent="0.2">
      <c r="A140" s="140"/>
      <c r="B140" s="792" t="s">
        <v>464</v>
      </c>
      <c r="C140" s="1543" t="s">
        <v>351</v>
      </c>
      <c r="D140" s="1543"/>
      <c r="E140" s="587" t="s">
        <v>481</v>
      </c>
      <c r="F140" s="587" t="s">
        <v>482</v>
      </c>
      <c r="G140" s="1522" t="s">
        <v>519</v>
      </c>
      <c r="H140" s="1523"/>
      <c r="I140" s="1522" t="s">
        <v>520</v>
      </c>
      <c r="J140" s="1523" t="s">
        <v>520</v>
      </c>
      <c r="K140" s="805" t="s">
        <v>387</v>
      </c>
      <c r="L140" s="793" t="s">
        <v>483</v>
      </c>
      <c r="M140" s="793" t="s">
        <v>388</v>
      </c>
      <c r="N140" s="1543" t="s">
        <v>389</v>
      </c>
      <c r="O140" s="1543"/>
      <c r="P140" s="1543" t="s">
        <v>390</v>
      </c>
      <c r="Q140" s="1543"/>
      <c r="R140" s="1543" t="s">
        <v>578</v>
      </c>
      <c r="S140" s="1543"/>
      <c r="T140" s="286"/>
      <c r="U140" s="140"/>
      <c r="V140" s="286"/>
      <c r="W140" s="286"/>
      <c r="X140" s="1002"/>
      <c r="Y140" s="1105"/>
    </row>
    <row r="141" spans="1:31" x14ac:dyDescent="0.2">
      <c r="A141" s="141"/>
      <c r="B141" s="666"/>
      <c r="C141" s="1544"/>
      <c r="D141" s="1544"/>
      <c r="E141" s="808" t="s">
        <v>484</v>
      </c>
      <c r="F141" s="808" t="str">
        <f>IF($L$23="Fixed Lump Sum","Y","N")</f>
        <v>N</v>
      </c>
      <c r="G141" s="1665"/>
      <c r="H141" s="1667"/>
      <c r="I141" s="1665"/>
      <c r="J141" s="1666"/>
      <c r="K141" s="588">
        <f>IF(F141="N",IF(NOT(G141=0),$J$68,0),0)</f>
        <v>0</v>
      </c>
      <c r="L141" s="588">
        <f>IF(F141="Y",$J$68*D135,0)</f>
        <v>0</v>
      </c>
      <c r="M141" s="588">
        <f>ROUND(IF(F141="Y",L141,IF(G154="yes",G161,K141*D132+G161+I161)),2)</f>
        <v>0</v>
      </c>
      <c r="N141" s="1661">
        <f>IF(N154="yes",N160,ROUND(E138*N132,0)+N160+O160)</f>
        <v>0</v>
      </c>
      <c r="O141" s="1662"/>
      <c r="P141" s="1661">
        <f>IF(P154="yes",P160,ROUND(E138*P132,0)+P160+Q160)</f>
        <v>0</v>
      </c>
      <c r="Q141" s="1662"/>
      <c r="R141" s="1661">
        <f>IF(R154="yes",R160,ROUND(E138*R132,0)+R160+S160)</f>
        <v>0</v>
      </c>
      <c r="S141" s="1662"/>
      <c r="T141" s="216"/>
      <c r="U141" s="141"/>
      <c r="V141" s="216"/>
      <c r="W141" s="216"/>
      <c r="X141" s="994"/>
      <c r="Y141" s="992"/>
      <c r="AA141" s="992" t="s">
        <v>553</v>
      </c>
      <c r="AB141" s="992" t="s">
        <v>554</v>
      </c>
      <c r="AC141" s="994"/>
      <c r="AD141" s="1109" t="s">
        <v>617</v>
      </c>
      <c r="AE141" s="1109" t="s">
        <v>718</v>
      </c>
    </row>
    <row r="142" spans="1:31" hidden="1" outlineLevel="1" x14ac:dyDescent="0.2">
      <c r="A142" s="141"/>
      <c r="B142" s="141"/>
      <c r="C142" s="803"/>
      <c r="D142" s="141"/>
      <c r="E142" s="141"/>
      <c r="F142" s="141"/>
      <c r="G142" s="141">
        <f>G148</f>
        <v>31</v>
      </c>
      <c r="H142" s="141"/>
      <c r="I142" s="141">
        <f>I148</f>
        <v>31</v>
      </c>
      <c r="J142" s="141"/>
      <c r="K142" s="803" t="s">
        <v>391</v>
      </c>
      <c r="L142" s="216"/>
      <c r="M142" s="216"/>
      <c r="N142" s="141">
        <f t="shared" ref="N142:S142" si="24">N148</f>
        <v>0</v>
      </c>
      <c r="O142" s="141">
        <f t="shared" si="24"/>
        <v>0</v>
      </c>
      <c r="P142" s="141">
        <f t="shared" si="24"/>
        <v>0</v>
      </c>
      <c r="Q142" s="141">
        <f t="shared" si="24"/>
        <v>0</v>
      </c>
      <c r="R142" s="141">
        <f t="shared" si="24"/>
        <v>0</v>
      </c>
      <c r="S142" s="141">
        <f t="shared" si="24"/>
        <v>0</v>
      </c>
      <c r="T142" s="216"/>
      <c r="U142" s="141"/>
      <c r="V142" s="216"/>
      <c r="W142" s="216"/>
      <c r="X142" s="994"/>
      <c r="Y142" s="992"/>
      <c r="Z142" s="992">
        <f>IF(AND(G141&gt;=$AA$77,I141&lt;=$AA$79),1,0)</f>
        <v>0</v>
      </c>
      <c r="AA142" s="992" t="s">
        <v>556</v>
      </c>
      <c r="AB142" s="992" t="s">
        <v>557</v>
      </c>
      <c r="AC142" s="994"/>
      <c r="AD142" s="994">
        <f>IF(AND(G141&gt;0,I141&gt;0,I141&gt;$AA139),1,0)</f>
        <v>0</v>
      </c>
      <c r="AE142" s="994" t="s">
        <v>619</v>
      </c>
    </row>
    <row r="143" spans="1:31" hidden="1" outlineLevel="1" x14ac:dyDescent="0.2">
      <c r="A143" s="141"/>
      <c r="B143" s="141"/>
      <c r="C143" s="803"/>
      <c r="D143" s="141"/>
      <c r="E143" s="141"/>
      <c r="F143" s="141"/>
      <c r="G143" s="141">
        <v>1</v>
      </c>
      <c r="H143" s="141"/>
      <c r="I143" s="141">
        <v>1</v>
      </c>
      <c r="J143" s="141"/>
      <c r="K143" s="803" t="s">
        <v>392</v>
      </c>
      <c r="L143" s="216"/>
      <c r="M143" s="216"/>
      <c r="N143" s="141">
        <v>1</v>
      </c>
      <c r="O143" s="141">
        <v>1</v>
      </c>
      <c r="P143" s="141">
        <v>1</v>
      </c>
      <c r="Q143" s="141">
        <v>1</v>
      </c>
      <c r="R143" s="141">
        <v>1</v>
      </c>
      <c r="S143" s="141">
        <v>1</v>
      </c>
      <c r="T143" s="216"/>
      <c r="U143" s="141"/>
      <c r="V143" s="216"/>
      <c r="W143" s="216"/>
      <c r="X143" s="994"/>
      <c r="Y143" s="992"/>
      <c r="Z143" s="992">
        <f>IF(AND(G141&lt;=$AA$79,I141&gt;$AA$79,I141&lt;=$AA$83),2,0)</f>
        <v>0</v>
      </c>
      <c r="AA143" s="992" t="s">
        <v>559</v>
      </c>
      <c r="AB143" s="992" t="s">
        <v>560</v>
      </c>
      <c r="AC143" s="994"/>
    </row>
    <row r="144" spans="1:31" hidden="1" outlineLevel="1" x14ac:dyDescent="0.2">
      <c r="A144" s="141"/>
      <c r="B144" s="141"/>
      <c r="C144" s="803"/>
      <c r="D144" s="141"/>
      <c r="E144" s="141"/>
      <c r="F144" s="141"/>
      <c r="G144" s="141">
        <f>DAY(G141)</f>
        <v>0</v>
      </c>
      <c r="H144" s="141"/>
      <c r="I144" s="141">
        <f>DAY(I141)</f>
        <v>0</v>
      </c>
      <c r="J144" s="141"/>
      <c r="K144" s="803" t="s">
        <v>393</v>
      </c>
      <c r="L144" s="216"/>
      <c r="M144" s="216"/>
      <c r="N144" s="141" t="b">
        <f t="shared" ref="N144:O144" si="25">IF(NOT(N139="n/a"),DAY(N139))</f>
        <v>0</v>
      </c>
      <c r="O144" s="141" t="b">
        <f t="shared" si="25"/>
        <v>0</v>
      </c>
      <c r="P144" s="141" t="b">
        <f>IF(NOT(P139="n/a"),DAY(P139))</f>
        <v>0</v>
      </c>
      <c r="Q144" s="141" t="b">
        <f>IF(NOT(Q139="n/a"),DAY(Q139))</f>
        <v>0</v>
      </c>
      <c r="R144" s="141" t="b">
        <f>IF(NOT(R139="n/a"),DAY(R139))</f>
        <v>0</v>
      </c>
      <c r="S144" s="141" t="b">
        <f>IF(NOT(S139="n/a"),DAY(S139))</f>
        <v>0</v>
      </c>
      <c r="T144" s="216"/>
      <c r="U144" s="141"/>
      <c r="V144" s="216"/>
      <c r="W144" s="216"/>
      <c r="X144" s="994"/>
      <c r="Y144" s="992"/>
      <c r="Z144" s="994">
        <f>IF(AND(G141&lt;$AA$79,I141&gt;$AA$83,I141&lt;=$AA$86),3,0)</f>
        <v>0</v>
      </c>
      <c r="AA144" s="992" t="s">
        <v>562</v>
      </c>
      <c r="AB144" s="994" t="s">
        <v>563</v>
      </c>
      <c r="AC144" s="994"/>
      <c r="AD144" s="1109" t="s">
        <v>617</v>
      </c>
      <c r="AE144" s="1109" t="s">
        <v>719</v>
      </c>
    </row>
    <row r="145" spans="1:31" hidden="1" outlineLevel="1" x14ac:dyDescent="0.2">
      <c r="A145" s="141"/>
      <c r="B145" s="141"/>
      <c r="C145" s="803"/>
      <c r="D145" s="141"/>
      <c r="E145" s="141"/>
      <c r="F145" s="141"/>
      <c r="G145" s="516" t="str">
        <f>IF(G144=G143,"No","Yes")</f>
        <v>Yes</v>
      </c>
      <c r="H145" s="141"/>
      <c r="I145" s="516" t="str">
        <f>IF(I144=I142,"No","Yes")</f>
        <v>Yes</v>
      </c>
      <c r="J145" s="141"/>
      <c r="K145" s="803" t="s">
        <v>394</v>
      </c>
      <c r="L145" s="216"/>
      <c r="M145" s="216"/>
      <c r="N145" s="516" t="str">
        <f>IF(N144=N143,"No","Yes")</f>
        <v>Yes</v>
      </c>
      <c r="O145" s="516" t="str">
        <f>IF(O144=O142,"No","Yes")</f>
        <v>Yes</v>
      </c>
      <c r="P145" s="516" t="str">
        <f>IF(P144=P143,"No","Yes")</f>
        <v>Yes</v>
      </c>
      <c r="Q145" s="516" t="str">
        <f>IF(Q144=Q142,"No","Yes")</f>
        <v>Yes</v>
      </c>
      <c r="R145" s="516" t="str">
        <f>IF(R144=R143,"No","Yes")</f>
        <v>Yes</v>
      </c>
      <c r="S145" s="516" t="str">
        <f>IF(S144=S142,"No","Yes")</f>
        <v>Yes</v>
      </c>
      <c r="T145" s="216"/>
      <c r="U145" s="216"/>
      <c r="V145" s="216"/>
      <c r="W145" s="216"/>
      <c r="X145" s="994"/>
      <c r="Y145" s="992"/>
      <c r="Z145" s="992">
        <f>IF(AND(G141&gt;=$AA$81,I141&lt;=$AA$83),4,0)</f>
        <v>4</v>
      </c>
      <c r="AA145" s="992" t="s">
        <v>565</v>
      </c>
      <c r="AB145" s="994" t="s">
        <v>566</v>
      </c>
      <c r="AC145" s="994"/>
      <c r="AD145" s="994">
        <f>IF(OR(G141&lt;$L$18,G141&gt;$L$20),1,0)</f>
        <v>0</v>
      </c>
      <c r="AE145" s="994" t="s">
        <v>618</v>
      </c>
    </row>
    <row r="146" spans="1:31" hidden="1" outlineLevel="1" x14ac:dyDescent="0.2">
      <c r="A146" s="141"/>
      <c r="B146" s="141"/>
      <c r="C146" s="803"/>
      <c r="D146" s="141"/>
      <c r="E146" s="141"/>
      <c r="F146" s="141"/>
      <c r="G146" s="219"/>
      <c r="H146" s="141"/>
      <c r="I146" s="219"/>
      <c r="J146" s="141"/>
      <c r="K146" s="803"/>
      <c r="L146" s="216"/>
      <c r="M146" s="216"/>
      <c r="N146" s="34"/>
      <c r="O146" s="34"/>
      <c r="P146" s="34"/>
      <c r="R146" s="34"/>
      <c r="S146" s="34"/>
      <c r="T146" s="216"/>
      <c r="U146" s="216"/>
      <c r="V146" s="216"/>
      <c r="W146" s="216"/>
      <c r="X146" s="994"/>
      <c r="Y146" s="992"/>
      <c r="Z146" s="992">
        <f>IF(AND(G141&gt;=$AA$81,G141&lt;=$AA$83,I141&gt;$AA$85),5,0)</f>
        <v>0</v>
      </c>
      <c r="AA146" s="992" t="s">
        <v>568</v>
      </c>
      <c r="AB146" s="994" t="s">
        <v>569</v>
      </c>
      <c r="AC146" s="994"/>
      <c r="AD146" s="994">
        <f>IF(OR(I141&lt;$L$18,I141&gt;$L$20),1,0)</f>
        <v>0</v>
      </c>
      <c r="AE146" s="994" t="s">
        <v>705</v>
      </c>
    </row>
    <row r="147" spans="1:31" hidden="1" outlineLevel="1" x14ac:dyDescent="0.2">
      <c r="A147" s="141"/>
      <c r="B147" s="141"/>
      <c r="C147" s="803"/>
      <c r="D147" s="141"/>
      <c r="E147" s="141"/>
      <c r="F147" s="141"/>
      <c r="G147" s="518">
        <f>EOMONTH(G141,0)</f>
        <v>31</v>
      </c>
      <c r="H147" s="141"/>
      <c r="I147" s="518">
        <f>EOMONTH(I141,0)</f>
        <v>31</v>
      </c>
      <c r="J147" s="141"/>
      <c r="K147" s="803" t="s">
        <v>395</v>
      </c>
      <c r="L147" s="216"/>
      <c r="M147" s="216"/>
      <c r="N147" s="518" t="b">
        <f t="shared" ref="N147:S147" si="26">IF(NOT(N139="n/a"),EOMONTH(N139,0))</f>
        <v>0</v>
      </c>
      <c r="O147" s="518" t="b">
        <f t="shared" si="26"/>
        <v>0</v>
      </c>
      <c r="P147" s="518" t="b">
        <f t="shared" si="26"/>
        <v>0</v>
      </c>
      <c r="Q147" s="518" t="b">
        <f t="shared" si="26"/>
        <v>0</v>
      </c>
      <c r="R147" s="518" t="b">
        <f t="shared" si="26"/>
        <v>0</v>
      </c>
      <c r="S147" s="518" t="b">
        <f t="shared" si="26"/>
        <v>0</v>
      </c>
      <c r="T147" s="216"/>
      <c r="U147" s="216"/>
      <c r="V147" s="216"/>
      <c r="W147" s="216"/>
      <c r="X147" s="994"/>
      <c r="Y147" s="992"/>
      <c r="Z147" s="1111">
        <f>IF(AND(G141&gt;=$AA$85,I141&lt;=$AA$86),6,0)</f>
        <v>6</v>
      </c>
      <c r="AA147" s="992" t="s">
        <v>571</v>
      </c>
      <c r="AB147" s="994" t="s">
        <v>572</v>
      </c>
      <c r="AC147" s="994"/>
      <c r="AD147" s="994"/>
      <c r="AE147" s="994"/>
    </row>
    <row r="148" spans="1:31" ht="13.5" hidden="1" outlineLevel="1" thickBot="1" x14ac:dyDescent="0.25">
      <c r="A148" s="141"/>
      <c r="B148" s="141"/>
      <c r="C148" s="803"/>
      <c r="D148" s="141"/>
      <c r="E148" s="141"/>
      <c r="F148" s="141"/>
      <c r="G148" s="141">
        <f>DAY(G147)</f>
        <v>31</v>
      </c>
      <c r="H148" s="141"/>
      <c r="I148" s="141">
        <f>DAY(I147)</f>
        <v>31</v>
      </c>
      <c r="J148" s="141"/>
      <c r="K148" s="803" t="s">
        <v>396</v>
      </c>
      <c r="L148" s="216"/>
      <c r="M148" s="216"/>
      <c r="N148" s="141">
        <f>DAY(N147)</f>
        <v>0</v>
      </c>
      <c r="O148" s="141">
        <f>DAY(O147)</f>
        <v>0</v>
      </c>
      <c r="P148" s="141">
        <f t="shared" ref="P148:S148" si="27">DAY(P147)</f>
        <v>0</v>
      </c>
      <c r="Q148" s="141">
        <f t="shared" si="27"/>
        <v>0</v>
      </c>
      <c r="R148" s="141">
        <f t="shared" si="27"/>
        <v>0</v>
      </c>
      <c r="S148" s="141">
        <f t="shared" si="27"/>
        <v>0</v>
      </c>
      <c r="T148" s="216"/>
      <c r="U148" s="216"/>
      <c r="V148" s="216"/>
      <c r="W148" s="216"/>
      <c r="X148" s="994"/>
      <c r="Y148" s="992"/>
      <c r="Z148" s="1112">
        <f>IF(AND(NOT(G141=0),NOT(I141=0)),SUM(Z142:Z147),0)</f>
        <v>0</v>
      </c>
      <c r="AA148" s="992" t="s">
        <v>601</v>
      </c>
      <c r="AC148" s="994"/>
      <c r="AD148" s="1112">
        <f>IF(AND(G141&gt;0,I141&gt;0),SUM(AD145:AD147),0)</f>
        <v>0</v>
      </c>
      <c r="AE148" s="994" t="s">
        <v>620</v>
      </c>
    </row>
    <row r="149" spans="1:31" hidden="1" outlineLevel="1" x14ac:dyDescent="0.2">
      <c r="A149" s="141"/>
      <c r="B149" s="141"/>
      <c r="C149" s="803"/>
      <c r="D149" s="141"/>
      <c r="E149" s="141"/>
      <c r="F149" s="141"/>
      <c r="G149" s="520">
        <f>G147-G141+1</f>
        <v>32</v>
      </c>
      <c r="H149" s="141"/>
      <c r="I149" s="520">
        <f>I147-I141</f>
        <v>31</v>
      </c>
      <c r="J149" s="141"/>
      <c r="K149" s="803" t="s">
        <v>628</v>
      </c>
      <c r="L149" s="216"/>
      <c r="M149" s="216"/>
      <c r="N149" s="520" t="b">
        <f>IF(NOT(N139="n/a"),N147-N139+1)</f>
        <v>0</v>
      </c>
      <c r="O149" s="520" t="b">
        <f>IF(NOT(O139="n/a"),O147-O139)</f>
        <v>0</v>
      </c>
      <c r="P149" s="520" t="b">
        <f>IF(NOT(P139="n/a"),P147-P139+1)</f>
        <v>0</v>
      </c>
      <c r="Q149" s="520" t="b">
        <f>IF(NOT(Q139="n/a"),Q147-Q139)</f>
        <v>0</v>
      </c>
      <c r="R149" s="520" t="b">
        <f>IF(NOT(R139="n/a"),R147-R139+1)</f>
        <v>0</v>
      </c>
      <c r="S149" s="520" t="b">
        <f>IF(NOT(S139="n/a"),S147-S139)</f>
        <v>0</v>
      </c>
      <c r="T149" s="216"/>
      <c r="U149" s="216"/>
      <c r="V149" s="216"/>
      <c r="W149" s="216"/>
      <c r="X149" s="994"/>
      <c r="Y149" s="992"/>
      <c r="AC149" s="994"/>
      <c r="AD149" s="994"/>
      <c r="AE149" s="994"/>
    </row>
    <row r="150" spans="1:31" hidden="1" outlineLevel="1" x14ac:dyDescent="0.2">
      <c r="A150" s="141"/>
      <c r="B150" s="141"/>
      <c r="C150" s="803"/>
      <c r="D150" s="141"/>
      <c r="E150" s="141"/>
      <c r="F150" s="141"/>
      <c r="G150" s="141">
        <f>G148-G149</f>
        <v>-1</v>
      </c>
      <c r="H150" s="141"/>
      <c r="I150" s="141">
        <f>I148-I149</f>
        <v>0</v>
      </c>
      <c r="J150" s="141"/>
      <c r="K150" s="803" t="s">
        <v>397</v>
      </c>
      <c r="L150" s="216"/>
      <c r="M150" s="216"/>
      <c r="N150" s="141">
        <f t="shared" ref="N150:S150" si="28">N148-N149</f>
        <v>0</v>
      </c>
      <c r="O150" s="141">
        <f t="shared" si="28"/>
        <v>0</v>
      </c>
      <c r="P150" s="141">
        <f t="shared" si="28"/>
        <v>0</v>
      </c>
      <c r="Q150" s="141">
        <f t="shared" si="28"/>
        <v>0</v>
      </c>
      <c r="R150" s="141">
        <f t="shared" si="28"/>
        <v>0</v>
      </c>
      <c r="S150" s="141">
        <f t="shared" si="28"/>
        <v>0</v>
      </c>
      <c r="T150" s="216"/>
      <c r="U150" s="216"/>
      <c r="V150" s="216"/>
      <c r="W150" s="216"/>
      <c r="X150" s="994"/>
      <c r="Y150" s="992"/>
      <c r="AC150" s="994"/>
      <c r="AD150" s="994"/>
      <c r="AE150" s="994"/>
    </row>
    <row r="151" spans="1:31" hidden="1" outlineLevel="1" x14ac:dyDescent="0.2">
      <c r="A151" s="141"/>
      <c r="B151" s="141"/>
      <c r="C151" s="803"/>
      <c r="D151" s="141"/>
      <c r="E151" s="141"/>
      <c r="F151" s="141"/>
      <c r="G151" s="718">
        <f>IF(G145="Yes",ROUND(G149/G148,6),0)</f>
        <v>1.0322579999999999</v>
      </c>
      <c r="H151" s="719"/>
      <c r="I151" s="718">
        <f>IF(I145="Yes",ROUND(I150/I148,6),0)</f>
        <v>0</v>
      </c>
      <c r="J151" s="589"/>
      <c r="K151" s="803" t="s">
        <v>398</v>
      </c>
      <c r="L151" s="216"/>
      <c r="M151" s="216"/>
      <c r="N151" s="716">
        <f>IF(ISERROR(IF(N145="Yes",ROUND(N149/N148,6),0)),0,IF(N145="Yes",ROUND(N149/N148,6),0))</f>
        <v>0</v>
      </c>
      <c r="O151" s="716">
        <f>IF(ISERROR(IF(O145="Yes",ROUND(O150/O148,6),0)),0,IF(O145="Yes",ROUND(O150/O148,6),0))</f>
        <v>0</v>
      </c>
      <c r="P151" s="716">
        <f>IF(ISERROR(IF(P145="Yes",ROUND(P149/P148,6),0)),0,IF(P145="Yes",ROUND(P149/P148,6),0))</f>
        <v>0</v>
      </c>
      <c r="Q151" s="716">
        <f>IF(ISERROR(IF(Q145="Yes",ROUND(Q150/Q148,6),0)),0,IF(Q145="Yes",ROUND(Q150/Q148,6),0))</f>
        <v>0</v>
      </c>
      <c r="R151" s="716">
        <f>IF(ISERROR(IF(R145="Yes",ROUND(R149/R148,6),0)),0,IF(R145="Yes",ROUND(R149/R148,6),0))</f>
        <v>0</v>
      </c>
      <c r="S151" s="716">
        <f>IF(ISERROR(IF(S145="Yes",ROUND(S150/S148,6),0)),0,IF(S145="Yes",ROUND(S150/S148,6),0))</f>
        <v>0</v>
      </c>
      <c r="T151" s="216"/>
      <c r="U151" s="216"/>
      <c r="V151" s="216"/>
      <c r="W151" s="216"/>
      <c r="X151" s="994"/>
      <c r="Y151" s="992"/>
      <c r="AA151" s="994" t="s">
        <v>556</v>
      </c>
      <c r="AB151" s="994" t="s">
        <v>575</v>
      </c>
      <c r="AC151" s="994"/>
      <c r="AD151" s="994"/>
      <c r="AE151" s="994"/>
    </row>
    <row r="152" spans="1:31" ht="13.5" hidden="1" outlineLevel="1" thickBot="1" x14ac:dyDescent="0.25">
      <c r="A152" s="141"/>
      <c r="B152" s="141"/>
      <c r="C152" s="803"/>
      <c r="D152" s="141"/>
      <c r="E152" s="141"/>
      <c r="F152" s="141"/>
      <c r="G152" s="592">
        <f>IF(G154="Yes",0,ROUND(K141*G151,2))</f>
        <v>0</v>
      </c>
      <c r="H152" s="141"/>
      <c r="I152" s="592">
        <f>IF(G154="Yes",0,ROUND(K141*I151,2))</f>
        <v>0</v>
      </c>
      <c r="J152" s="141"/>
      <c r="K152" s="803" t="s">
        <v>409</v>
      </c>
      <c r="L152" s="216"/>
      <c r="M152" s="216"/>
      <c r="N152" s="546">
        <f>IF(N154="yes",0,ROUND(N151*E138,0))</f>
        <v>0</v>
      </c>
      <c r="O152" s="546">
        <f>IF(N154="yes",0,ROUND(O151*E138,0))</f>
        <v>0</v>
      </c>
      <c r="P152" s="546">
        <f>IF(P154="yes",0,ROUND(P151*E138,0))</f>
        <v>0</v>
      </c>
      <c r="Q152" s="546">
        <f>IF(P154="yes",0,ROUND(Q151*E138,0))</f>
        <v>0</v>
      </c>
      <c r="R152" s="546">
        <f>IF(R154="yes",0,ROUND(R151*E138,0))</f>
        <v>0</v>
      </c>
      <c r="S152" s="546">
        <f>IF(R154="yes",0,ROUND(S151*E138,0))</f>
        <v>0</v>
      </c>
      <c r="T152" s="216"/>
      <c r="U152" s="216"/>
      <c r="V152" s="216"/>
      <c r="W152" s="216"/>
      <c r="X152" s="994"/>
      <c r="Y152" s="992"/>
      <c r="AA152" s="994" t="s">
        <v>565</v>
      </c>
      <c r="AB152" s="994" t="s">
        <v>576</v>
      </c>
      <c r="AC152" s="994"/>
      <c r="AD152" s="994"/>
      <c r="AE152" s="994"/>
    </row>
    <row r="153" spans="1:31" ht="13.5" hidden="1" outlineLevel="1" thickTop="1" x14ac:dyDescent="0.2">
      <c r="A153" s="141"/>
      <c r="B153" s="141"/>
      <c r="C153" s="803"/>
      <c r="D153" s="141"/>
      <c r="E153" s="141"/>
      <c r="F153" s="141"/>
      <c r="G153" s="141"/>
      <c r="H153" s="141"/>
      <c r="I153" s="141"/>
      <c r="J153" s="141"/>
      <c r="K153" s="803"/>
      <c r="L153" s="216"/>
      <c r="M153" s="216"/>
      <c r="N153" s="216"/>
      <c r="O153" s="216"/>
      <c r="P153" s="216"/>
      <c r="Q153" s="141"/>
      <c r="R153" s="216"/>
      <c r="S153" s="141"/>
      <c r="T153" s="216"/>
      <c r="U153" s="216"/>
      <c r="V153" s="216"/>
      <c r="W153" s="216"/>
      <c r="X153" s="994"/>
      <c r="Y153" s="992"/>
      <c r="AA153" s="994" t="s">
        <v>571</v>
      </c>
      <c r="AB153" s="994" t="s">
        <v>577</v>
      </c>
      <c r="AC153" s="994"/>
      <c r="AD153" s="994"/>
      <c r="AE153" s="994"/>
    </row>
    <row r="154" spans="1:31" hidden="1" outlineLevel="1" x14ac:dyDescent="0.2">
      <c r="A154" s="141"/>
      <c r="B154" s="141"/>
      <c r="C154" s="803"/>
      <c r="D154" s="141"/>
      <c r="E154" s="141"/>
      <c r="F154" s="141"/>
      <c r="G154" s="542" t="str">
        <f>IF(AND(YEAR(G141)=YEAR(I141),MONTH(G141)=MONTH(I141),G145="YES",I145="YES"),"YES","NO")</f>
        <v>YES</v>
      </c>
      <c r="H154" s="141"/>
      <c r="I154" s="141"/>
      <c r="J154" s="141"/>
      <c r="K154" s="803" t="s">
        <v>410</v>
      </c>
      <c r="L154" s="216"/>
      <c r="M154" s="216"/>
      <c r="N154" s="544" t="str">
        <f>IF(N139="n/a","NO",IF(AND(YEAR(N139)=YEAR(O139),MONTH(N139)=MONTH(O139),N145="YES",O145="YES"),"YES","NO"))</f>
        <v>NO</v>
      </c>
      <c r="O154" s="510"/>
      <c r="P154" s="544" t="str">
        <f>IF(P139="n/a","NO",IF(AND(YEAR(P139)=YEAR(Q139),MONTH(P139)=MONTH(Q139),P145="YES",Q145="YES"),"YES","NO"))</f>
        <v>NO</v>
      </c>
      <c r="Q154" s="141"/>
      <c r="R154" s="544" t="str">
        <f>IF(R139="n/a","NO",IF(AND(YEAR(R139)=YEAR(S139),MONTH(R139)=MONTH(S139),R145="YES",S145="YES"),"YES","NO"))</f>
        <v>NO</v>
      </c>
      <c r="S154" s="141"/>
      <c r="T154" s="216"/>
      <c r="U154" s="216"/>
      <c r="V154" s="216"/>
      <c r="W154" s="216"/>
      <c r="X154" s="994"/>
      <c r="Y154" s="992"/>
    </row>
    <row r="155" spans="1:31" hidden="1" outlineLevel="1" x14ac:dyDescent="0.2">
      <c r="A155" s="141"/>
      <c r="B155" s="141"/>
      <c r="C155" s="803"/>
      <c r="D155" s="141"/>
      <c r="E155" s="141"/>
      <c r="F155" s="141"/>
      <c r="G155" s="141">
        <f>IF(G154="yes",I141-G141+1,0)</f>
        <v>1</v>
      </c>
      <c r="H155" s="141"/>
      <c r="I155" s="141"/>
      <c r="J155" s="141"/>
      <c r="K155" s="803" t="s">
        <v>411</v>
      </c>
      <c r="L155" s="216"/>
      <c r="M155" s="216"/>
      <c r="N155" s="141">
        <f>IF(N154="yes",O139-N139+1,0)</f>
        <v>0</v>
      </c>
      <c r="O155" s="510"/>
      <c r="P155" s="141">
        <f>IF(P154="yes",Q139-P139+1,0)</f>
        <v>0</v>
      </c>
      <c r="Q155" s="141"/>
      <c r="R155" s="141">
        <f>IF(R154="yes",S139-R139+1,0)</f>
        <v>0</v>
      </c>
      <c r="S155" s="141"/>
      <c r="T155" s="216"/>
      <c r="U155" s="216"/>
      <c r="V155" s="216"/>
      <c r="W155" s="216"/>
      <c r="X155" s="994"/>
      <c r="Y155" s="992"/>
    </row>
    <row r="156" spans="1:31" hidden="1" outlineLevel="1" x14ac:dyDescent="0.2">
      <c r="A156" s="141"/>
      <c r="B156" s="141"/>
      <c r="C156" s="803"/>
      <c r="D156" s="141"/>
      <c r="E156" s="141"/>
      <c r="F156" s="141"/>
      <c r="G156" s="717">
        <f>ROUND(G155/G148,6)</f>
        <v>3.2258000000000002E-2</v>
      </c>
      <c r="H156" s="141"/>
      <c r="I156" s="141"/>
      <c r="J156" s="141"/>
      <c r="K156" s="803" t="s">
        <v>398</v>
      </c>
      <c r="L156" s="216"/>
      <c r="M156" s="216"/>
      <c r="N156" s="717">
        <f>IF(ISERROR(ROUND(N155/N148,6)),0,ROUND(N155/N148,6))</f>
        <v>0</v>
      </c>
      <c r="O156" s="543"/>
      <c r="P156" s="717">
        <f>IF(ISERROR(ROUND(P155/P148,6)),0,ROUND(P155/P148,6))</f>
        <v>0</v>
      </c>
      <c r="Q156" s="520"/>
      <c r="R156" s="717">
        <f>IF(ISERROR(ROUND(R155/R148,6)),0,ROUND(R155/R148,6))</f>
        <v>0</v>
      </c>
      <c r="S156" s="141"/>
      <c r="T156" s="216"/>
      <c r="U156" s="216"/>
      <c r="V156" s="216"/>
      <c r="W156" s="216"/>
      <c r="X156" s="994"/>
      <c r="Y156" s="992"/>
    </row>
    <row r="157" spans="1:31" hidden="1" outlineLevel="1" x14ac:dyDescent="0.2">
      <c r="A157" s="141"/>
      <c r="B157" s="141"/>
      <c r="C157" s="803"/>
      <c r="D157" s="141"/>
      <c r="E157" s="141"/>
      <c r="F157" s="141"/>
      <c r="G157" s="540">
        <f>ROUND(IF(NOT(G141=0),G156*K141,0),2)</f>
        <v>0</v>
      </c>
      <c r="H157" s="141"/>
      <c r="I157" s="141"/>
      <c r="J157" s="141"/>
      <c r="K157" s="803" t="s">
        <v>413</v>
      </c>
      <c r="L157" s="216"/>
      <c r="M157" s="216"/>
      <c r="N157" s="510">
        <f>IF(NOT(N139=0),ROUND(N156*E138,0),0)</f>
        <v>0</v>
      </c>
      <c r="O157" s="510"/>
      <c r="P157" s="510">
        <f>IF(NOT(P139=0),ROUND(P156*E138,0),0)</f>
        <v>0</v>
      </c>
      <c r="Q157" s="141"/>
      <c r="R157" s="510">
        <f>IF(NOT(R139=0),ROUND(R156*E138,0),0)</f>
        <v>0</v>
      </c>
      <c r="S157" s="141"/>
      <c r="T157" s="216"/>
      <c r="U157" s="216"/>
      <c r="V157" s="216"/>
      <c r="W157" s="216"/>
      <c r="X157" s="994"/>
      <c r="Y157" s="992"/>
    </row>
    <row r="158" spans="1:31" hidden="1" outlineLevel="1" x14ac:dyDescent="0.2">
      <c r="A158" s="141"/>
      <c r="B158" s="141"/>
      <c r="C158" s="141"/>
      <c r="D158" s="141"/>
      <c r="E158" s="141"/>
      <c r="F158" s="141"/>
      <c r="G158" s="141"/>
      <c r="H158" s="141"/>
      <c r="I158" s="141"/>
      <c r="J158" s="141"/>
      <c r="K158" s="141"/>
      <c r="L158" s="216"/>
      <c r="M158" s="216"/>
      <c r="N158" s="216"/>
      <c r="O158" s="216"/>
      <c r="P158" s="216"/>
      <c r="Q158" s="141"/>
      <c r="R158" s="216"/>
      <c r="S158" s="141"/>
      <c r="T158" s="216"/>
      <c r="U158" s="216"/>
      <c r="V158" s="216"/>
      <c r="W158" s="216"/>
      <c r="X158" s="994"/>
      <c r="Y158" s="992"/>
    </row>
    <row r="159" spans="1:31" hidden="1" outlineLevel="1" x14ac:dyDescent="0.2">
      <c r="A159" s="141"/>
      <c r="B159" s="141"/>
      <c r="C159" s="141"/>
      <c r="D159" s="141"/>
      <c r="E159" s="141"/>
      <c r="F159" s="141"/>
      <c r="G159" s="716">
        <f>IF(G154="No",G151,G156)</f>
        <v>3.2258000000000002E-2</v>
      </c>
      <c r="H159" s="721"/>
      <c r="I159" s="716">
        <f>IF(G154="No",I151,0)</f>
        <v>0</v>
      </c>
      <c r="J159" s="141"/>
      <c r="K159" s="141" t="s">
        <v>492</v>
      </c>
      <c r="L159" s="216"/>
      <c r="M159" s="216"/>
      <c r="N159" s="716">
        <f>IF(N154="No",N151,N156)</f>
        <v>0</v>
      </c>
      <c r="O159" s="718">
        <f>IF(N154="No",O151,0)</f>
        <v>0</v>
      </c>
      <c r="P159" s="716">
        <f>IF(P154="No",P151,P156)</f>
        <v>0</v>
      </c>
      <c r="Q159" s="718">
        <f>IF(P154="No",Q151,0)</f>
        <v>0</v>
      </c>
      <c r="R159" s="716">
        <f>IF(R154="No",R151,R156)</f>
        <v>0</v>
      </c>
      <c r="S159" s="718">
        <f>IF(R154="No",S151,0)</f>
        <v>0</v>
      </c>
      <c r="T159" s="216"/>
      <c r="U159" s="216"/>
      <c r="V159" s="216"/>
      <c r="W159" s="216"/>
      <c r="X159" s="994"/>
      <c r="Y159" s="992"/>
    </row>
    <row r="160" spans="1:31" ht="13.5" hidden="1" outlineLevel="1" thickBot="1" x14ac:dyDescent="0.25">
      <c r="A160" s="141"/>
      <c r="B160" s="141"/>
      <c r="C160" s="141"/>
      <c r="D160" s="141"/>
      <c r="E160" s="141"/>
      <c r="F160" s="141"/>
      <c r="G160" s="603"/>
      <c r="H160" s="520"/>
      <c r="I160" s="603"/>
      <c r="J160" s="520"/>
      <c r="K160" s="141"/>
      <c r="L160" s="216"/>
      <c r="M160" s="516" t="s">
        <v>412</v>
      </c>
      <c r="N160" s="602">
        <f>N152+N157</f>
        <v>0</v>
      </c>
      <c r="O160" s="602">
        <f t="shared" ref="O160" si="29">O152+O157</f>
        <v>0</v>
      </c>
      <c r="P160" s="602">
        <f>P152+P157</f>
        <v>0</v>
      </c>
      <c r="Q160" s="602">
        <f t="shared" ref="Q160" si="30">Q152+Q157</f>
        <v>0</v>
      </c>
      <c r="R160" s="602">
        <f>R152+R157</f>
        <v>0</v>
      </c>
      <c r="S160" s="602">
        <f>S152+S157</f>
        <v>0</v>
      </c>
      <c r="T160" s="216"/>
      <c r="U160" s="216"/>
      <c r="V160" s="216"/>
      <c r="W160" s="216"/>
      <c r="X160" s="994"/>
      <c r="Y160" s="992"/>
    </row>
    <row r="161" spans="1:31" ht="13.5" collapsed="1" thickBot="1" x14ac:dyDescent="0.25">
      <c r="A161" s="141"/>
      <c r="B161" s="141"/>
      <c r="C161" s="141"/>
      <c r="D161" s="141"/>
      <c r="E161" s="141"/>
      <c r="F161" s="141"/>
      <c r="G161" s="1663">
        <f>G152+G157</f>
        <v>0</v>
      </c>
      <c r="H161" s="1663"/>
      <c r="I161" s="1663">
        <f>I152+I157</f>
        <v>0</v>
      </c>
      <c r="J161" s="1663"/>
      <c r="K161" s="803" t="s">
        <v>399</v>
      </c>
      <c r="L161" s="216"/>
      <c r="M161" s="216"/>
      <c r="N161" s="141"/>
      <c r="O161" s="216"/>
      <c r="P161" s="216"/>
      <c r="Q161" s="141"/>
      <c r="R161" s="219"/>
      <c r="S161" s="219"/>
      <c r="T161" s="216"/>
      <c r="U161" s="216"/>
      <c r="V161" s="216"/>
      <c r="W161" s="216"/>
      <c r="X161" s="994"/>
      <c r="Y161" s="992"/>
    </row>
    <row r="162" spans="1:31" ht="15.75" thickTop="1" x14ac:dyDescent="0.25">
      <c r="A162" s="141"/>
      <c r="B162" s="141"/>
      <c r="C162" s="141"/>
      <c r="D162" s="141"/>
      <c r="E162" s="141"/>
      <c r="F162" s="141"/>
      <c r="G162" s="842" t="str">
        <f>IF($AD148&gt;0,"ERROR ALERT:  The date range in your service start/end dates is NOT consistent with the OTO start/end dates ('OTO Terms' above), please check your dates and re-enter.","")</f>
        <v/>
      </c>
      <c r="H162" s="801"/>
      <c r="I162" s="801"/>
      <c r="J162" s="801"/>
      <c r="K162" s="803"/>
      <c r="L162" s="216"/>
      <c r="M162" s="216"/>
      <c r="N162" s="141"/>
      <c r="O162" s="216"/>
      <c r="P162" s="216"/>
      <c r="Q162" s="141"/>
      <c r="R162" s="219"/>
      <c r="S162" s="219"/>
      <c r="T162" s="216"/>
      <c r="U162" s="216"/>
      <c r="V162" s="216"/>
      <c r="W162" s="216"/>
      <c r="X162" s="994"/>
      <c r="Y162" s="992"/>
    </row>
    <row r="163" spans="1:31" ht="15" x14ac:dyDescent="0.25">
      <c r="B163" s="609" t="s">
        <v>678</v>
      </c>
      <c r="R163" s="254"/>
      <c r="S163" s="254"/>
    </row>
    <row r="164" spans="1:31" x14ac:dyDescent="0.2">
      <c r="R164" s="1660" t="s">
        <v>547</v>
      </c>
      <c r="S164" s="1660"/>
    </row>
    <row r="165" spans="1:31" hidden="1" outlineLevel="1" x14ac:dyDescent="0.2">
      <c r="A165" s="141"/>
      <c r="B165" s="141" t="s">
        <v>493</v>
      </c>
      <c r="C165" s="141"/>
      <c r="D165" s="597">
        <f>IF(NOT(G174=0),IF(G187="NO",(YEAR(I174)-YEAR(G174))*12+MONTH(I174)-MONTH(G174)+IF(G178="no",1,0)+IF(I178="yes",-1,0),0),0)</f>
        <v>0</v>
      </c>
      <c r="E165" s="141"/>
      <c r="F165" s="141"/>
      <c r="G165" s="141"/>
      <c r="H165" s="141"/>
      <c r="I165" s="141"/>
      <c r="J165" s="141"/>
      <c r="K165" s="141"/>
      <c r="L165" s="141"/>
      <c r="M165" s="516" t="s">
        <v>493</v>
      </c>
      <c r="N165" s="597">
        <f>IF(NOT(N172="n/a"),(YEAR(O172)-YEAR(N172))*12+MONTH(O172)-MONTH(N172)+IF(N178="no",1,0)+IF(O178="yes",-1,0),0)</f>
        <v>0</v>
      </c>
      <c r="O165" s="254"/>
      <c r="P165" s="597">
        <f>IF(NOT(P172="n/a"),(YEAR(Q172)-YEAR(P172))*12+MONTH(Q172)-MONTH(P172)+IF(P178="no",1,0)+IF(Q178="yes",-1,0),0)</f>
        <v>0</v>
      </c>
      <c r="Q165" s="141"/>
      <c r="R165" s="597">
        <f>IF(NOT(R172="n/a"),(YEAR(S172)-YEAR(R172))*12+MONTH(S172)-MONTH(R172)+IF(R178="no",1,0)+IF(S178="yes",-1,0),0)</f>
        <v>0</v>
      </c>
      <c r="S165" s="202"/>
      <c r="T165" s="216"/>
      <c r="U165" s="141"/>
      <c r="V165" s="216"/>
      <c r="W165" s="216"/>
      <c r="X165" s="994"/>
      <c r="Y165" s="992"/>
    </row>
    <row r="166" spans="1:31" hidden="1" outlineLevel="1" x14ac:dyDescent="0.2">
      <c r="A166" s="141"/>
      <c r="B166" s="141" t="s">
        <v>494</v>
      </c>
      <c r="C166" s="141"/>
      <c r="D166" s="598">
        <f>IF(NOT(G174=0),G192,0)</f>
        <v>0</v>
      </c>
      <c r="E166" s="141"/>
      <c r="F166" s="141"/>
      <c r="G166" s="141"/>
      <c r="H166" s="141"/>
      <c r="I166" s="141"/>
      <c r="J166" s="141"/>
      <c r="K166" s="141"/>
      <c r="L166" s="141"/>
      <c r="M166" s="516" t="s">
        <v>494</v>
      </c>
      <c r="N166" s="598">
        <f>N192</f>
        <v>0</v>
      </c>
      <c r="O166" s="216"/>
      <c r="P166" s="598">
        <f>P192</f>
        <v>0</v>
      </c>
      <c r="Q166" s="141"/>
      <c r="R166" s="598">
        <f>R192</f>
        <v>0</v>
      </c>
      <c r="S166" s="202"/>
      <c r="T166" s="216"/>
      <c r="U166" s="141"/>
      <c r="V166" s="216"/>
      <c r="W166" s="216"/>
      <c r="X166" s="994"/>
      <c r="Y166" s="992"/>
    </row>
    <row r="167" spans="1:31" hidden="1" outlineLevel="1" x14ac:dyDescent="0.2">
      <c r="A167" s="141"/>
      <c r="B167" s="141" t="s">
        <v>495</v>
      </c>
      <c r="C167" s="141"/>
      <c r="D167" s="599">
        <f>IF(NOT(G174=0),I192,0)</f>
        <v>0</v>
      </c>
      <c r="E167" s="141"/>
      <c r="F167" s="141"/>
      <c r="G167" s="141"/>
      <c r="H167" s="141"/>
      <c r="I167" s="141"/>
      <c r="J167" s="141"/>
      <c r="K167" s="141"/>
      <c r="L167" s="141"/>
      <c r="M167" s="516" t="s">
        <v>495</v>
      </c>
      <c r="N167" s="599">
        <f>O192</f>
        <v>0</v>
      </c>
      <c r="O167" s="216"/>
      <c r="P167" s="599">
        <f>Q192</f>
        <v>0</v>
      </c>
      <c r="Q167" s="141"/>
      <c r="R167" s="599">
        <f>S192</f>
        <v>0</v>
      </c>
      <c r="S167" s="202"/>
      <c r="T167" s="216"/>
      <c r="U167" s="141"/>
      <c r="V167" s="216"/>
      <c r="W167" s="216"/>
      <c r="X167" s="994"/>
      <c r="Y167" s="992"/>
    </row>
    <row r="168" spans="1:31" hidden="1" outlineLevel="1" x14ac:dyDescent="0.2">
      <c r="A168" s="141"/>
      <c r="B168" s="219" t="s">
        <v>496</v>
      </c>
      <c r="C168" s="141"/>
      <c r="D168" s="597">
        <f>SUM(D165:D167)</f>
        <v>0</v>
      </c>
      <c r="E168" s="141"/>
      <c r="F168" s="141"/>
      <c r="G168" s="141"/>
      <c r="H168" s="141"/>
      <c r="I168" s="141"/>
      <c r="J168" s="141"/>
      <c r="K168" s="141"/>
      <c r="L168" s="141"/>
      <c r="M168" s="499" t="s">
        <v>496</v>
      </c>
      <c r="N168" s="597">
        <f>SUM(N165:N167)</f>
        <v>0</v>
      </c>
      <c r="O168" s="216"/>
      <c r="P168" s="597">
        <f>SUM(P165:P167)</f>
        <v>0</v>
      </c>
      <c r="Q168" s="141"/>
      <c r="R168" s="597">
        <f>SUM(R165:R167)</f>
        <v>0</v>
      </c>
      <c r="S168" s="202"/>
      <c r="T168" s="216"/>
      <c r="U168" s="141"/>
      <c r="V168" s="216"/>
      <c r="W168" s="216"/>
      <c r="X168" s="994"/>
      <c r="Y168" s="992"/>
    </row>
    <row r="169" spans="1:31" hidden="1" outlineLevel="1" x14ac:dyDescent="0.2">
      <c r="A169" s="216"/>
      <c r="B169" s="219"/>
      <c r="C169" s="216"/>
      <c r="D169" s="601"/>
      <c r="E169" s="216"/>
      <c r="F169" s="216"/>
      <c r="G169" s="216"/>
      <c r="H169" s="216"/>
      <c r="I169" s="216"/>
      <c r="J169" s="216"/>
      <c r="K169" s="216"/>
      <c r="L169" s="216"/>
      <c r="M169" s="499"/>
      <c r="N169" s="216"/>
      <c r="O169" s="216"/>
      <c r="P169" s="601"/>
      <c r="Q169" s="216"/>
      <c r="R169" s="216"/>
      <c r="S169" s="254"/>
      <c r="T169" s="216"/>
      <c r="U169" s="216"/>
      <c r="V169" s="216"/>
      <c r="W169" s="216"/>
      <c r="X169" s="994"/>
      <c r="Y169" s="992"/>
    </row>
    <row r="170" spans="1:31" hidden="1" outlineLevel="1" x14ac:dyDescent="0.2">
      <c r="A170" s="141"/>
      <c r="B170" s="141"/>
      <c r="C170" s="141"/>
      <c r="D170" s="141"/>
      <c r="E170" s="141"/>
      <c r="F170" s="141"/>
      <c r="G170" s="141"/>
      <c r="H170" s="141"/>
      <c r="I170" s="141"/>
      <c r="J170" s="141"/>
      <c r="K170" s="141"/>
      <c r="L170" s="141"/>
      <c r="M170" s="141"/>
      <c r="N170" s="141"/>
      <c r="O170" s="141"/>
      <c r="P170" s="141"/>
      <c r="Q170" s="141"/>
      <c r="R170" s="216"/>
      <c r="S170" s="254"/>
      <c r="T170" s="216"/>
      <c r="U170" s="141"/>
      <c r="V170" s="216"/>
      <c r="W170" s="216"/>
      <c r="X170" s="994"/>
      <c r="Y170" s="992"/>
    </row>
    <row r="171" spans="1:31" collapsed="1" x14ac:dyDescent="0.2">
      <c r="A171" s="141"/>
      <c r="B171" s="219" t="s">
        <v>497</v>
      </c>
      <c r="C171" s="141"/>
      <c r="D171" s="216"/>
      <c r="E171" s="600">
        <f>$L$68</f>
        <v>0</v>
      </c>
      <c r="F171" s="141"/>
      <c r="G171" s="1664"/>
      <c r="H171" s="1664"/>
      <c r="I171" s="141"/>
      <c r="J171" s="141"/>
      <c r="K171" s="141"/>
      <c r="L171" s="216"/>
      <c r="M171" s="216"/>
      <c r="N171" s="590" t="s">
        <v>545</v>
      </c>
      <c r="O171" s="591" t="s">
        <v>579</v>
      </c>
      <c r="P171" s="590" t="s">
        <v>545</v>
      </c>
      <c r="Q171" s="591" t="s">
        <v>579</v>
      </c>
      <c r="R171" s="590" t="s">
        <v>545</v>
      </c>
      <c r="S171" s="591" t="s">
        <v>579</v>
      </c>
      <c r="T171" s="216"/>
      <c r="U171" s="141"/>
      <c r="V171" s="216"/>
      <c r="W171" s="216"/>
      <c r="X171" s="994"/>
      <c r="Y171" s="992"/>
      <c r="Z171" s="994" t="s">
        <v>581</v>
      </c>
      <c r="AA171" s="1074">
        <f>IF(G174&gt;0,IF(MONTH(G174)&gt;3,DATE(YEAR(G174)+1,3,31),DATE(YEAR(G174),3,31)),0)</f>
        <v>0</v>
      </c>
    </row>
    <row r="172" spans="1:31" x14ac:dyDescent="0.2">
      <c r="A172" s="141"/>
      <c r="B172" s="141"/>
      <c r="C172" s="141"/>
      <c r="D172" s="141"/>
      <c r="E172" s="141"/>
      <c r="F172" s="141"/>
      <c r="G172" s="494" t="str">
        <f>IF(AD175&gt;0,"WARNING: Generally, you may not cross a CLBC March 31 fiscal year end, please re-check your dates.","")</f>
        <v/>
      </c>
      <c r="H172" s="141"/>
      <c r="I172" s="141"/>
      <c r="J172" s="141"/>
      <c r="K172" s="141"/>
      <c r="L172" s="216"/>
      <c r="M172" s="216"/>
      <c r="N172" s="503" t="str">
        <f>IF(OR(Z181=1,Z181=2,Z181=3),G174,"N/A")</f>
        <v>N/A</v>
      </c>
      <c r="O172" s="504" t="str">
        <f>IF(Z181=1,I174,IF(OR(Z181=2,Z181=3),$AA$79,"N/A"))</f>
        <v>N/A</v>
      </c>
      <c r="P172" s="503" t="str">
        <f>IF(OR(Z181=2,Z181=3),$AA$81,IF(OR(Z181=4,Z181=5),G174,"N/A"))</f>
        <v>N/A</v>
      </c>
      <c r="Q172" s="504" t="str">
        <f>IF(OR(Z181=2,Z181=4),I174,IF(OR(Z181=3,Z181=5),$AA$83,"N/A"))</f>
        <v>N/A</v>
      </c>
      <c r="R172" s="505" t="str">
        <f>IF(OR(Z181=3,Z181=5),$AA$85,IF(Z181=6,G174,"N/A"))</f>
        <v>N/A</v>
      </c>
      <c r="S172" s="504" t="str">
        <f>IF(OR(Z181=3,Z181=5,Z181=6),I174,"N/A")</f>
        <v>N/A</v>
      </c>
      <c r="T172" s="216"/>
      <c r="U172" s="141"/>
      <c r="V172" s="216"/>
      <c r="W172" s="216"/>
      <c r="X172" s="994"/>
      <c r="Y172" s="992"/>
      <c r="Z172" s="994" t="s">
        <v>582</v>
      </c>
      <c r="AA172" s="1074">
        <f>IF(AA171&gt;=$L$20,$L$20,AA171)</f>
        <v>0</v>
      </c>
    </row>
    <row r="173" spans="1:31" ht="38.25" customHeight="1" x14ac:dyDescent="0.2">
      <c r="A173" s="140"/>
      <c r="B173" s="792" t="s">
        <v>464</v>
      </c>
      <c r="C173" s="1543" t="s">
        <v>351</v>
      </c>
      <c r="D173" s="1543"/>
      <c r="E173" s="587" t="s">
        <v>481</v>
      </c>
      <c r="F173" s="587" t="s">
        <v>482</v>
      </c>
      <c r="G173" s="1522" t="s">
        <v>519</v>
      </c>
      <c r="H173" s="1523"/>
      <c r="I173" s="1522" t="s">
        <v>520</v>
      </c>
      <c r="J173" s="1523" t="s">
        <v>520</v>
      </c>
      <c r="K173" s="833" t="s">
        <v>387</v>
      </c>
      <c r="L173" s="831" t="s">
        <v>483</v>
      </c>
      <c r="M173" s="831" t="s">
        <v>388</v>
      </c>
      <c r="N173" s="1543" t="s">
        <v>389</v>
      </c>
      <c r="O173" s="1543"/>
      <c r="P173" s="1543" t="s">
        <v>390</v>
      </c>
      <c r="Q173" s="1543"/>
      <c r="R173" s="1543" t="s">
        <v>578</v>
      </c>
      <c r="S173" s="1543"/>
      <c r="T173" s="286"/>
      <c r="U173" s="140"/>
      <c r="V173" s="286"/>
      <c r="W173" s="286"/>
      <c r="X173" s="1002"/>
      <c r="Y173" s="1105"/>
    </row>
    <row r="174" spans="1:31" x14ac:dyDescent="0.2">
      <c r="A174" s="141"/>
      <c r="B174" s="666"/>
      <c r="C174" s="1544"/>
      <c r="D174" s="1544"/>
      <c r="E174" s="808" t="s">
        <v>484</v>
      </c>
      <c r="F174" s="808" t="str">
        <f>IF($L$23="Fixed Lump Sum","Y","N")</f>
        <v>N</v>
      </c>
      <c r="G174" s="1665"/>
      <c r="H174" s="1667"/>
      <c r="I174" s="1665"/>
      <c r="J174" s="1666"/>
      <c r="K174" s="588">
        <f>IF(F174="N",IF(NOT(G174=0),$J$68,0),0)</f>
        <v>0</v>
      </c>
      <c r="L174" s="588">
        <f>IF(F174="Y",$J$68*D168,0)</f>
        <v>0</v>
      </c>
      <c r="M174" s="588">
        <f>ROUND(IF(F174="Y",L174,IF(G187="yes",G194,K174*D165+G194+I194)),2)</f>
        <v>0</v>
      </c>
      <c r="N174" s="1661">
        <f>IF(N187="yes",N193,ROUND(E171*N165,0)+N193+O193)</f>
        <v>0</v>
      </c>
      <c r="O174" s="1662"/>
      <c r="P174" s="1661">
        <f>IF(P187="yes",P193,ROUND(E171*P165,0)+P193+Q193)</f>
        <v>0</v>
      </c>
      <c r="Q174" s="1662"/>
      <c r="R174" s="1661">
        <f>IF(R187="yes",R193,ROUND(E171*R165,0)+R193+S193)</f>
        <v>0</v>
      </c>
      <c r="S174" s="1662"/>
      <c r="T174" s="216"/>
      <c r="U174" s="141"/>
      <c r="V174" s="216"/>
      <c r="W174" s="216"/>
      <c r="X174" s="994"/>
      <c r="Y174" s="992"/>
      <c r="AA174" s="992" t="s">
        <v>553</v>
      </c>
      <c r="AB174" s="992" t="s">
        <v>554</v>
      </c>
      <c r="AC174" s="994"/>
      <c r="AD174" s="1109" t="s">
        <v>617</v>
      </c>
      <c r="AE174" s="1109" t="s">
        <v>718</v>
      </c>
    </row>
    <row r="175" spans="1:31" hidden="1" outlineLevel="1" x14ac:dyDescent="0.2">
      <c r="A175" s="141"/>
      <c r="B175" s="141"/>
      <c r="C175" s="803"/>
      <c r="D175" s="141"/>
      <c r="E175" s="141"/>
      <c r="F175" s="141"/>
      <c r="G175" s="141">
        <f>G181</f>
        <v>31</v>
      </c>
      <c r="H175" s="141"/>
      <c r="I175" s="141">
        <f>I181</f>
        <v>31</v>
      </c>
      <c r="J175" s="141"/>
      <c r="K175" s="803" t="s">
        <v>391</v>
      </c>
      <c r="L175" s="216"/>
      <c r="M175" s="216"/>
      <c r="N175" s="141">
        <f t="shared" ref="N175:S175" si="31">N181</f>
        <v>0</v>
      </c>
      <c r="O175" s="141">
        <f t="shared" si="31"/>
        <v>0</v>
      </c>
      <c r="P175" s="141">
        <f t="shared" si="31"/>
        <v>0</v>
      </c>
      <c r="Q175" s="141">
        <f t="shared" si="31"/>
        <v>0</v>
      </c>
      <c r="R175" s="141">
        <f t="shared" si="31"/>
        <v>0</v>
      </c>
      <c r="S175" s="141">
        <f t="shared" si="31"/>
        <v>0</v>
      </c>
      <c r="T175" s="216"/>
      <c r="U175" s="141"/>
      <c r="V175" s="216"/>
      <c r="W175" s="216"/>
      <c r="X175" s="994"/>
      <c r="Y175" s="992"/>
      <c r="Z175" s="992">
        <f>IF(AND(G174&gt;=$AA$77,I174&lt;=$AA$79),1,0)</f>
        <v>0</v>
      </c>
      <c r="AA175" s="992" t="s">
        <v>556</v>
      </c>
      <c r="AB175" s="992" t="s">
        <v>557</v>
      </c>
      <c r="AC175" s="994"/>
      <c r="AD175" s="994">
        <f>IF(AND(G174&gt;0,I174&gt;0,I174&gt;$AA172),1,0)</f>
        <v>0</v>
      </c>
      <c r="AE175" s="994" t="s">
        <v>619</v>
      </c>
    </row>
    <row r="176" spans="1:31" hidden="1" outlineLevel="1" x14ac:dyDescent="0.2">
      <c r="A176" s="141"/>
      <c r="B176" s="141"/>
      <c r="C176" s="803"/>
      <c r="D176" s="141"/>
      <c r="E176" s="141"/>
      <c r="F176" s="141"/>
      <c r="G176" s="141">
        <v>1</v>
      </c>
      <c r="H176" s="141"/>
      <c r="I176" s="141">
        <v>1</v>
      </c>
      <c r="J176" s="141"/>
      <c r="K176" s="803" t="s">
        <v>392</v>
      </c>
      <c r="L176" s="216"/>
      <c r="M176" s="216"/>
      <c r="N176" s="141">
        <v>1</v>
      </c>
      <c r="O176" s="141">
        <v>1</v>
      </c>
      <c r="P176" s="141">
        <v>1</v>
      </c>
      <c r="Q176" s="141">
        <v>1</v>
      </c>
      <c r="R176" s="141">
        <v>1</v>
      </c>
      <c r="S176" s="141">
        <v>1</v>
      </c>
      <c r="T176" s="216"/>
      <c r="U176" s="141"/>
      <c r="V176" s="216"/>
      <c r="W176" s="216"/>
      <c r="X176" s="994"/>
      <c r="Y176" s="992"/>
      <c r="Z176" s="992">
        <f>IF(AND(G174&lt;=$AA$79,I174&gt;$AA$79,I174&lt;=$AA$83),2,0)</f>
        <v>0</v>
      </c>
      <c r="AA176" s="992" t="s">
        <v>559</v>
      </c>
      <c r="AB176" s="992" t="s">
        <v>560</v>
      </c>
      <c r="AC176" s="994"/>
    </row>
    <row r="177" spans="1:31" hidden="1" outlineLevel="1" x14ac:dyDescent="0.2">
      <c r="A177" s="141"/>
      <c r="B177" s="141"/>
      <c r="C177" s="803"/>
      <c r="D177" s="141"/>
      <c r="E177" s="141"/>
      <c r="F177" s="141"/>
      <c r="G177" s="141">
        <f>DAY(G174)</f>
        <v>0</v>
      </c>
      <c r="H177" s="141"/>
      <c r="I177" s="141">
        <f>DAY(I174)</f>
        <v>0</v>
      </c>
      <c r="J177" s="141"/>
      <c r="K177" s="803" t="s">
        <v>393</v>
      </c>
      <c r="L177" s="216"/>
      <c r="M177" s="216"/>
      <c r="N177" s="141" t="b">
        <f t="shared" ref="N177:O177" si="32">IF(NOT(N172="n/a"),DAY(N172))</f>
        <v>0</v>
      </c>
      <c r="O177" s="141" t="b">
        <f t="shared" si="32"/>
        <v>0</v>
      </c>
      <c r="P177" s="141" t="b">
        <f>IF(NOT(P172="n/a"),DAY(P172))</f>
        <v>0</v>
      </c>
      <c r="Q177" s="141" t="b">
        <f>IF(NOT(Q172="n/a"),DAY(Q172))</f>
        <v>0</v>
      </c>
      <c r="R177" s="141" t="b">
        <f>IF(NOT(R172="n/a"),DAY(R172))</f>
        <v>0</v>
      </c>
      <c r="S177" s="141" t="b">
        <f>IF(NOT(S172="n/a"),DAY(S172))</f>
        <v>0</v>
      </c>
      <c r="T177" s="216"/>
      <c r="U177" s="141"/>
      <c r="V177" s="216"/>
      <c r="W177" s="216"/>
      <c r="X177" s="994"/>
      <c r="Y177" s="992"/>
      <c r="Z177" s="994">
        <f>IF(AND(G174&lt;$AA$79,I174&gt;$AA$83,I174&lt;=$AA$86),3,0)</f>
        <v>0</v>
      </c>
      <c r="AA177" s="992" t="s">
        <v>562</v>
      </c>
      <c r="AB177" s="994" t="s">
        <v>563</v>
      </c>
      <c r="AC177" s="994"/>
      <c r="AD177" s="1109" t="s">
        <v>617</v>
      </c>
      <c r="AE177" s="1109" t="s">
        <v>719</v>
      </c>
    </row>
    <row r="178" spans="1:31" hidden="1" outlineLevel="1" x14ac:dyDescent="0.2">
      <c r="A178" s="141"/>
      <c r="B178" s="141"/>
      <c r="C178" s="803"/>
      <c r="D178" s="141"/>
      <c r="E178" s="141"/>
      <c r="F178" s="141"/>
      <c r="G178" s="516" t="str">
        <f>IF(G177=G176,"No","Yes")</f>
        <v>Yes</v>
      </c>
      <c r="H178" s="141"/>
      <c r="I178" s="516" t="str">
        <f>IF(I177=I175,"No","Yes")</f>
        <v>Yes</v>
      </c>
      <c r="J178" s="141"/>
      <c r="K178" s="803" t="s">
        <v>394</v>
      </c>
      <c r="L178" s="216"/>
      <c r="M178" s="216"/>
      <c r="N178" s="516" t="str">
        <f>IF(N177=N176,"No","Yes")</f>
        <v>Yes</v>
      </c>
      <c r="O178" s="516" t="str">
        <f>IF(O177=O175,"No","Yes")</f>
        <v>Yes</v>
      </c>
      <c r="P178" s="516" t="str">
        <f>IF(P177=P176,"No","Yes")</f>
        <v>Yes</v>
      </c>
      <c r="Q178" s="516" t="str">
        <f>IF(Q177=Q175,"No","Yes")</f>
        <v>Yes</v>
      </c>
      <c r="R178" s="516" t="str">
        <f>IF(R177=R176,"No","Yes")</f>
        <v>Yes</v>
      </c>
      <c r="S178" s="516" t="str">
        <f>IF(S177=S175,"No","Yes")</f>
        <v>Yes</v>
      </c>
      <c r="T178" s="216"/>
      <c r="U178" s="216"/>
      <c r="V178" s="216"/>
      <c r="W178" s="216"/>
      <c r="X178" s="994"/>
      <c r="Y178" s="992"/>
      <c r="Z178" s="992">
        <f>IF(AND(G174&gt;=$AA$81,I174&lt;=$AA$83),4,0)</f>
        <v>4</v>
      </c>
      <c r="AA178" s="992" t="s">
        <v>565</v>
      </c>
      <c r="AB178" s="994" t="s">
        <v>566</v>
      </c>
      <c r="AC178" s="994"/>
      <c r="AD178" s="994">
        <f>IF(OR(G174&lt;$L$18,G174&gt;$L$20),1,0)</f>
        <v>0</v>
      </c>
      <c r="AE178" s="994" t="s">
        <v>618</v>
      </c>
    </row>
    <row r="179" spans="1:31" hidden="1" outlineLevel="1" x14ac:dyDescent="0.2">
      <c r="A179" s="141"/>
      <c r="B179" s="141"/>
      <c r="C179" s="803"/>
      <c r="D179" s="141"/>
      <c r="E179" s="141"/>
      <c r="F179" s="141"/>
      <c r="G179" s="219"/>
      <c r="H179" s="141"/>
      <c r="I179" s="219"/>
      <c r="J179" s="141"/>
      <c r="K179" s="803"/>
      <c r="L179" s="216"/>
      <c r="M179" s="216"/>
      <c r="N179" s="34"/>
      <c r="O179" s="34"/>
      <c r="P179" s="34"/>
      <c r="R179" s="34"/>
      <c r="S179" s="34"/>
      <c r="T179" s="216"/>
      <c r="U179" s="216"/>
      <c r="V179" s="216"/>
      <c r="W179" s="216"/>
      <c r="X179" s="994"/>
      <c r="Y179" s="992"/>
      <c r="Z179" s="992">
        <f>IF(AND(G174&gt;=$AA$81,G174&lt;=$AA$83,I174&gt;$AA$85),5,0)</f>
        <v>0</v>
      </c>
      <c r="AA179" s="992" t="s">
        <v>568</v>
      </c>
      <c r="AB179" s="994" t="s">
        <v>569</v>
      </c>
      <c r="AC179" s="994"/>
      <c r="AD179" s="994">
        <f>IF(OR(I174&lt;$L$18,I174&gt;$L$20),1,0)</f>
        <v>0</v>
      </c>
      <c r="AE179" s="994" t="s">
        <v>705</v>
      </c>
    </row>
    <row r="180" spans="1:31" hidden="1" outlineLevel="1" x14ac:dyDescent="0.2">
      <c r="A180" s="141"/>
      <c r="B180" s="141"/>
      <c r="C180" s="803"/>
      <c r="D180" s="141"/>
      <c r="E180" s="141"/>
      <c r="F180" s="141"/>
      <c r="G180" s="518">
        <f>EOMONTH(G174,0)</f>
        <v>31</v>
      </c>
      <c r="H180" s="141"/>
      <c r="I180" s="518">
        <f>EOMONTH(I174,0)</f>
        <v>31</v>
      </c>
      <c r="J180" s="141"/>
      <c r="K180" s="803" t="s">
        <v>395</v>
      </c>
      <c r="L180" s="216"/>
      <c r="M180" s="216"/>
      <c r="N180" s="518" t="b">
        <f t="shared" ref="N180:S180" si="33">IF(NOT(N172="n/a"),EOMONTH(N172,0))</f>
        <v>0</v>
      </c>
      <c r="O180" s="518" t="b">
        <f t="shared" si="33"/>
        <v>0</v>
      </c>
      <c r="P180" s="518" t="b">
        <f t="shared" si="33"/>
        <v>0</v>
      </c>
      <c r="Q180" s="518" t="b">
        <f t="shared" si="33"/>
        <v>0</v>
      </c>
      <c r="R180" s="518" t="b">
        <f t="shared" si="33"/>
        <v>0</v>
      </c>
      <c r="S180" s="518" t="b">
        <f t="shared" si="33"/>
        <v>0</v>
      </c>
      <c r="T180" s="216"/>
      <c r="U180" s="216"/>
      <c r="V180" s="216"/>
      <c r="W180" s="216"/>
      <c r="X180" s="994"/>
      <c r="Y180" s="992"/>
      <c r="Z180" s="1111">
        <f>IF(AND(G174&gt;=$AA$85,I174&lt;=$AA$86),6,0)</f>
        <v>6</v>
      </c>
      <c r="AA180" s="992" t="s">
        <v>571</v>
      </c>
      <c r="AB180" s="994" t="s">
        <v>572</v>
      </c>
      <c r="AC180" s="994"/>
      <c r="AD180" s="994"/>
      <c r="AE180" s="994"/>
    </row>
    <row r="181" spans="1:31" ht="13.5" hidden="1" outlineLevel="1" thickBot="1" x14ac:dyDescent="0.25">
      <c r="A181" s="141"/>
      <c r="B181" s="141"/>
      <c r="C181" s="803"/>
      <c r="D181" s="141"/>
      <c r="E181" s="141"/>
      <c r="F181" s="141"/>
      <c r="G181" s="141">
        <f>DAY(G180)</f>
        <v>31</v>
      </c>
      <c r="H181" s="141"/>
      <c r="I181" s="141">
        <f>DAY(I180)</f>
        <v>31</v>
      </c>
      <c r="J181" s="141"/>
      <c r="K181" s="803" t="s">
        <v>396</v>
      </c>
      <c r="L181" s="216"/>
      <c r="M181" s="216"/>
      <c r="N181" s="141">
        <f>DAY(N180)</f>
        <v>0</v>
      </c>
      <c r="O181" s="141">
        <f>DAY(O180)</f>
        <v>0</v>
      </c>
      <c r="P181" s="141">
        <f t="shared" ref="P181:S181" si="34">DAY(P180)</f>
        <v>0</v>
      </c>
      <c r="Q181" s="141">
        <f t="shared" si="34"/>
        <v>0</v>
      </c>
      <c r="R181" s="141">
        <f t="shared" si="34"/>
        <v>0</v>
      </c>
      <c r="S181" s="141">
        <f t="shared" si="34"/>
        <v>0</v>
      </c>
      <c r="T181" s="216"/>
      <c r="U181" s="216"/>
      <c r="V181" s="216"/>
      <c r="W181" s="216"/>
      <c r="X181" s="994"/>
      <c r="Y181" s="992"/>
      <c r="Z181" s="1112">
        <f>IF(AND(NOT(G174=0),NOT(I174=0)),SUM(Z175:Z180),0)</f>
        <v>0</v>
      </c>
      <c r="AA181" s="992" t="s">
        <v>601</v>
      </c>
      <c r="AC181" s="994"/>
      <c r="AD181" s="1112">
        <f>IF(AND(G174&gt;0,I174&gt;0),SUM(AD178:AD180),0)</f>
        <v>0</v>
      </c>
      <c r="AE181" s="994" t="s">
        <v>620</v>
      </c>
    </row>
    <row r="182" spans="1:31" hidden="1" outlineLevel="1" x14ac:dyDescent="0.2">
      <c r="A182" s="141"/>
      <c r="B182" s="141"/>
      <c r="C182" s="803"/>
      <c r="D182" s="141"/>
      <c r="E182" s="141"/>
      <c r="F182" s="141"/>
      <c r="G182" s="520">
        <f>G180-G174+1</f>
        <v>32</v>
      </c>
      <c r="H182" s="141"/>
      <c r="I182" s="520">
        <f>I180-I174</f>
        <v>31</v>
      </c>
      <c r="J182" s="141"/>
      <c r="K182" s="803" t="s">
        <v>628</v>
      </c>
      <c r="L182" s="216"/>
      <c r="M182" s="216"/>
      <c r="N182" s="520" t="b">
        <f>IF(NOT(N172="n/a"),N180-N172+1)</f>
        <v>0</v>
      </c>
      <c r="O182" s="520" t="b">
        <f>IF(NOT(O172="n/a"),O180-O172)</f>
        <v>0</v>
      </c>
      <c r="P182" s="520" t="b">
        <f>IF(NOT(P172="n/a"),P180-P172+1)</f>
        <v>0</v>
      </c>
      <c r="Q182" s="520" t="b">
        <f>IF(NOT(Q172="n/a"),Q180-Q172)</f>
        <v>0</v>
      </c>
      <c r="R182" s="520" t="b">
        <f>IF(NOT(R172="n/a"),R180-R172+1)</f>
        <v>0</v>
      </c>
      <c r="S182" s="520" t="b">
        <f>IF(NOT(S172="n/a"),S180-S172)</f>
        <v>0</v>
      </c>
      <c r="T182" s="216"/>
      <c r="U182" s="216"/>
      <c r="V182" s="216"/>
      <c r="W182" s="216"/>
      <c r="X182" s="994"/>
      <c r="Y182" s="992"/>
      <c r="AC182" s="994"/>
      <c r="AD182" s="994"/>
      <c r="AE182" s="994"/>
    </row>
    <row r="183" spans="1:31" hidden="1" outlineLevel="1" x14ac:dyDescent="0.2">
      <c r="A183" s="141"/>
      <c r="B183" s="141"/>
      <c r="C183" s="803"/>
      <c r="D183" s="141"/>
      <c r="E183" s="141"/>
      <c r="F183" s="141"/>
      <c r="G183" s="141">
        <f>G181-G182</f>
        <v>-1</v>
      </c>
      <c r="H183" s="141"/>
      <c r="I183" s="141">
        <f>I181-I182</f>
        <v>0</v>
      </c>
      <c r="J183" s="141"/>
      <c r="K183" s="803" t="s">
        <v>397</v>
      </c>
      <c r="L183" s="216"/>
      <c r="M183" s="216"/>
      <c r="N183" s="141">
        <f t="shared" ref="N183:S183" si="35">N181-N182</f>
        <v>0</v>
      </c>
      <c r="O183" s="141">
        <f t="shared" si="35"/>
        <v>0</v>
      </c>
      <c r="P183" s="141">
        <f t="shared" si="35"/>
        <v>0</v>
      </c>
      <c r="Q183" s="141">
        <f t="shared" si="35"/>
        <v>0</v>
      </c>
      <c r="R183" s="141">
        <f t="shared" si="35"/>
        <v>0</v>
      </c>
      <c r="S183" s="141">
        <f t="shared" si="35"/>
        <v>0</v>
      </c>
      <c r="T183" s="216"/>
      <c r="U183" s="216"/>
      <c r="V183" s="216"/>
      <c r="W183" s="216"/>
      <c r="X183" s="994"/>
      <c r="Y183" s="992"/>
      <c r="AC183" s="994"/>
      <c r="AD183" s="994"/>
      <c r="AE183" s="994"/>
    </row>
    <row r="184" spans="1:31" hidden="1" outlineLevel="1" x14ac:dyDescent="0.2">
      <c r="A184" s="141"/>
      <c r="B184" s="141"/>
      <c r="C184" s="803"/>
      <c r="D184" s="141"/>
      <c r="E184" s="141"/>
      <c r="F184" s="141"/>
      <c r="G184" s="718">
        <f>IF(G178="Yes",ROUND(G182/G181,6),0)</f>
        <v>1.0322579999999999</v>
      </c>
      <c r="H184" s="719"/>
      <c r="I184" s="718">
        <f>IF(I178="Yes",ROUND(I183/I181,6),0)</f>
        <v>0</v>
      </c>
      <c r="J184" s="589"/>
      <c r="K184" s="803" t="s">
        <v>398</v>
      </c>
      <c r="L184" s="216"/>
      <c r="M184" s="216"/>
      <c r="N184" s="716">
        <f>IF(ISERROR(IF(N178="Yes",ROUND(N182/N181,6),0)),0,IF(N178="Yes",ROUND(N182/N181,6),0))</f>
        <v>0</v>
      </c>
      <c r="O184" s="716">
        <f>IF(ISERROR(IF(O178="Yes",ROUND(O183/O181,6),0)),0,IF(O178="Yes",ROUND(O183/O181,6),0))</f>
        <v>0</v>
      </c>
      <c r="P184" s="716">
        <f>IF(ISERROR(IF(P178="Yes",ROUND(P182/P181,6),0)),0,IF(P178="Yes",ROUND(P182/P181,6),0))</f>
        <v>0</v>
      </c>
      <c r="Q184" s="716">
        <f>IF(ISERROR(IF(Q178="Yes",ROUND(Q183/Q181,6),0)),0,IF(Q178="Yes",ROUND(Q183/Q181,6),0))</f>
        <v>0</v>
      </c>
      <c r="R184" s="716">
        <f>IF(ISERROR(IF(R178="Yes",ROUND(R182/R181,6),0)),0,IF(R178="Yes",ROUND(R182/R181,6),0))</f>
        <v>0</v>
      </c>
      <c r="S184" s="716">
        <f>IF(ISERROR(IF(S178="Yes",ROUND(S183/S181,6),0)),0,IF(S178="Yes",ROUND(S183/S181,6),0))</f>
        <v>0</v>
      </c>
      <c r="T184" s="216"/>
      <c r="U184" s="216"/>
      <c r="V184" s="216"/>
      <c r="W184" s="216"/>
      <c r="X184" s="994"/>
      <c r="Y184" s="992"/>
      <c r="AA184" s="994" t="s">
        <v>556</v>
      </c>
      <c r="AB184" s="994" t="s">
        <v>575</v>
      </c>
      <c r="AC184" s="994"/>
      <c r="AD184" s="994"/>
      <c r="AE184" s="994"/>
    </row>
    <row r="185" spans="1:31" ht="13.5" hidden="1" outlineLevel="1" thickBot="1" x14ac:dyDescent="0.25">
      <c r="A185" s="141"/>
      <c r="B185" s="141"/>
      <c r="C185" s="803"/>
      <c r="D185" s="141"/>
      <c r="E185" s="141"/>
      <c r="F185" s="141"/>
      <c r="G185" s="592">
        <f>IF(G187="Yes",0,ROUND(K174*G184,2))</f>
        <v>0</v>
      </c>
      <c r="H185" s="141"/>
      <c r="I185" s="592">
        <f>IF(G187="Yes",0,ROUND(K174*I184,2))</f>
        <v>0</v>
      </c>
      <c r="J185" s="141"/>
      <c r="K185" s="803" t="s">
        <v>409</v>
      </c>
      <c r="L185" s="216"/>
      <c r="M185" s="216"/>
      <c r="N185" s="546">
        <f>IF(N187="yes",0,ROUND(N184*E171,0))</f>
        <v>0</v>
      </c>
      <c r="O185" s="546">
        <f>IF(N187="yes",0,ROUND(O184*E171,0))</f>
        <v>0</v>
      </c>
      <c r="P185" s="546">
        <f>IF(P187="yes",0,ROUND(P184*E171,0))</f>
        <v>0</v>
      </c>
      <c r="Q185" s="546">
        <f>IF(P187="yes",0,ROUND(Q184*E171,0))</f>
        <v>0</v>
      </c>
      <c r="R185" s="546">
        <f>IF(R187="yes",0,ROUND(R184*E171,0))</f>
        <v>0</v>
      </c>
      <c r="S185" s="546">
        <f>IF(R187="yes",0,ROUND(S184*E171,0))</f>
        <v>0</v>
      </c>
      <c r="T185" s="216"/>
      <c r="U185" s="216"/>
      <c r="V185" s="216"/>
      <c r="W185" s="216"/>
      <c r="X185" s="994"/>
      <c r="Y185" s="992"/>
      <c r="AA185" s="994" t="s">
        <v>565</v>
      </c>
      <c r="AB185" s="994" t="s">
        <v>576</v>
      </c>
      <c r="AC185" s="994"/>
      <c r="AD185" s="994"/>
      <c r="AE185" s="994"/>
    </row>
    <row r="186" spans="1:31" ht="13.5" hidden="1" outlineLevel="1" thickTop="1" x14ac:dyDescent="0.2">
      <c r="A186" s="141"/>
      <c r="B186" s="141"/>
      <c r="C186" s="803"/>
      <c r="D186" s="141"/>
      <c r="E186" s="141"/>
      <c r="F186" s="141"/>
      <c r="G186" s="141"/>
      <c r="H186" s="141"/>
      <c r="I186" s="141"/>
      <c r="J186" s="141"/>
      <c r="K186" s="803"/>
      <c r="L186" s="216"/>
      <c r="M186" s="216"/>
      <c r="N186" s="216"/>
      <c r="O186" s="216"/>
      <c r="P186" s="216"/>
      <c r="Q186" s="141"/>
      <c r="R186" s="216"/>
      <c r="S186" s="141"/>
      <c r="T186" s="216"/>
      <c r="U186" s="216"/>
      <c r="V186" s="216"/>
      <c r="W186" s="216"/>
      <c r="X186" s="994"/>
      <c r="Y186" s="992"/>
      <c r="AA186" s="994" t="s">
        <v>571</v>
      </c>
      <c r="AB186" s="994" t="s">
        <v>577</v>
      </c>
      <c r="AC186" s="994"/>
      <c r="AD186" s="994"/>
      <c r="AE186" s="994"/>
    </row>
    <row r="187" spans="1:31" hidden="1" outlineLevel="1" x14ac:dyDescent="0.2">
      <c r="A187" s="141"/>
      <c r="B187" s="141"/>
      <c r="C187" s="803"/>
      <c r="D187" s="141"/>
      <c r="E187" s="141"/>
      <c r="F187" s="141"/>
      <c r="G187" s="542" t="str">
        <f>IF(AND(YEAR(G174)=YEAR(I174),MONTH(G174)=MONTH(I174),G178="YES",I178="YES"),"YES","NO")</f>
        <v>YES</v>
      </c>
      <c r="H187" s="141"/>
      <c r="I187" s="141"/>
      <c r="J187" s="141"/>
      <c r="K187" s="803" t="s">
        <v>410</v>
      </c>
      <c r="L187" s="216"/>
      <c r="M187" s="216"/>
      <c r="N187" s="544" t="str">
        <f>IF(N172="n/a","NO",IF(AND(YEAR(N172)=YEAR(O172),MONTH(N172)=MONTH(O172),N178="YES",O178="YES"),"YES","NO"))</f>
        <v>NO</v>
      </c>
      <c r="O187" s="510"/>
      <c r="P187" s="544" t="str">
        <f>IF(P172="n/a","NO",IF(AND(YEAR(P172)=YEAR(Q172),MONTH(P172)=MONTH(Q172),P178="YES",Q178="YES"),"YES","NO"))</f>
        <v>NO</v>
      </c>
      <c r="Q187" s="141"/>
      <c r="R187" s="544" t="str">
        <f>IF(R172="n/a","NO",IF(AND(YEAR(R172)=YEAR(S172),MONTH(R172)=MONTH(S172),R178="YES",S178="YES"),"YES","NO"))</f>
        <v>NO</v>
      </c>
      <c r="S187" s="141"/>
      <c r="T187" s="216"/>
      <c r="U187" s="216"/>
      <c r="V187" s="216"/>
      <c r="W187" s="216"/>
      <c r="X187" s="994"/>
      <c r="Y187" s="992"/>
    </row>
    <row r="188" spans="1:31" hidden="1" outlineLevel="1" x14ac:dyDescent="0.2">
      <c r="A188" s="141"/>
      <c r="B188" s="141"/>
      <c r="C188" s="803"/>
      <c r="D188" s="141"/>
      <c r="E188" s="141"/>
      <c r="F188" s="141"/>
      <c r="G188" s="141">
        <f>IF(G187="yes",I174-G174+1,0)</f>
        <v>1</v>
      </c>
      <c r="H188" s="141"/>
      <c r="I188" s="141"/>
      <c r="J188" s="141"/>
      <c r="K188" s="803" t="s">
        <v>411</v>
      </c>
      <c r="L188" s="216"/>
      <c r="M188" s="216"/>
      <c r="N188" s="141">
        <f>IF(N187="yes",O172-N172+1,0)</f>
        <v>0</v>
      </c>
      <c r="O188" s="510"/>
      <c r="P188" s="141">
        <f>IF(P187="yes",Q172-P172+1,0)</f>
        <v>0</v>
      </c>
      <c r="Q188" s="141"/>
      <c r="R188" s="141">
        <f>IF(R187="yes",S172-R172+1,0)</f>
        <v>0</v>
      </c>
      <c r="S188" s="141"/>
      <c r="T188" s="216"/>
      <c r="U188" s="216"/>
      <c r="V188" s="216"/>
      <c r="W188" s="216"/>
      <c r="X188" s="994"/>
      <c r="Y188" s="992"/>
    </row>
    <row r="189" spans="1:31" hidden="1" outlineLevel="1" x14ac:dyDescent="0.2">
      <c r="A189" s="141"/>
      <c r="B189" s="141"/>
      <c r="C189" s="803"/>
      <c r="D189" s="141"/>
      <c r="E189" s="141"/>
      <c r="F189" s="141"/>
      <c r="G189" s="717">
        <f>ROUND(G188/G181,6)</f>
        <v>3.2258000000000002E-2</v>
      </c>
      <c r="H189" s="141"/>
      <c r="I189" s="141"/>
      <c r="J189" s="141"/>
      <c r="K189" s="803" t="s">
        <v>398</v>
      </c>
      <c r="L189" s="216"/>
      <c r="M189" s="216"/>
      <c r="N189" s="717">
        <f>IF(ISERROR(ROUND(N188/N181,6)),0,ROUND(N188/N181,6))</f>
        <v>0</v>
      </c>
      <c r="O189" s="543"/>
      <c r="P189" s="717">
        <f>IF(ISERROR(ROUND(P188/P181,6)),0,ROUND(P188/P181,6))</f>
        <v>0</v>
      </c>
      <c r="Q189" s="520"/>
      <c r="R189" s="717">
        <f>IF(ISERROR(ROUND(R188/R181,6)),0,ROUND(R188/R181,6))</f>
        <v>0</v>
      </c>
      <c r="S189" s="141"/>
      <c r="T189" s="216"/>
      <c r="U189" s="216"/>
      <c r="V189" s="216"/>
      <c r="W189" s="216"/>
      <c r="X189" s="994"/>
      <c r="Y189" s="992"/>
    </row>
    <row r="190" spans="1:31" hidden="1" outlineLevel="1" x14ac:dyDescent="0.2">
      <c r="A190" s="141"/>
      <c r="B190" s="141"/>
      <c r="C190" s="803"/>
      <c r="D190" s="141"/>
      <c r="E190" s="141"/>
      <c r="F190" s="141"/>
      <c r="G190" s="540">
        <f>ROUND(IF(NOT(G174=0),G189*K174,0),2)</f>
        <v>0</v>
      </c>
      <c r="H190" s="141"/>
      <c r="I190" s="141"/>
      <c r="J190" s="141"/>
      <c r="K190" s="803" t="s">
        <v>413</v>
      </c>
      <c r="L190" s="216"/>
      <c r="M190" s="216"/>
      <c r="N190" s="510">
        <f>IF(NOT(N172=0),ROUND(N189*E171,0),0)</f>
        <v>0</v>
      </c>
      <c r="O190" s="510"/>
      <c r="P190" s="510">
        <f>IF(NOT(P172=0),ROUND(P189*E171,0),0)</f>
        <v>0</v>
      </c>
      <c r="Q190" s="141"/>
      <c r="R190" s="510">
        <f>IF(NOT(R172=0),ROUND(R189*E171,0),0)</f>
        <v>0</v>
      </c>
      <c r="S190" s="141"/>
      <c r="T190" s="216"/>
      <c r="U190" s="216"/>
      <c r="V190" s="216"/>
      <c r="W190" s="216"/>
      <c r="X190" s="994"/>
      <c r="Y190" s="992"/>
    </row>
    <row r="191" spans="1:31" hidden="1" outlineLevel="1" x14ac:dyDescent="0.2">
      <c r="A191" s="141"/>
      <c r="B191" s="141"/>
      <c r="C191" s="141"/>
      <c r="D191" s="141"/>
      <c r="E191" s="141"/>
      <c r="F191" s="141"/>
      <c r="G191" s="141"/>
      <c r="H191" s="141"/>
      <c r="I191" s="141"/>
      <c r="J191" s="141"/>
      <c r="K191" s="141"/>
      <c r="L191" s="216"/>
      <c r="M191" s="216"/>
      <c r="N191" s="216"/>
      <c r="O191" s="216"/>
      <c r="P191" s="216"/>
      <c r="Q191" s="141"/>
      <c r="R191" s="216"/>
      <c r="S191" s="141"/>
      <c r="T191" s="216"/>
      <c r="U191" s="216"/>
      <c r="V191" s="216"/>
      <c r="W191" s="216"/>
      <c r="X191" s="994"/>
      <c r="Y191" s="992"/>
    </row>
    <row r="192" spans="1:31" hidden="1" outlineLevel="1" x14ac:dyDescent="0.2">
      <c r="A192" s="141"/>
      <c r="B192" s="141"/>
      <c r="C192" s="141"/>
      <c r="D192" s="141"/>
      <c r="E192" s="141"/>
      <c r="F192" s="141"/>
      <c r="G192" s="716">
        <f>IF(G187="No",G184,G189)</f>
        <v>3.2258000000000002E-2</v>
      </c>
      <c r="H192" s="721"/>
      <c r="I192" s="716">
        <f>IF(G187="No",I184,0)</f>
        <v>0</v>
      </c>
      <c r="J192" s="141"/>
      <c r="K192" s="141" t="s">
        <v>492</v>
      </c>
      <c r="L192" s="216"/>
      <c r="M192" s="216"/>
      <c r="N192" s="716">
        <f>IF(N187="No",N184,N189)</f>
        <v>0</v>
      </c>
      <c r="O192" s="718">
        <f>IF(N187="No",O184,0)</f>
        <v>0</v>
      </c>
      <c r="P192" s="716">
        <f>IF(P187="No",P184,P189)</f>
        <v>0</v>
      </c>
      <c r="Q192" s="718">
        <f>IF(P187="No",Q184,0)</f>
        <v>0</v>
      </c>
      <c r="R192" s="716">
        <f>IF(R187="No",R184,R189)</f>
        <v>0</v>
      </c>
      <c r="S192" s="718">
        <f>IF(R187="No",S184,0)</f>
        <v>0</v>
      </c>
      <c r="T192" s="216"/>
      <c r="U192" s="216"/>
      <c r="V192" s="216"/>
      <c r="W192" s="216"/>
      <c r="X192" s="994"/>
      <c r="Y192" s="992"/>
    </row>
    <row r="193" spans="1:31" ht="13.5" hidden="1" outlineLevel="1" thickBot="1" x14ac:dyDescent="0.25">
      <c r="A193" s="141"/>
      <c r="B193" s="141"/>
      <c r="C193" s="141"/>
      <c r="D193" s="141"/>
      <c r="E193" s="141"/>
      <c r="F193" s="141"/>
      <c r="G193" s="603"/>
      <c r="H193" s="520"/>
      <c r="I193" s="603"/>
      <c r="J193" s="520"/>
      <c r="K193" s="141"/>
      <c r="L193" s="216"/>
      <c r="M193" s="516" t="s">
        <v>412</v>
      </c>
      <c r="N193" s="602">
        <f>N185+N190</f>
        <v>0</v>
      </c>
      <c r="O193" s="602">
        <f t="shared" ref="O193" si="36">O185+O190</f>
        <v>0</v>
      </c>
      <c r="P193" s="602">
        <f>P185+P190</f>
        <v>0</v>
      </c>
      <c r="Q193" s="602">
        <f t="shared" ref="Q193" si="37">Q185+Q190</f>
        <v>0</v>
      </c>
      <c r="R193" s="602">
        <f>R185+R190</f>
        <v>0</v>
      </c>
      <c r="S193" s="602">
        <f>S185+S190</f>
        <v>0</v>
      </c>
      <c r="T193" s="216"/>
      <c r="U193" s="216"/>
      <c r="V193" s="216"/>
      <c r="W193" s="216"/>
      <c r="X193" s="994"/>
      <c r="Y193" s="992"/>
    </row>
    <row r="194" spans="1:31" ht="13.5" collapsed="1" thickBot="1" x14ac:dyDescent="0.25">
      <c r="A194" s="141"/>
      <c r="B194" s="141"/>
      <c r="C194" s="141"/>
      <c r="D194" s="141"/>
      <c r="E194" s="141"/>
      <c r="F194" s="141"/>
      <c r="G194" s="1663">
        <f>G185+G190</f>
        <v>0</v>
      </c>
      <c r="H194" s="1663"/>
      <c r="I194" s="1663">
        <f>I185+I190</f>
        <v>0</v>
      </c>
      <c r="J194" s="1663"/>
      <c r="K194" s="832" t="s">
        <v>399</v>
      </c>
      <c r="L194" s="216"/>
      <c r="M194" s="216"/>
      <c r="N194" s="141"/>
      <c r="O194" s="216"/>
      <c r="P194" s="216"/>
      <c r="Q194" s="141"/>
      <c r="R194" s="219"/>
      <c r="S194" s="219"/>
      <c r="T194" s="216"/>
      <c r="U194" s="216"/>
      <c r="V194" s="216"/>
      <c r="W194" s="216"/>
      <c r="X194" s="994"/>
      <c r="Y194" s="992"/>
    </row>
    <row r="195" spans="1:31" ht="15.75" thickTop="1" x14ac:dyDescent="0.25">
      <c r="A195" s="141"/>
      <c r="B195" s="141"/>
      <c r="C195" s="141"/>
      <c r="D195" s="141"/>
      <c r="E195" s="141"/>
      <c r="F195" s="141"/>
      <c r="G195" s="842" t="str">
        <f>IF($AD181&gt;0,"ERROR ALERT:  The date range in your service start/end dates is NOT consistent with the OTO start/end dates ('OTO Terms' above), please check your dates and re-enter.","")</f>
        <v/>
      </c>
      <c r="H195" s="801"/>
      <c r="I195" s="801"/>
      <c r="J195" s="801"/>
      <c r="K195" s="803"/>
      <c r="L195" s="216"/>
      <c r="M195" s="216"/>
      <c r="N195" s="141"/>
      <c r="O195" s="216"/>
      <c r="P195" s="216"/>
      <c r="Q195" s="141"/>
      <c r="R195" s="219"/>
      <c r="S195" s="219"/>
      <c r="T195" s="216"/>
      <c r="U195" s="216"/>
      <c r="V195" s="216"/>
      <c r="W195" s="216"/>
      <c r="X195" s="994"/>
      <c r="Y195" s="992"/>
    </row>
    <row r="196" spans="1:31" ht="15" x14ac:dyDescent="0.25">
      <c r="B196" s="609" t="s">
        <v>679</v>
      </c>
      <c r="R196" s="254"/>
      <c r="S196" s="254"/>
    </row>
    <row r="197" spans="1:31" x14ac:dyDescent="0.2">
      <c r="R197" s="1660" t="s">
        <v>547</v>
      </c>
      <c r="S197" s="1660"/>
    </row>
    <row r="198" spans="1:31" hidden="1" outlineLevel="1" x14ac:dyDescent="0.2">
      <c r="A198" s="141"/>
      <c r="B198" s="141" t="s">
        <v>493</v>
      </c>
      <c r="C198" s="141"/>
      <c r="D198" s="597">
        <f>IF(NOT(G207=0),IF(G220="NO",(YEAR(I207)-YEAR(G207))*12+MONTH(I207)-MONTH(G207)+IF(G211="no",1,0)+IF(I211="yes",-1,0),0),0)</f>
        <v>0</v>
      </c>
      <c r="E198" s="141"/>
      <c r="F198" s="141"/>
      <c r="G198" s="141"/>
      <c r="H198" s="141"/>
      <c r="I198" s="141"/>
      <c r="J198" s="141"/>
      <c r="K198" s="141"/>
      <c r="L198" s="141"/>
      <c r="M198" s="516" t="s">
        <v>493</v>
      </c>
      <c r="N198" s="597">
        <f>IF(NOT(N205="n/a"),(YEAR(O205)-YEAR(N205))*12+MONTH(O205)-MONTH(N205)+IF(N211="no",1,0)+IF(O211="yes",-1,0),0)</f>
        <v>0</v>
      </c>
      <c r="O198" s="254"/>
      <c r="P198" s="597">
        <f>IF(NOT(P205="n/a"),(YEAR(Q205)-YEAR(P205))*12+MONTH(Q205)-MONTH(P205)+IF(P211="no",1,0)+IF(Q211="yes",-1,0),0)</f>
        <v>0</v>
      </c>
      <c r="Q198" s="141"/>
      <c r="R198" s="597">
        <f>IF(NOT(R205="n/a"),(YEAR(S205)-YEAR(R205))*12+MONTH(S205)-MONTH(R205)+IF(R211="no",1,0)+IF(S211="yes",-1,0),0)</f>
        <v>0</v>
      </c>
      <c r="S198" s="202"/>
      <c r="T198" s="216"/>
      <c r="U198" s="141"/>
      <c r="V198" s="216"/>
      <c r="W198" s="216"/>
      <c r="X198" s="994"/>
      <c r="Y198" s="992"/>
    </row>
    <row r="199" spans="1:31" hidden="1" outlineLevel="1" x14ac:dyDescent="0.2">
      <c r="A199" s="141"/>
      <c r="B199" s="141" t="s">
        <v>494</v>
      </c>
      <c r="C199" s="141"/>
      <c r="D199" s="598">
        <f>IF(NOT(G207=0),G225,0)</f>
        <v>0</v>
      </c>
      <c r="E199" s="141"/>
      <c r="F199" s="141"/>
      <c r="G199" s="141"/>
      <c r="H199" s="141"/>
      <c r="I199" s="141"/>
      <c r="J199" s="141"/>
      <c r="K199" s="141"/>
      <c r="L199" s="141"/>
      <c r="M199" s="516" t="s">
        <v>494</v>
      </c>
      <c r="N199" s="598">
        <f>N225</f>
        <v>0</v>
      </c>
      <c r="O199" s="216"/>
      <c r="P199" s="598">
        <f>P225</f>
        <v>0</v>
      </c>
      <c r="Q199" s="141"/>
      <c r="R199" s="598">
        <f>R225</f>
        <v>0</v>
      </c>
      <c r="S199" s="202"/>
      <c r="T199" s="216"/>
      <c r="U199" s="141"/>
      <c r="V199" s="216"/>
      <c r="W199" s="216"/>
      <c r="X199" s="994"/>
      <c r="Y199" s="992"/>
    </row>
    <row r="200" spans="1:31" hidden="1" outlineLevel="1" x14ac:dyDescent="0.2">
      <c r="A200" s="141"/>
      <c r="B200" s="141" t="s">
        <v>495</v>
      </c>
      <c r="C200" s="141"/>
      <c r="D200" s="599">
        <f>IF(NOT(G207=0),I225,0)</f>
        <v>0</v>
      </c>
      <c r="E200" s="141"/>
      <c r="F200" s="141"/>
      <c r="G200" s="141"/>
      <c r="H200" s="141"/>
      <c r="I200" s="141"/>
      <c r="J200" s="141"/>
      <c r="K200" s="141"/>
      <c r="L200" s="141"/>
      <c r="M200" s="516" t="s">
        <v>495</v>
      </c>
      <c r="N200" s="599">
        <f>O225</f>
        <v>0</v>
      </c>
      <c r="O200" s="216"/>
      <c r="P200" s="599">
        <f>Q225</f>
        <v>0</v>
      </c>
      <c r="Q200" s="141"/>
      <c r="R200" s="599">
        <f>S225</f>
        <v>0</v>
      </c>
      <c r="S200" s="202"/>
      <c r="T200" s="216"/>
      <c r="U200" s="141"/>
      <c r="V200" s="216"/>
      <c r="W200" s="216"/>
      <c r="X200" s="994"/>
      <c r="Y200" s="992"/>
    </row>
    <row r="201" spans="1:31" hidden="1" outlineLevel="1" x14ac:dyDescent="0.2">
      <c r="A201" s="141"/>
      <c r="B201" s="219" t="s">
        <v>496</v>
      </c>
      <c r="C201" s="141"/>
      <c r="D201" s="597">
        <f>SUM(D198:D200)</f>
        <v>0</v>
      </c>
      <c r="E201" s="141"/>
      <c r="F201" s="141"/>
      <c r="G201" s="141"/>
      <c r="H201" s="141"/>
      <c r="I201" s="141"/>
      <c r="J201" s="141"/>
      <c r="K201" s="141"/>
      <c r="L201" s="141"/>
      <c r="M201" s="499" t="s">
        <v>496</v>
      </c>
      <c r="N201" s="597">
        <f>SUM(N198:N200)</f>
        <v>0</v>
      </c>
      <c r="O201" s="216"/>
      <c r="P201" s="597">
        <f>SUM(P198:P200)</f>
        <v>0</v>
      </c>
      <c r="Q201" s="141"/>
      <c r="R201" s="597">
        <f>SUM(R198:R200)</f>
        <v>0</v>
      </c>
      <c r="S201" s="202"/>
      <c r="T201" s="216"/>
      <c r="U201" s="141"/>
      <c r="V201" s="216"/>
      <c r="W201" s="216"/>
      <c r="X201" s="994"/>
      <c r="Y201" s="992"/>
    </row>
    <row r="202" spans="1:31" hidden="1" outlineLevel="1" x14ac:dyDescent="0.2">
      <c r="A202" s="216"/>
      <c r="B202" s="219"/>
      <c r="C202" s="216"/>
      <c r="D202" s="601"/>
      <c r="E202" s="216"/>
      <c r="F202" s="216"/>
      <c r="G202" s="216"/>
      <c r="H202" s="216"/>
      <c r="I202" s="216"/>
      <c r="J202" s="216"/>
      <c r="K202" s="216"/>
      <c r="L202" s="216"/>
      <c r="M202" s="499"/>
      <c r="N202" s="216"/>
      <c r="O202" s="216"/>
      <c r="P202" s="601"/>
      <c r="Q202" s="216"/>
      <c r="R202" s="216"/>
      <c r="S202" s="254"/>
      <c r="T202" s="216"/>
      <c r="U202" s="216"/>
      <c r="V202" s="216"/>
      <c r="W202" s="216"/>
      <c r="X202" s="994"/>
      <c r="Y202" s="992"/>
    </row>
    <row r="203" spans="1:31" hidden="1" outlineLevel="1" x14ac:dyDescent="0.2">
      <c r="A203" s="141"/>
      <c r="B203" s="141"/>
      <c r="C203" s="141"/>
      <c r="D203" s="141"/>
      <c r="E203" s="141"/>
      <c r="F203" s="141"/>
      <c r="G203" s="141"/>
      <c r="H203" s="141"/>
      <c r="I203" s="141"/>
      <c r="J203" s="141"/>
      <c r="K203" s="141"/>
      <c r="L203" s="141"/>
      <c r="M203" s="141"/>
      <c r="N203" s="141"/>
      <c r="O203" s="141"/>
      <c r="P203" s="141"/>
      <c r="Q203" s="141"/>
      <c r="R203" s="216"/>
      <c r="S203" s="254"/>
      <c r="T203" s="216"/>
      <c r="U203" s="141"/>
      <c r="V203" s="216"/>
      <c r="W203" s="216"/>
      <c r="X203" s="994"/>
      <c r="Y203" s="992"/>
    </row>
    <row r="204" spans="1:31" collapsed="1" x14ac:dyDescent="0.2">
      <c r="A204" s="141"/>
      <c r="B204" s="219" t="s">
        <v>497</v>
      </c>
      <c r="C204" s="141"/>
      <c r="D204" s="216"/>
      <c r="E204" s="600">
        <f>$L$68</f>
        <v>0</v>
      </c>
      <c r="F204" s="141"/>
      <c r="G204" s="1664"/>
      <c r="H204" s="1664"/>
      <c r="I204" s="141"/>
      <c r="J204" s="141"/>
      <c r="K204" s="141"/>
      <c r="L204" s="216"/>
      <c r="M204" s="216"/>
      <c r="N204" s="590" t="s">
        <v>545</v>
      </c>
      <c r="O204" s="591" t="s">
        <v>579</v>
      </c>
      <c r="P204" s="590" t="s">
        <v>545</v>
      </c>
      <c r="Q204" s="591" t="s">
        <v>579</v>
      </c>
      <c r="R204" s="590" t="s">
        <v>545</v>
      </c>
      <c r="S204" s="591" t="s">
        <v>579</v>
      </c>
      <c r="T204" s="216"/>
      <c r="U204" s="141"/>
      <c r="V204" s="216"/>
      <c r="W204" s="216"/>
      <c r="X204" s="994"/>
      <c r="Y204" s="992"/>
      <c r="Z204" s="994" t="s">
        <v>581</v>
      </c>
      <c r="AA204" s="1074">
        <f>IF(G207&gt;0,IF(MONTH(G207)&gt;3,DATE(YEAR(G207)+1,3,31),DATE(YEAR(G207),3,31)),0)</f>
        <v>0</v>
      </c>
    </row>
    <row r="205" spans="1:31" x14ac:dyDescent="0.2">
      <c r="A205" s="141"/>
      <c r="B205" s="141"/>
      <c r="C205" s="141"/>
      <c r="D205" s="141"/>
      <c r="E205" s="141"/>
      <c r="F205" s="141"/>
      <c r="G205" s="494" t="str">
        <f>IF(AD208&gt;0,"WARNING: Generally, you may not cross a CLBC March 31 fiscal year end, please re-check your dates.","")</f>
        <v/>
      </c>
      <c r="H205" s="141"/>
      <c r="I205" s="141"/>
      <c r="J205" s="141"/>
      <c r="K205" s="141"/>
      <c r="L205" s="216"/>
      <c r="M205" s="216"/>
      <c r="N205" s="503" t="str">
        <f>IF(OR(Z214=1,Z214=2,Z214=3),G207,"N/A")</f>
        <v>N/A</v>
      </c>
      <c r="O205" s="504" t="str">
        <f>IF(Z214=1,I207,IF(OR(Z214=2,Z214=3),$AA$79,"N/A"))</f>
        <v>N/A</v>
      </c>
      <c r="P205" s="503" t="str">
        <f>IF(OR(Z214=2,Z214=3),$AA$81,IF(OR(Z214=4,Z214=5),G207,"N/A"))</f>
        <v>N/A</v>
      </c>
      <c r="Q205" s="504" t="str">
        <f>IF(OR(Z214=2,Z214=4),I207,IF(OR(Z214=3,Z214=5),$AA$83,"N/A"))</f>
        <v>N/A</v>
      </c>
      <c r="R205" s="505" t="str">
        <f>IF(OR(Z214=3,Z214=5),$AA$85,IF(Z214=6,G207,"N/A"))</f>
        <v>N/A</v>
      </c>
      <c r="S205" s="504" t="str">
        <f>IF(OR(Z214=3,Z214=5,Z214=6),I207,"N/A")</f>
        <v>N/A</v>
      </c>
      <c r="T205" s="216"/>
      <c r="U205" s="141"/>
      <c r="V205" s="216"/>
      <c r="W205" s="216"/>
      <c r="X205" s="994"/>
      <c r="Y205" s="992"/>
      <c r="Z205" s="994" t="s">
        <v>582</v>
      </c>
      <c r="AA205" s="1074">
        <f>IF(AA204&gt;=$L$20,$L$20,AA204)</f>
        <v>0</v>
      </c>
    </row>
    <row r="206" spans="1:31" ht="38.25" customHeight="1" x14ac:dyDescent="0.2">
      <c r="A206" s="140"/>
      <c r="B206" s="792" t="s">
        <v>464</v>
      </c>
      <c r="C206" s="1543" t="s">
        <v>351</v>
      </c>
      <c r="D206" s="1543"/>
      <c r="E206" s="587" t="s">
        <v>481</v>
      </c>
      <c r="F206" s="587" t="s">
        <v>482</v>
      </c>
      <c r="G206" s="1522" t="s">
        <v>519</v>
      </c>
      <c r="H206" s="1523"/>
      <c r="I206" s="1522" t="s">
        <v>520</v>
      </c>
      <c r="J206" s="1523" t="s">
        <v>520</v>
      </c>
      <c r="K206" s="833" t="s">
        <v>387</v>
      </c>
      <c r="L206" s="831" t="s">
        <v>483</v>
      </c>
      <c r="M206" s="831" t="s">
        <v>388</v>
      </c>
      <c r="N206" s="1543" t="s">
        <v>389</v>
      </c>
      <c r="O206" s="1543"/>
      <c r="P206" s="1543" t="s">
        <v>390</v>
      </c>
      <c r="Q206" s="1543"/>
      <c r="R206" s="1543" t="s">
        <v>578</v>
      </c>
      <c r="S206" s="1543"/>
      <c r="T206" s="286"/>
      <c r="U206" s="140"/>
      <c r="V206" s="286"/>
      <c r="W206" s="286"/>
      <c r="X206" s="1002"/>
      <c r="Y206" s="1105"/>
    </row>
    <row r="207" spans="1:31" x14ac:dyDescent="0.2">
      <c r="A207" s="141"/>
      <c r="B207" s="666"/>
      <c r="C207" s="1544"/>
      <c r="D207" s="1544"/>
      <c r="E207" s="808" t="s">
        <v>484</v>
      </c>
      <c r="F207" s="808" t="str">
        <f>IF($L$23="Fixed Lump Sum","Y","N")</f>
        <v>N</v>
      </c>
      <c r="G207" s="1665"/>
      <c r="H207" s="1667"/>
      <c r="I207" s="1665"/>
      <c r="J207" s="1666"/>
      <c r="K207" s="588">
        <f>IF(F207="N",IF(NOT(G207=0),$J$68,0),0)</f>
        <v>0</v>
      </c>
      <c r="L207" s="588">
        <f>IF(F207="Y",$J$68*D201,0)</f>
        <v>0</v>
      </c>
      <c r="M207" s="588">
        <f>ROUND(IF(F207="Y",L207,IF(G220="yes",G227,K207*D198+G227+I227)),2)</f>
        <v>0</v>
      </c>
      <c r="N207" s="1661">
        <f>IF(N220="yes",N226,ROUND(E204*N198,0)+N226+O226)</f>
        <v>0</v>
      </c>
      <c r="O207" s="1662"/>
      <c r="P207" s="1661">
        <f>IF(P220="yes",P226,ROUND(E204*P198,0)+P226+Q226)</f>
        <v>0</v>
      </c>
      <c r="Q207" s="1662"/>
      <c r="R207" s="1661">
        <f>IF(R220="yes",R226,ROUND(E204*R198,0)+R226+S226)</f>
        <v>0</v>
      </c>
      <c r="S207" s="1662"/>
      <c r="T207" s="216"/>
      <c r="U207" s="141"/>
      <c r="V207" s="216"/>
      <c r="W207" s="216"/>
      <c r="X207" s="994"/>
      <c r="Y207" s="992"/>
      <c r="AA207" s="992" t="s">
        <v>553</v>
      </c>
      <c r="AB207" s="992" t="s">
        <v>554</v>
      </c>
      <c r="AC207" s="994"/>
      <c r="AD207" s="1109" t="s">
        <v>617</v>
      </c>
      <c r="AE207" s="1109" t="s">
        <v>718</v>
      </c>
    </row>
    <row r="208" spans="1:31" hidden="1" outlineLevel="1" x14ac:dyDescent="0.2">
      <c r="A208" s="141"/>
      <c r="B208" s="141"/>
      <c r="C208" s="803"/>
      <c r="D208" s="141"/>
      <c r="E208" s="141"/>
      <c r="F208" s="141"/>
      <c r="G208" s="141">
        <f>G214</f>
        <v>31</v>
      </c>
      <c r="H208" s="141"/>
      <c r="I208" s="141">
        <f>I214</f>
        <v>31</v>
      </c>
      <c r="J208" s="141"/>
      <c r="K208" s="803" t="s">
        <v>391</v>
      </c>
      <c r="L208" s="216"/>
      <c r="M208" s="216"/>
      <c r="N208" s="141">
        <f t="shared" ref="N208:S208" si="38">N214</f>
        <v>0</v>
      </c>
      <c r="O208" s="141">
        <f t="shared" si="38"/>
        <v>0</v>
      </c>
      <c r="P208" s="141">
        <f t="shared" si="38"/>
        <v>0</v>
      </c>
      <c r="Q208" s="141">
        <f t="shared" si="38"/>
        <v>0</v>
      </c>
      <c r="R208" s="141">
        <f t="shared" si="38"/>
        <v>0</v>
      </c>
      <c r="S208" s="141">
        <f t="shared" si="38"/>
        <v>0</v>
      </c>
      <c r="T208" s="216"/>
      <c r="U208" s="141"/>
      <c r="V208" s="216"/>
      <c r="W208" s="216"/>
      <c r="X208" s="994"/>
      <c r="Y208" s="992"/>
      <c r="Z208" s="992">
        <f>IF(AND(G207&gt;=$AA$77,I207&lt;=$AA$79),1,0)</f>
        <v>0</v>
      </c>
      <c r="AA208" s="992" t="s">
        <v>556</v>
      </c>
      <c r="AB208" s="992" t="s">
        <v>557</v>
      </c>
      <c r="AC208" s="994"/>
      <c r="AD208" s="994">
        <f>IF(AND(G207&gt;0,I207&gt;0,I207&gt;$AA205),1,0)</f>
        <v>0</v>
      </c>
      <c r="AE208" s="994" t="s">
        <v>619</v>
      </c>
    </row>
    <row r="209" spans="1:31" hidden="1" outlineLevel="1" x14ac:dyDescent="0.2">
      <c r="A209" s="141"/>
      <c r="B209" s="141"/>
      <c r="C209" s="803"/>
      <c r="D209" s="141"/>
      <c r="E209" s="141"/>
      <c r="F209" s="141"/>
      <c r="G209" s="141">
        <v>1</v>
      </c>
      <c r="H209" s="141"/>
      <c r="I209" s="141">
        <v>1</v>
      </c>
      <c r="J209" s="141"/>
      <c r="K209" s="803" t="s">
        <v>392</v>
      </c>
      <c r="L209" s="216"/>
      <c r="M209" s="216"/>
      <c r="N209" s="141">
        <v>1</v>
      </c>
      <c r="O209" s="141">
        <v>1</v>
      </c>
      <c r="P209" s="141">
        <v>1</v>
      </c>
      <c r="Q209" s="141">
        <v>1</v>
      </c>
      <c r="R209" s="141">
        <v>1</v>
      </c>
      <c r="S209" s="141">
        <v>1</v>
      </c>
      <c r="T209" s="216"/>
      <c r="U209" s="141"/>
      <c r="V209" s="216"/>
      <c r="W209" s="216"/>
      <c r="X209" s="994"/>
      <c r="Y209" s="992"/>
      <c r="Z209" s="992">
        <f>IF(AND(G207&lt;=$AA$79,I207&gt;$AA$79,I207&lt;=$AA$83),2,0)</f>
        <v>0</v>
      </c>
      <c r="AA209" s="992" t="s">
        <v>559</v>
      </c>
      <c r="AB209" s="992" t="s">
        <v>560</v>
      </c>
      <c r="AC209" s="994"/>
    </row>
    <row r="210" spans="1:31" hidden="1" outlineLevel="1" x14ac:dyDescent="0.2">
      <c r="A210" s="141"/>
      <c r="B210" s="141"/>
      <c r="C210" s="803"/>
      <c r="D210" s="141"/>
      <c r="E210" s="141"/>
      <c r="F210" s="141"/>
      <c r="G210" s="141">
        <f>DAY(G207)</f>
        <v>0</v>
      </c>
      <c r="H210" s="141"/>
      <c r="I210" s="141">
        <f>DAY(I207)</f>
        <v>0</v>
      </c>
      <c r="J210" s="141"/>
      <c r="K210" s="803" t="s">
        <v>393</v>
      </c>
      <c r="L210" s="216"/>
      <c r="M210" s="216"/>
      <c r="N210" s="141" t="b">
        <f t="shared" ref="N210:O210" si="39">IF(NOT(N205="n/a"),DAY(N205))</f>
        <v>0</v>
      </c>
      <c r="O210" s="141" t="b">
        <f t="shared" si="39"/>
        <v>0</v>
      </c>
      <c r="P210" s="141" t="b">
        <f>IF(NOT(P205="n/a"),DAY(P205))</f>
        <v>0</v>
      </c>
      <c r="Q210" s="141" t="b">
        <f>IF(NOT(Q205="n/a"),DAY(Q205))</f>
        <v>0</v>
      </c>
      <c r="R210" s="141" t="b">
        <f>IF(NOT(R205="n/a"),DAY(R205))</f>
        <v>0</v>
      </c>
      <c r="S210" s="141" t="b">
        <f>IF(NOT(S205="n/a"),DAY(S205))</f>
        <v>0</v>
      </c>
      <c r="T210" s="216"/>
      <c r="U210" s="141"/>
      <c r="V210" s="216"/>
      <c r="W210" s="216"/>
      <c r="X210" s="994"/>
      <c r="Y210" s="992"/>
      <c r="Z210" s="994">
        <f>IF(AND(G207&lt;$AA$79,I207&gt;$AA$83,I207&lt;=$AA$86),3,0)</f>
        <v>0</v>
      </c>
      <c r="AA210" s="992" t="s">
        <v>562</v>
      </c>
      <c r="AB210" s="994" t="s">
        <v>563</v>
      </c>
      <c r="AC210" s="994"/>
      <c r="AD210" s="1109" t="s">
        <v>617</v>
      </c>
      <c r="AE210" s="1109" t="s">
        <v>719</v>
      </c>
    </row>
    <row r="211" spans="1:31" hidden="1" outlineLevel="1" x14ac:dyDescent="0.2">
      <c r="A211" s="141"/>
      <c r="B211" s="141"/>
      <c r="C211" s="803"/>
      <c r="D211" s="141"/>
      <c r="E211" s="141"/>
      <c r="F211" s="141"/>
      <c r="G211" s="516" t="str">
        <f>IF(G210=G209,"No","Yes")</f>
        <v>Yes</v>
      </c>
      <c r="H211" s="141"/>
      <c r="I211" s="516" t="str">
        <f>IF(I210=I208,"No","Yes")</f>
        <v>Yes</v>
      </c>
      <c r="J211" s="141"/>
      <c r="K211" s="803" t="s">
        <v>394</v>
      </c>
      <c r="L211" s="216"/>
      <c r="M211" s="216"/>
      <c r="N211" s="516" t="str">
        <f>IF(N210=N209,"No","Yes")</f>
        <v>Yes</v>
      </c>
      <c r="O211" s="516" t="str">
        <f>IF(O210=O208,"No","Yes")</f>
        <v>Yes</v>
      </c>
      <c r="P211" s="516" t="str">
        <f>IF(P210=P209,"No","Yes")</f>
        <v>Yes</v>
      </c>
      <c r="Q211" s="516" t="str">
        <f>IF(Q210=Q208,"No","Yes")</f>
        <v>Yes</v>
      </c>
      <c r="R211" s="516" t="str">
        <f>IF(R210=R209,"No","Yes")</f>
        <v>Yes</v>
      </c>
      <c r="S211" s="516" t="str">
        <f>IF(S210=S208,"No","Yes")</f>
        <v>Yes</v>
      </c>
      <c r="T211" s="216"/>
      <c r="U211" s="216"/>
      <c r="V211" s="216"/>
      <c r="W211" s="216"/>
      <c r="X211" s="994"/>
      <c r="Y211" s="992"/>
      <c r="Z211" s="992">
        <f>IF(AND(G207&gt;=$AA$81,I207&lt;=$AA$83),4,0)</f>
        <v>4</v>
      </c>
      <c r="AA211" s="992" t="s">
        <v>565</v>
      </c>
      <c r="AB211" s="994" t="s">
        <v>566</v>
      </c>
      <c r="AC211" s="994"/>
      <c r="AD211" s="994">
        <f>IF(OR(G207&lt;$L$18,G207&gt;$L$20),1,0)</f>
        <v>0</v>
      </c>
      <c r="AE211" s="994" t="s">
        <v>618</v>
      </c>
    </row>
    <row r="212" spans="1:31" hidden="1" outlineLevel="1" x14ac:dyDescent="0.2">
      <c r="A212" s="141"/>
      <c r="B212" s="141"/>
      <c r="C212" s="803"/>
      <c r="D212" s="141"/>
      <c r="E212" s="141"/>
      <c r="F212" s="141"/>
      <c r="G212" s="219"/>
      <c r="H212" s="141"/>
      <c r="I212" s="219"/>
      <c r="J212" s="141"/>
      <c r="K212" s="803"/>
      <c r="L212" s="216"/>
      <c r="M212" s="216"/>
      <c r="N212" s="34"/>
      <c r="O212" s="34"/>
      <c r="P212" s="34"/>
      <c r="R212" s="34"/>
      <c r="S212" s="34"/>
      <c r="T212" s="216"/>
      <c r="U212" s="216"/>
      <c r="V212" s="216"/>
      <c r="W212" s="216"/>
      <c r="X212" s="994"/>
      <c r="Y212" s="992"/>
      <c r="Z212" s="992">
        <f>IF(AND(G207&gt;=$AA$81,G207&lt;=$AA$83,I207&gt;$AA$85),5,0)</f>
        <v>0</v>
      </c>
      <c r="AA212" s="992" t="s">
        <v>568</v>
      </c>
      <c r="AB212" s="994" t="s">
        <v>569</v>
      </c>
      <c r="AC212" s="994"/>
      <c r="AD212" s="994">
        <f>IF(OR(I207&lt;$L$18,I207&gt;$L$20),1,0)</f>
        <v>0</v>
      </c>
      <c r="AE212" s="994" t="s">
        <v>705</v>
      </c>
    </row>
    <row r="213" spans="1:31" hidden="1" outlineLevel="1" x14ac:dyDescent="0.2">
      <c r="A213" s="141"/>
      <c r="B213" s="141"/>
      <c r="C213" s="803"/>
      <c r="D213" s="141"/>
      <c r="E213" s="141"/>
      <c r="F213" s="141"/>
      <c r="G213" s="518">
        <f>EOMONTH(G207,0)</f>
        <v>31</v>
      </c>
      <c r="H213" s="141"/>
      <c r="I213" s="518">
        <f>EOMONTH(I207,0)</f>
        <v>31</v>
      </c>
      <c r="J213" s="141"/>
      <c r="K213" s="803" t="s">
        <v>395</v>
      </c>
      <c r="L213" s="216"/>
      <c r="M213" s="216"/>
      <c r="N213" s="518" t="b">
        <f t="shared" ref="N213:S213" si="40">IF(NOT(N205="n/a"),EOMONTH(N205,0))</f>
        <v>0</v>
      </c>
      <c r="O213" s="518" t="b">
        <f t="shared" si="40"/>
        <v>0</v>
      </c>
      <c r="P213" s="518" t="b">
        <f t="shared" si="40"/>
        <v>0</v>
      </c>
      <c r="Q213" s="518" t="b">
        <f t="shared" si="40"/>
        <v>0</v>
      </c>
      <c r="R213" s="518" t="b">
        <f t="shared" si="40"/>
        <v>0</v>
      </c>
      <c r="S213" s="518" t="b">
        <f t="shared" si="40"/>
        <v>0</v>
      </c>
      <c r="T213" s="216"/>
      <c r="U213" s="216"/>
      <c r="V213" s="216"/>
      <c r="W213" s="216"/>
      <c r="X213" s="994"/>
      <c r="Y213" s="992"/>
      <c r="Z213" s="1111">
        <f>IF(AND(G207&gt;=$AA$85,I207&lt;=$AA$86),6,0)</f>
        <v>6</v>
      </c>
      <c r="AA213" s="992" t="s">
        <v>571</v>
      </c>
      <c r="AB213" s="994" t="s">
        <v>572</v>
      </c>
      <c r="AC213" s="994"/>
      <c r="AD213" s="994"/>
      <c r="AE213" s="994"/>
    </row>
    <row r="214" spans="1:31" ht="13.5" hidden="1" outlineLevel="1" thickBot="1" x14ac:dyDescent="0.25">
      <c r="A214" s="141"/>
      <c r="B214" s="141"/>
      <c r="C214" s="803"/>
      <c r="D214" s="141"/>
      <c r="E214" s="141"/>
      <c r="F214" s="141"/>
      <c r="G214" s="141">
        <f>DAY(G213)</f>
        <v>31</v>
      </c>
      <c r="H214" s="141"/>
      <c r="I214" s="141">
        <f>DAY(I213)</f>
        <v>31</v>
      </c>
      <c r="J214" s="141"/>
      <c r="K214" s="803" t="s">
        <v>396</v>
      </c>
      <c r="L214" s="216"/>
      <c r="M214" s="216"/>
      <c r="N214" s="141">
        <f>DAY(N213)</f>
        <v>0</v>
      </c>
      <c r="O214" s="141">
        <f>DAY(O213)</f>
        <v>0</v>
      </c>
      <c r="P214" s="141">
        <f t="shared" ref="P214:S214" si="41">DAY(P213)</f>
        <v>0</v>
      </c>
      <c r="Q214" s="141">
        <f t="shared" si="41"/>
        <v>0</v>
      </c>
      <c r="R214" s="141">
        <f t="shared" si="41"/>
        <v>0</v>
      </c>
      <c r="S214" s="141">
        <f t="shared" si="41"/>
        <v>0</v>
      </c>
      <c r="T214" s="216"/>
      <c r="U214" s="216"/>
      <c r="V214" s="216"/>
      <c r="W214" s="216"/>
      <c r="X214" s="994"/>
      <c r="Y214" s="992"/>
      <c r="Z214" s="1112">
        <f>IF(AND(NOT(G207=0),NOT(I207=0)),SUM(Z208:Z213),0)</f>
        <v>0</v>
      </c>
      <c r="AA214" s="992" t="s">
        <v>601</v>
      </c>
      <c r="AC214" s="994"/>
      <c r="AD214" s="1112">
        <f>IF(AND(G207&gt;0,I207&gt;0),SUM(AD211:AD213),0)</f>
        <v>0</v>
      </c>
      <c r="AE214" s="994" t="s">
        <v>620</v>
      </c>
    </row>
    <row r="215" spans="1:31" hidden="1" outlineLevel="1" x14ac:dyDescent="0.2">
      <c r="A215" s="141"/>
      <c r="B215" s="141"/>
      <c r="C215" s="803"/>
      <c r="D215" s="141"/>
      <c r="E215" s="141"/>
      <c r="F215" s="141"/>
      <c r="G215" s="520">
        <f>G213-G207+1</f>
        <v>32</v>
      </c>
      <c r="H215" s="141"/>
      <c r="I215" s="520">
        <f>I213-I207</f>
        <v>31</v>
      </c>
      <c r="J215" s="141"/>
      <c r="K215" s="803" t="s">
        <v>628</v>
      </c>
      <c r="L215" s="216"/>
      <c r="M215" s="216"/>
      <c r="N215" s="520" t="b">
        <f>IF(NOT(N205="n/a"),N213-N205+1)</f>
        <v>0</v>
      </c>
      <c r="O215" s="520" t="b">
        <f>IF(NOT(O205="n/a"),O213-O205)</f>
        <v>0</v>
      </c>
      <c r="P215" s="520" t="b">
        <f>IF(NOT(P205="n/a"),P213-P205+1)</f>
        <v>0</v>
      </c>
      <c r="Q215" s="520" t="b">
        <f>IF(NOT(Q205="n/a"),Q213-Q205)</f>
        <v>0</v>
      </c>
      <c r="R215" s="520" t="b">
        <f>IF(NOT(R205="n/a"),R213-R205+1)</f>
        <v>0</v>
      </c>
      <c r="S215" s="520" t="b">
        <f>IF(NOT(S205="n/a"),S213-S205)</f>
        <v>0</v>
      </c>
      <c r="T215" s="216"/>
      <c r="U215" s="216"/>
      <c r="V215" s="216"/>
      <c r="W215" s="216"/>
      <c r="X215" s="994"/>
      <c r="Y215" s="992"/>
      <c r="AC215" s="994"/>
      <c r="AD215" s="994"/>
      <c r="AE215" s="994"/>
    </row>
    <row r="216" spans="1:31" hidden="1" outlineLevel="1" x14ac:dyDescent="0.2">
      <c r="A216" s="141"/>
      <c r="B216" s="141"/>
      <c r="C216" s="803"/>
      <c r="D216" s="141"/>
      <c r="E216" s="141"/>
      <c r="F216" s="141"/>
      <c r="G216" s="141">
        <f>G214-G215</f>
        <v>-1</v>
      </c>
      <c r="H216" s="141"/>
      <c r="I216" s="141">
        <f>I214-I215</f>
        <v>0</v>
      </c>
      <c r="J216" s="141"/>
      <c r="K216" s="803" t="s">
        <v>397</v>
      </c>
      <c r="L216" s="216"/>
      <c r="M216" s="216"/>
      <c r="N216" s="141">
        <f t="shared" ref="N216:S216" si="42">N214-N215</f>
        <v>0</v>
      </c>
      <c r="O216" s="141">
        <f t="shared" si="42"/>
        <v>0</v>
      </c>
      <c r="P216" s="141">
        <f t="shared" si="42"/>
        <v>0</v>
      </c>
      <c r="Q216" s="141">
        <f t="shared" si="42"/>
        <v>0</v>
      </c>
      <c r="R216" s="141">
        <f t="shared" si="42"/>
        <v>0</v>
      </c>
      <c r="S216" s="141">
        <f t="shared" si="42"/>
        <v>0</v>
      </c>
      <c r="T216" s="216"/>
      <c r="U216" s="216"/>
      <c r="V216" s="216"/>
      <c r="W216" s="216"/>
      <c r="X216" s="994"/>
      <c r="Y216" s="992"/>
      <c r="AC216" s="994"/>
      <c r="AD216" s="994"/>
      <c r="AE216" s="994"/>
    </row>
    <row r="217" spans="1:31" hidden="1" outlineLevel="1" x14ac:dyDescent="0.2">
      <c r="A217" s="141"/>
      <c r="B217" s="141"/>
      <c r="C217" s="803"/>
      <c r="D217" s="141"/>
      <c r="E217" s="141"/>
      <c r="F217" s="141"/>
      <c r="G217" s="718">
        <f>IF(G211="Yes",ROUND(G215/G214,6),0)</f>
        <v>1.0322579999999999</v>
      </c>
      <c r="H217" s="719"/>
      <c r="I217" s="718">
        <f>IF(I211="Yes",ROUND(I216/I214,6),0)</f>
        <v>0</v>
      </c>
      <c r="J217" s="589"/>
      <c r="K217" s="803" t="s">
        <v>398</v>
      </c>
      <c r="L217" s="216"/>
      <c r="M217" s="216"/>
      <c r="N217" s="716">
        <f>IF(ISERROR(IF(N211="Yes",ROUND(N215/N214,6),0)),0,IF(N211="Yes",ROUND(N215/N214,6),0))</f>
        <v>0</v>
      </c>
      <c r="O217" s="716">
        <f>IF(ISERROR(IF(O211="Yes",ROUND(O216/O214,6),0)),0,IF(O211="Yes",ROUND(O216/O214,6),0))</f>
        <v>0</v>
      </c>
      <c r="P217" s="716">
        <f>IF(ISERROR(IF(P211="Yes",ROUND(P215/P214,6),0)),0,IF(P211="Yes",ROUND(P215/P214,6),0))</f>
        <v>0</v>
      </c>
      <c r="Q217" s="716">
        <f>IF(ISERROR(IF(Q211="Yes",ROUND(Q216/Q214,6),0)),0,IF(Q211="Yes",ROUND(Q216/Q214,6),0))</f>
        <v>0</v>
      </c>
      <c r="R217" s="716">
        <f>IF(ISERROR(IF(R211="Yes",ROUND(R215/R214,6),0)),0,IF(R211="Yes",ROUND(R215/R214,6),0))</f>
        <v>0</v>
      </c>
      <c r="S217" s="716">
        <f>IF(ISERROR(IF(S211="Yes",ROUND(S216/S214,6),0)),0,IF(S211="Yes",ROUND(S216/S214,6),0))</f>
        <v>0</v>
      </c>
      <c r="T217" s="216"/>
      <c r="U217" s="216"/>
      <c r="V217" s="216"/>
      <c r="W217" s="216"/>
      <c r="X217" s="994"/>
      <c r="Y217" s="992"/>
      <c r="AA217" s="994" t="s">
        <v>556</v>
      </c>
      <c r="AB217" s="994" t="s">
        <v>575</v>
      </c>
      <c r="AC217" s="994"/>
      <c r="AD217" s="994"/>
      <c r="AE217" s="994"/>
    </row>
    <row r="218" spans="1:31" ht="13.5" hidden="1" outlineLevel="1" thickBot="1" x14ac:dyDescent="0.25">
      <c r="A218" s="141"/>
      <c r="B218" s="141"/>
      <c r="C218" s="803"/>
      <c r="D218" s="141"/>
      <c r="E218" s="141"/>
      <c r="F218" s="141"/>
      <c r="G218" s="592">
        <f>IF(G220="Yes",0,ROUND(K207*G217,2))</f>
        <v>0</v>
      </c>
      <c r="H218" s="141"/>
      <c r="I218" s="592">
        <f>IF(G220="Yes",0,ROUND(K207*I217,2))</f>
        <v>0</v>
      </c>
      <c r="J218" s="141"/>
      <c r="K218" s="803" t="s">
        <v>409</v>
      </c>
      <c r="L218" s="216"/>
      <c r="M218" s="216"/>
      <c r="N218" s="546">
        <f>IF(N220="yes",0,ROUND(N217*E204,0))</f>
        <v>0</v>
      </c>
      <c r="O218" s="546">
        <f>IF(N220="yes",0,ROUND(O217*E204,0))</f>
        <v>0</v>
      </c>
      <c r="P218" s="546">
        <f>IF(P220="yes",0,ROUND(P217*E204,0))</f>
        <v>0</v>
      </c>
      <c r="Q218" s="546">
        <f>IF(P220="yes",0,ROUND(Q217*E204,0))</f>
        <v>0</v>
      </c>
      <c r="R218" s="546">
        <f>IF(R220="yes",0,ROUND(R217*E204,0))</f>
        <v>0</v>
      </c>
      <c r="S218" s="546">
        <f>IF(R220="yes",0,ROUND(S217*E204,0))</f>
        <v>0</v>
      </c>
      <c r="T218" s="216"/>
      <c r="U218" s="216"/>
      <c r="V218" s="216"/>
      <c r="W218" s="216"/>
      <c r="X218" s="994"/>
      <c r="Y218" s="992"/>
      <c r="AA218" s="994" t="s">
        <v>565</v>
      </c>
      <c r="AB218" s="994" t="s">
        <v>576</v>
      </c>
      <c r="AC218" s="994"/>
      <c r="AD218" s="994"/>
      <c r="AE218" s="994"/>
    </row>
    <row r="219" spans="1:31" ht="13.5" hidden="1" outlineLevel="1" thickTop="1" x14ac:dyDescent="0.2">
      <c r="A219" s="141"/>
      <c r="B219" s="141"/>
      <c r="C219" s="803"/>
      <c r="D219" s="141"/>
      <c r="E219" s="141"/>
      <c r="F219" s="141"/>
      <c r="G219" s="141"/>
      <c r="H219" s="141"/>
      <c r="I219" s="141"/>
      <c r="J219" s="141"/>
      <c r="K219" s="803"/>
      <c r="L219" s="216"/>
      <c r="M219" s="216"/>
      <c r="N219" s="216"/>
      <c r="O219" s="216"/>
      <c r="P219" s="216"/>
      <c r="Q219" s="141"/>
      <c r="R219" s="216"/>
      <c r="S219" s="141"/>
      <c r="T219" s="216"/>
      <c r="U219" s="216"/>
      <c r="V219" s="216"/>
      <c r="W219" s="216"/>
      <c r="X219" s="994"/>
      <c r="Y219" s="992"/>
      <c r="AA219" s="994" t="s">
        <v>571</v>
      </c>
      <c r="AB219" s="994" t="s">
        <v>577</v>
      </c>
      <c r="AC219" s="994"/>
      <c r="AD219" s="994"/>
      <c r="AE219" s="994"/>
    </row>
    <row r="220" spans="1:31" hidden="1" outlineLevel="1" x14ac:dyDescent="0.2">
      <c r="A220" s="141"/>
      <c r="B220" s="141"/>
      <c r="C220" s="803"/>
      <c r="D220" s="141"/>
      <c r="E220" s="141"/>
      <c r="F220" s="141"/>
      <c r="G220" s="542" t="str">
        <f>IF(AND(YEAR(G207)=YEAR(I207),MONTH(G207)=MONTH(I207),G211="YES",I211="YES"),"YES","NO")</f>
        <v>YES</v>
      </c>
      <c r="H220" s="141"/>
      <c r="I220" s="141"/>
      <c r="J220" s="141"/>
      <c r="K220" s="803" t="s">
        <v>410</v>
      </c>
      <c r="L220" s="216"/>
      <c r="M220" s="216"/>
      <c r="N220" s="544" t="str">
        <f>IF(N205="n/a","NO",IF(AND(YEAR(N205)=YEAR(O205),MONTH(N205)=MONTH(O205),N211="YES",O211="YES"),"YES","NO"))</f>
        <v>NO</v>
      </c>
      <c r="O220" s="510"/>
      <c r="P220" s="544" t="str">
        <f>IF(P205="n/a","NO",IF(AND(YEAR(P205)=YEAR(Q205),MONTH(P205)=MONTH(Q205),P211="YES",Q211="YES"),"YES","NO"))</f>
        <v>NO</v>
      </c>
      <c r="Q220" s="141"/>
      <c r="R220" s="544" t="str">
        <f>IF(R205="n/a","NO",IF(AND(YEAR(R205)=YEAR(S205),MONTH(R205)=MONTH(S205),R211="YES",S211="YES"),"YES","NO"))</f>
        <v>NO</v>
      </c>
      <c r="S220" s="141"/>
      <c r="T220" s="216"/>
      <c r="U220" s="216"/>
      <c r="V220" s="216"/>
      <c r="W220" s="216"/>
      <c r="X220" s="994"/>
      <c r="Y220" s="992"/>
    </row>
    <row r="221" spans="1:31" hidden="1" outlineLevel="1" x14ac:dyDescent="0.2">
      <c r="A221" s="141"/>
      <c r="B221" s="141"/>
      <c r="C221" s="803"/>
      <c r="D221" s="141"/>
      <c r="E221" s="141"/>
      <c r="F221" s="141"/>
      <c r="G221" s="141">
        <f>IF(G220="yes",I207-G207+1,0)</f>
        <v>1</v>
      </c>
      <c r="H221" s="141"/>
      <c r="I221" s="141"/>
      <c r="J221" s="141"/>
      <c r="K221" s="803" t="s">
        <v>411</v>
      </c>
      <c r="L221" s="216"/>
      <c r="M221" s="216"/>
      <c r="N221" s="141">
        <f>IF(N220="yes",O205-N205+1,0)</f>
        <v>0</v>
      </c>
      <c r="O221" s="510"/>
      <c r="P221" s="141">
        <f>IF(P220="yes",Q205-P205+1,0)</f>
        <v>0</v>
      </c>
      <c r="Q221" s="141"/>
      <c r="R221" s="141">
        <f>IF(R220="yes",S205-R205+1,0)</f>
        <v>0</v>
      </c>
      <c r="S221" s="141"/>
      <c r="T221" s="216"/>
      <c r="U221" s="216"/>
      <c r="V221" s="216"/>
      <c r="W221" s="216"/>
      <c r="X221" s="994"/>
      <c r="Y221" s="992"/>
    </row>
    <row r="222" spans="1:31" hidden="1" outlineLevel="1" x14ac:dyDescent="0.2">
      <c r="A222" s="141"/>
      <c r="B222" s="141"/>
      <c r="C222" s="803"/>
      <c r="D222" s="141"/>
      <c r="E222" s="141"/>
      <c r="F222" s="141"/>
      <c r="G222" s="717">
        <f>ROUND(G221/G214,6)</f>
        <v>3.2258000000000002E-2</v>
      </c>
      <c r="H222" s="141"/>
      <c r="I222" s="141"/>
      <c r="J222" s="141"/>
      <c r="K222" s="803" t="s">
        <v>398</v>
      </c>
      <c r="L222" s="216"/>
      <c r="M222" s="216"/>
      <c r="N222" s="717">
        <f>IF(ISERROR(ROUND(N221/N214,6)),0,ROUND(N221/N214,6))</f>
        <v>0</v>
      </c>
      <c r="O222" s="543"/>
      <c r="P222" s="717">
        <f>IF(ISERROR(ROUND(P221/P214,6)),0,ROUND(P221/P214,6))</f>
        <v>0</v>
      </c>
      <c r="Q222" s="520"/>
      <c r="R222" s="717">
        <f>IF(ISERROR(ROUND(R221/R214,6)),0,ROUND(R221/R214,6))</f>
        <v>0</v>
      </c>
      <c r="S222" s="141"/>
      <c r="T222" s="216"/>
      <c r="U222" s="216"/>
      <c r="V222" s="216"/>
      <c r="W222" s="216"/>
      <c r="X222" s="994"/>
      <c r="Y222" s="992"/>
    </row>
    <row r="223" spans="1:31" hidden="1" outlineLevel="1" x14ac:dyDescent="0.2">
      <c r="A223" s="141"/>
      <c r="B223" s="141"/>
      <c r="C223" s="803"/>
      <c r="D223" s="141"/>
      <c r="E223" s="141"/>
      <c r="F223" s="141"/>
      <c r="G223" s="540">
        <f>ROUND(IF(NOT(G207=0),G222*K207,0),2)</f>
        <v>0</v>
      </c>
      <c r="H223" s="141"/>
      <c r="I223" s="141"/>
      <c r="J223" s="141"/>
      <c r="K223" s="803" t="s">
        <v>413</v>
      </c>
      <c r="L223" s="216"/>
      <c r="M223" s="216"/>
      <c r="N223" s="510">
        <f>IF(NOT(N205=0),ROUND(N222*E204,0),0)</f>
        <v>0</v>
      </c>
      <c r="O223" s="510"/>
      <c r="P223" s="510">
        <f>IF(NOT(P205=0),ROUND(P222*E204,0),0)</f>
        <v>0</v>
      </c>
      <c r="Q223" s="141"/>
      <c r="R223" s="510">
        <f>IF(NOT(R205=0),ROUND(R222*E204,0),0)</f>
        <v>0</v>
      </c>
      <c r="S223" s="141"/>
      <c r="T223" s="216"/>
      <c r="U223" s="216"/>
      <c r="V223" s="216"/>
      <c r="W223" s="216"/>
      <c r="X223" s="994"/>
      <c r="Y223" s="992"/>
    </row>
    <row r="224" spans="1:31" hidden="1" outlineLevel="1" x14ac:dyDescent="0.2">
      <c r="A224" s="141"/>
      <c r="B224" s="141"/>
      <c r="C224" s="141"/>
      <c r="D224" s="141"/>
      <c r="E224" s="141"/>
      <c r="F224" s="141"/>
      <c r="G224" s="141"/>
      <c r="H224" s="141"/>
      <c r="I224" s="141"/>
      <c r="J224" s="141"/>
      <c r="K224" s="141"/>
      <c r="L224" s="216"/>
      <c r="M224" s="216"/>
      <c r="N224" s="216"/>
      <c r="O224" s="216"/>
      <c r="P224" s="216"/>
      <c r="Q224" s="141"/>
      <c r="R224" s="216"/>
      <c r="S224" s="141"/>
      <c r="T224" s="216"/>
      <c r="U224" s="216"/>
      <c r="V224" s="216"/>
      <c r="W224" s="216"/>
      <c r="X224" s="994"/>
      <c r="Y224" s="992"/>
    </row>
    <row r="225" spans="1:31" hidden="1" outlineLevel="1" x14ac:dyDescent="0.2">
      <c r="A225" s="141"/>
      <c r="B225" s="141"/>
      <c r="C225" s="141"/>
      <c r="D225" s="141"/>
      <c r="E225" s="141"/>
      <c r="F225" s="141"/>
      <c r="G225" s="716">
        <f>IF(G220="No",G217,G222)</f>
        <v>3.2258000000000002E-2</v>
      </c>
      <c r="H225" s="721"/>
      <c r="I225" s="716">
        <f>IF(G220="No",I217,0)</f>
        <v>0</v>
      </c>
      <c r="J225" s="141"/>
      <c r="K225" s="141" t="s">
        <v>492</v>
      </c>
      <c r="L225" s="216"/>
      <c r="M225" s="216"/>
      <c r="N225" s="716">
        <f>IF(N220="No",N217,N222)</f>
        <v>0</v>
      </c>
      <c r="O225" s="718">
        <f>IF(N220="No",O217,0)</f>
        <v>0</v>
      </c>
      <c r="P225" s="716">
        <f>IF(P220="No",P217,P222)</f>
        <v>0</v>
      </c>
      <c r="Q225" s="718">
        <f>IF(P220="No",Q217,0)</f>
        <v>0</v>
      </c>
      <c r="R225" s="716">
        <f>IF(R220="No",R217,R222)</f>
        <v>0</v>
      </c>
      <c r="S225" s="718">
        <f>IF(R220="No",S217,0)</f>
        <v>0</v>
      </c>
      <c r="T225" s="216"/>
      <c r="U225" s="216"/>
      <c r="V225" s="216"/>
      <c r="W225" s="216"/>
      <c r="X225" s="994"/>
      <c r="Y225" s="992"/>
    </row>
    <row r="226" spans="1:31" ht="13.5" hidden="1" outlineLevel="1" thickBot="1" x14ac:dyDescent="0.25">
      <c r="A226" s="141"/>
      <c r="B226" s="141"/>
      <c r="C226" s="141"/>
      <c r="D226" s="141"/>
      <c r="E226" s="141"/>
      <c r="F226" s="141"/>
      <c r="G226" s="603"/>
      <c r="H226" s="520"/>
      <c r="I226" s="603"/>
      <c r="J226" s="520"/>
      <c r="K226" s="141"/>
      <c r="L226" s="216"/>
      <c r="M226" s="516" t="s">
        <v>412</v>
      </c>
      <c r="N226" s="602">
        <f>N218+N223</f>
        <v>0</v>
      </c>
      <c r="O226" s="602">
        <f t="shared" ref="O226" si="43">O218+O223</f>
        <v>0</v>
      </c>
      <c r="P226" s="602">
        <f>P218+P223</f>
        <v>0</v>
      </c>
      <c r="Q226" s="602">
        <f t="shared" ref="Q226" si="44">Q218+Q223</f>
        <v>0</v>
      </c>
      <c r="R226" s="602">
        <f>R218+R223</f>
        <v>0</v>
      </c>
      <c r="S226" s="602">
        <f>S218+S223</f>
        <v>0</v>
      </c>
      <c r="T226" s="216"/>
      <c r="U226" s="216"/>
      <c r="V226" s="216"/>
      <c r="W226" s="216"/>
      <c r="X226" s="994"/>
      <c r="Y226" s="992"/>
    </row>
    <row r="227" spans="1:31" ht="13.5" collapsed="1" thickBot="1" x14ac:dyDescent="0.25">
      <c r="A227" s="141"/>
      <c r="B227" s="141"/>
      <c r="C227" s="141"/>
      <c r="D227" s="141"/>
      <c r="E227" s="141"/>
      <c r="F227" s="141"/>
      <c r="G227" s="1663">
        <f>G218+G223</f>
        <v>0</v>
      </c>
      <c r="H227" s="1663"/>
      <c r="I227" s="1663">
        <f>I218+I223</f>
        <v>0</v>
      </c>
      <c r="J227" s="1663"/>
      <c r="K227" s="832" t="s">
        <v>399</v>
      </c>
      <c r="L227" s="216"/>
      <c r="M227" s="216"/>
      <c r="N227" s="141"/>
      <c r="O227" s="216"/>
      <c r="P227" s="216"/>
      <c r="Q227" s="141"/>
      <c r="R227" s="219"/>
      <c r="S227" s="219"/>
      <c r="T227" s="216"/>
      <c r="U227" s="216"/>
      <c r="V227" s="216"/>
      <c r="W227" s="216"/>
      <c r="X227" s="994"/>
      <c r="Y227" s="992"/>
    </row>
    <row r="228" spans="1:31" ht="15.75" thickTop="1" x14ac:dyDescent="0.25">
      <c r="A228" s="141"/>
      <c r="B228" s="141"/>
      <c r="C228" s="141"/>
      <c r="D228" s="141"/>
      <c r="E228" s="141"/>
      <c r="F228" s="141"/>
      <c r="G228" s="842" t="str">
        <f>IF($AD214&gt;0,"ERROR ALERT:  The date range in your service start/end dates is NOT consistent with the OTO start/end dates ('OTO Terms' above), please check your dates and re-enter.","")</f>
        <v/>
      </c>
      <c r="H228" s="801"/>
      <c r="I228" s="801"/>
      <c r="J228" s="801"/>
      <c r="K228" s="803"/>
      <c r="L228" s="216"/>
      <c r="M228" s="216"/>
      <c r="N228" s="141"/>
      <c r="O228" s="216"/>
      <c r="P228" s="216"/>
      <c r="Q228" s="141"/>
      <c r="R228" s="219"/>
      <c r="S228" s="219"/>
      <c r="T228" s="216"/>
      <c r="U228" s="216"/>
      <c r="V228" s="216"/>
      <c r="W228" s="216"/>
      <c r="X228" s="994"/>
      <c r="Y228" s="992"/>
    </row>
    <row r="229" spans="1:31" ht="15" x14ac:dyDescent="0.25">
      <c r="B229" s="210" t="s">
        <v>593</v>
      </c>
      <c r="R229" s="254"/>
      <c r="S229" s="254"/>
    </row>
    <row r="230" spans="1:31" x14ac:dyDescent="0.2">
      <c r="R230" s="1660" t="s">
        <v>547</v>
      </c>
      <c r="S230" s="1660"/>
    </row>
    <row r="231" spans="1:31" hidden="1" outlineLevel="1" x14ac:dyDescent="0.2">
      <c r="A231" s="141"/>
      <c r="B231" s="141" t="s">
        <v>493</v>
      </c>
      <c r="C231" s="141"/>
      <c r="D231" s="597">
        <f>IF(NOT(G240=0),IF(G253="NO",(YEAR(I240)-YEAR(G240))*12+MONTH(I240)-MONTH(G240)+IF(G244="no",1,0)+IF(I244="yes",-1,0),0),0)</f>
        <v>0</v>
      </c>
      <c r="E231" s="141"/>
      <c r="F231" s="141"/>
      <c r="G231" s="141"/>
      <c r="H231" s="141"/>
      <c r="I231" s="141"/>
      <c r="J231" s="141"/>
      <c r="K231" s="141"/>
      <c r="L231" s="141"/>
      <c r="M231" s="516" t="s">
        <v>493</v>
      </c>
      <c r="N231" s="597">
        <f>IF(NOT(N238="n/a"),(YEAR(O238)-YEAR(N238))*12+MONTH(O238)-MONTH(N238)+IF(N244="no",1,0)+IF(O244="yes",-1,0),0)</f>
        <v>0</v>
      </c>
      <c r="O231" s="254"/>
      <c r="P231" s="597">
        <f>IF(NOT(P238="n/a"),(YEAR(Q238)-YEAR(P238))*12+MONTH(Q238)-MONTH(P238)+IF(P244="no",1,0)+IF(Q244="yes",-1,0),0)</f>
        <v>0</v>
      </c>
      <c r="Q231" s="141"/>
      <c r="R231" s="597">
        <f>IF(NOT(R238="n/a"),(YEAR(S238)-YEAR(R238))*12+MONTH(S238)-MONTH(R238)+IF(R244="no",1,0)+IF(S244="yes",-1,0),0)</f>
        <v>0</v>
      </c>
      <c r="S231" s="202"/>
      <c r="T231" s="216"/>
      <c r="U231" s="141"/>
      <c r="V231" s="216"/>
      <c r="W231" s="216"/>
      <c r="X231" s="994"/>
      <c r="Y231" s="992"/>
    </row>
    <row r="232" spans="1:31" hidden="1" outlineLevel="1" x14ac:dyDescent="0.2">
      <c r="A232" s="141"/>
      <c r="B232" s="141" t="s">
        <v>494</v>
      </c>
      <c r="C232" s="141"/>
      <c r="D232" s="598">
        <f>IF(NOT(G240=0),G258,0)</f>
        <v>0</v>
      </c>
      <c r="E232" s="141"/>
      <c r="F232" s="141"/>
      <c r="G232" s="141"/>
      <c r="H232" s="141"/>
      <c r="I232" s="141"/>
      <c r="J232" s="141"/>
      <c r="K232" s="141"/>
      <c r="L232" s="141"/>
      <c r="M232" s="516" t="s">
        <v>494</v>
      </c>
      <c r="N232" s="598">
        <f>N258</f>
        <v>0</v>
      </c>
      <c r="O232" s="216"/>
      <c r="P232" s="598">
        <f>P258</f>
        <v>0</v>
      </c>
      <c r="Q232" s="141"/>
      <c r="R232" s="598">
        <f>R258</f>
        <v>0</v>
      </c>
      <c r="S232" s="202"/>
      <c r="T232" s="216"/>
      <c r="U232" s="141"/>
      <c r="V232" s="216"/>
      <c r="W232" s="216"/>
      <c r="X232" s="994"/>
      <c r="Y232" s="992"/>
    </row>
    <row r="233" spans="1:31" hidden="1" outlineLevel="1" x14ac:dyDescent="0.2">
      <c r="A233" s="141"/>
      <c r="B233" s="141" t="s">
        <v>495</v>
      </c>
      <c r="C233" s="141"/>
      <c r="D233" s="599">
        <f>IF(NOT(G240=0),I258,0)</f>
        <v>0</v>
      </c>
      <c r="E233" s="141"/>
      <c r="F233" s="141"/>
      <c r="G233" s="141"/>
      <c r="H233" s="141"/>
      <c r="I233" s="141"/>
      <c r="J233" s="141"/>
      <c r="K233" s="141"/>
      <c r="L233" s="141"/>
      <c r="M233" s="516" t="s">
        <v>495</v>
      </c>
      <c r="N233" s="599">
        <f>O258</f>
        <v>0</v>
      </c>
      <c r="O233" s="216"/>
      <c r="P233" s="599">
        <f>Q258</f>
        <v>0</v>
      </c>
      <c r="Q233" s="141"/>
      <c r="R233" s="599">
        <f>S258</f>
        <v>0</v>
      </c>
      <c r="S233" s="202"/>
      <c r="T233" s="216"/>
      <c r="U233" s="141"/>
      <c r="V233" s="216"/>
      <c r="W233" s="216"/>
      <c r="X233" s="994"/>
      <c r="Y233" s="992"/>
    </row>
    <row r="234" spans="1:31" hidden="1" outlineLevel="1" x14ac:dyDescent="0.2">
      <c r="A234" s="141"/>
      <c r="B234" s="219" t="s">
        <v>496</v>
      </c>
      <c r="C234" s="141"/>
      <c r="D234" s="597">
        <f>SUM(D231:D233)</f>
        <v>0</v>
      </c>
      <c r="E234" s="141"/>
      <c r="F234" s="141"/>
      <c r="G234" s="141"/>
      <c r="H234" s="141"/>
      <c r="I234" s="141"/>
      <c r="J234" s="141"/>
      <c r="K234" s="141"/>
      <c r="L234" s="141"/>
      <c r="M234" s="499" t="s">
        <v>496</v>
      </c>
      <c r="N234" s="597">
        <f>SUM(N231:N233)</f>
        <v>0</v>
      </c>
      <c r="O234" s="216"/>
      <c r="P234" s="597">
        <f>SUM(P231:P233)</f>
        <v>0</v>
      </c>
      <c r="Q234" s="141"/>
      <c r="R234" s="597">
        <f>SUM(R231:R233)</f>
        <v>0</v>
      </c>
      <c r="S234" s="202"/>
      <c r="T234" s="216"/>
      <c r="U234" s="141"/>
      <c r="V234" s="216"/>
      <c r="W234" s="216"/>
      <c r="X234" s="994"/>
      <c r="Y234" s="992"/>
    </row>
    <row r="235" spans="1:31" hidden="1" outlineLevel="1" x14ac:dyDescent="0.2">
      <c r="A235" s="216"/>
      <c r="B235" s="219"/>
      <c r="C235" s="216"/>
      <c r="D235" s="601"/>
      <c r="E235" s="216"/>
      <c r="F235" s="216"/>
      <c r="G235" s="216"/>
      <c r="H235" s="216"/>
      <c r="I235" s="216"/>
      <c r="J235" s="216"/>
      <c r="K235" s="216"/>
      <c r="L235" s="216"/>
      <c r="M235" s="499"/>
      <c r="N235" s="216"/>
      <c r="O235" s="216"/>
      <c r="P235" s="601"/>
      <c r="Q235" s="216"/>
      <c r="R235" s="216"/>
      <c r="S235" s="254"/>
      <c r="T235" s="216"/>
      <c r="U235" s="216"/>
      <c r="V235" s="216"/>
      <c r="W235" s="216"/>
      <c r="X235" s="994"/>
      <c r="Y235" s="992"/>
    </row>
    <row r="236" spans="1:31" hidden="1" outlineLevel="1" x14ac:dyDescent="0.2">
      <c r="A236" s="141"/>
      <c r="B236" s="141"/>
      <c r="C236" s="141"/>
      <c r="D236" s="141"/>
      <c r="E236" s="141"/>
      <c r="F236" s="141"/>
      <c r="G236" s="141"/>
      <c r="H236" s="141"/>
      <c r="I236" s="141"/>
      <c r="J236" s="141"/>
      <c r="K236" s="141"/>
      <c r="L236" s="141"/>
      <c r="M236" s="141"/>
      <c r="N236" s="141"/>
      <c r="O236" s="141"/>
      <c r="P236" s="141"/>
      <c r="Q236" s="141"/>
      <c r="R236" s="216"/>
      <c r="S236" s="254"/>
      <c r="T236" s="216"/>
      <c r="U236" s="141"/>
      <c r="V236" s="216"/>
      <c r="W236" s="216"/>
      <c r="X236" s="994"/>
      <c r="Y236" s="992"/>
    </row>
    <row r="237" spans="1:31" collapsed="1" x14ac:dyDescent="0.2">
      <c r="A237" s="141"/>
      <c r="B237" s="219" t="s">
        <v>497</v>
      </c>
      <c r="C237" s="141"/>
      <c r="D237" s="216"/>
      <c r="E237" s="669"/>
      <c r="F237" s="141"/>
      <c r="G237" s="1664"/>
      <c r="H237" s="1664"/>
      <c r="I237" s="141"/>
      <c r="J237" s="141"/>
      <c r="K237" s="141"/>
      <c r="L237" s="216"/>
      <c r="M237" s="216"/>
      <c r="N237" s="590" t="s">
        <v>545</v>
      </c>
      <c r="O237" s="591" t="s">
        <v>579</v>
      </c>
      <c r="P237" s="590" t="s">
        <v>545</v>
      </c>
      <c r="Q237" s="591" t="s">
        <v>579</v>
      </c>
      <c r="R237" s="590" t="s">
        <v>545</v>
      </c>
      <c r="S237" s="591" t="s">
        <v>579</v>
      </c>
      <c r="T237" s="216"/>
      <c r="U237" s="141"/>
      <c r="V237" s="216"/>
      <c r="W237" s="216"/>
      <c r="X237" s="994"/>
      <c r="Y237" s="992"/>
      <c r="Z237" s="994" t="s">
        <v>581</v>
      </c>
      <c r="AA237" s="1074">
        <f>IF(G240&gt;0,IF(MONTH(G240)&gt;3,DATE(YEAR(G240)+1,3,31),DATE(YEAR(G240),3,31)),0)</f>
        <v>0</v>
      </c>
    </row>
    <row r="238" spans="1:31" x14ac:dyDescent="0.2">
      <c r="A238" s="141"/>
      <c r="B238" s="141"/>
      <c r="C238" s="141"/>
      <c r="D238" s="141"/>
      <c r="E238" s="141"/>
      <c r="F238" s="141"/>
      <c r="G238" s="494" t="str">
        <f>IF(AD241&gt;0,"WARNING: Generally, you may not cross a CLBC March 31 fiscal year end, please re-check your dates.","")</f>
        <v/>
      </c>
      <c r="H238" s="141"/>
      <c r="I238" s="141"/>
      <c r="J238" s="141"/>
      <c r="K238" s="141"/>
      <c r="L238" s="216"/>
      <c r="M238" s="216"/>
      <c r="N238" s="503" t="str">
        <f>IF(OR(Z247=1,Z247=2,Z247=3),G240,"N/A")</f>
        <v>N/A</v>
      </c>
      <c r="O238" s="504" t="str">
        <f>IF(Z247=1,I240,IF(OR(Z247=2,Z247=3),$AA$79,"N/A"))</f>
        <v>N/A</v>
      </c>
      <c r="P238" s="503" t="str">
        <f>IF(OR(Z247=2,Z247=3),$AA$81,IF(OR(Z247=4,Z247=5),G240,"N/A"))</f>
        <v>N/A</v>
      </c>
      <c r="Q238" s="504" t="str">
        <f>IF(OR(Z247=2,Z247=4),I240,IF(OR(Z247=3,Z247=5),$AA$83,"N/A"))</f>
        <v>N/A</v>
      </c>
      <c r="R238" s="505" t="str">
        <f>IF(OR(Z247=3,Z247=5),$AA$85,IF(Z247=6,G240,"N/A"))</f>
        <v>N/A</v>
      </c>
      <c r="S238" s="504" t="str">
        <f>IF(OR(Z247=3,Z247=5,Z247=6),I240,"N/A")</f>
        <v>N/A</v>
      </c>
      <c r="T238" s="216"/>
      <c r="U238" s="141"/>
      <c r="V238" s="216"/>
      <c r="W238" s="216"/>
      <c r="X238" s="994"/>
      <c r="Y238" s="992"/>
      <c r="Z238" s="994" t="s">
        <v>582</v>
      </c>
      <c r="AA238" s="1074">
        <f>IF(AA237&gt;=$L$20,$L$20,AA237)</f>
        <v>0</v>
      </c>
    </row>
    <row r="239" spans="1:31" ht="38.25" customHeight="1" x14ac:dyDescent="0.2">
      <c r="A239" s="140"/>
      <c r="B239" s="792" t="s">
        <v>464</v>
      </c>
      <c r="C239" s="1543" t="s">
        <v>351</v>
      </c>
      <c r="D239" s="1543"/>
      <c r="E239" s="587" t="s">
        <v>481</v>
      </c>
      <c r="F239" s="587" t="s">
        <v>482</v>
      </c>
      <c r="G239" s="1522" t="s">
        <v>519</v>
      </c>
      <c r="H239" s="1523"/>
      <c r="I239" s="1522" t="s">
        <v>520</v>
      </c>
      <c r="J239" s="1523" t="s">
        <v>520</v>
      </c>
      <c r="K239" s="833" t="s">
        <v>387</v>
      </c>
      <c r="L239" s="831" t="s">
        <v>483</v>
      </c>
      <c r="M239" s="831" t="s">
        <v>388</v>
      </c>
      <c r="N239" s="1543" t="s">
        <v>389</v>
      </c>
      <c r="O239" s="1543"/>
      <c r="P239" s="1543" t="s">
        <v>390</v>
      </c>
      <c r="Q239" s="1543"/>
      <c r="R239" s="1543" t="s">
        <v>578</v>
      </c>
      <c r="S239" s="1543"/>
      <c r="T239" s="286"/>
      <c r="U239" s="140"/>
      <c r="V239" s="286"/>
      <c r="W239" s="286"/>
      <c r="X239" s="1002"/>
      <c r="Y239" s="1105"/>
    </row>
    <row r="240" spans="1:31" x14ac:dyDescent="0.2">
      <c r="A240" s="141"/>
      <c r="B240" s="666"/>
      <c r="C240" s="1544"/>
      <c r="D240" s="1544"/>
      <c r="E240" s="808" t="s">
        <v>484</v>
      </c>
      <c r="F240" s="670"/>
      <c r="G240" s="1665"/>
      <c r="H240" s="1667"/>
      <c r="I240" s="1665"/>
      <c r="J240" s="1666"/>
      <c r="K240" s="671"/>
      <c r="L240" s="671"/>
      <c r="M240" s="588">
        <f>ROUND(IF(F240="Y",L240,IF(G253="yes",G260,ROUND(K240,2)*D231+G260+I260)),2)</f>
        <v>0</v>
      </c>
      <c r="N240" s="1661">
        <f>IF(N253="yes",N259,ROUND(E237*N231,0)+N259+O259)</f>
        <v>0</v>
      </c>
      <c r="O240" s="1662"/>
      <c r="P240" s="1661">
        <f>IF(P253="yes",P259,ROUND(E237*P231,0)+P259+Q259)</f>
        <v>0</v>
      </c>
      <c r="Q240" s="1662"/>
      <c r="R240" s="1661">
        <f>IF(R253="yes",R259,ROUND(E237*R231,0)+R259+S259)</f>
        <v>0</v>
      </c>
      <c r="S240" s="1662"/>
      <c r="T240" s="216"/>
      <c r="U240" s="141"/>
      <c r="V240" s="216"/>
      <c r="W240" s="216"/>
      <c r="X240" s="994"/>
      <c r="Y240" s="992"/>
      <c r="AA240" s="992" t="s">
        <v>553</v>
      </c>
      <c r="AB240" s="992" t="s">
        <v>554</v>
      </c>
      <c r="AC240" s="994"/>
      <c r="AD240" s="1109" t="s">
        <v>617</v>
      </c>
      <c r="AE240" s="1109" t="s">
        <v>718</v>
      </c>
    </row>
    <row r="241" spans="1:31" hidden="1" outlineLevel="1" x14ac:dyDescent="0.2">
      <c r="A241" s="141"/>
      <c r="B241" s="141"/>
      <c r="C241" s="803"/>
      <c r="D241" s="141"/>
      <c r="E241" s="141"/>
      <c r="F241" s="141"/>
      <c r="G241" s="141">
        <f>G247</f>
        <v>31</v>
      </c>
      <c r="H241" s="141"/>
      <c r="I241" s="141">
        <f>I247</f>
        <v>31</v>
      </c>
      <c r="J241" s="141"/>
      <c r="K241" s="803" t="s">
        <v>391</v>
      </c>
      <c r="L241" s="216"/>
      <c r="M241" s="216"/>
      <c r="N241" s="141">
        <f t="shared" ref="N241:S241" si="45">N247</f>
        <v>0</v>
      </c>
      <c r="O241" s="141">
        <f t="shared" si="45"/>
        <v>0</v>
      </c>
      <c r="P241" s="141">
        <f t="shared" si="45"/>
        <v>0</v>
      </c>
      <c r="Q241" s="141">
        <f t="shared" si="45"/>
        <v>0</v>
      </c>
      <c r="R241" s="141">
        <f t="shared" si="45"/>
        <v>0</v>
      </c>
      <c r="S241" s="141">
        <f t="shared" si="45"/>
        <v>0</v>
      </c>
      <c r="T241" s="216"/>
      <c r="U241" s="141"/>
      <c r="V241" s="216"/>
      <c r="W241" s="216"/>
      <c r="X241" s="994"/>
      <c r="Y241" s="992"/>
      <c r="Z241" s="992">
        <f>IF(AND(G240&gt;=$AA$77,I240&lt;=$AA$79),1,0)</f>
        <v>0</v>
      </c>
      <c r="AA241" s="992" t="s">
        <v>556</v>
      </c>
      <c r="AB241" s="992" t="s">
        <v>557</v>
      </c>
      <c r="AC241" s="994"/>
      <c r="AD241" s="994">
        <f>IF(AND(G240&gt;0,I240&gt;0,I240&gt;$AA238),1,0)</f>
        <v>0</v>
      </c>
      <c r="AE241" s="994" t="s">
        <v>619</v>
      </c>
    </row>
    <row r="242" spans="1:31" hidden="1" outlineLevel="1" x14ac:dyDescent="0.2">
      <c r="A242" s="141"/>
      <c r="B242" s="141"/>
      <c r="C242" s="803"/>
      <c r="D242" s="141"/>
      <c r="E242" s="141"/>
      <c r="F242" s="141"/>
      <c r="G242" s="141">
        <v>1</v>
      </c>
      <c r="H242" s="141"/>
      <c r="I242" s="141">
        <v>1</v>
      </c>
      <c r="J242" s="141"/>
      <c r="K242" s="803" t="s">
        <v>392</v>
      </c>
      <c r="L242" s="216"/>
      <c r="M242" s="216"/>
      <c r="N242" s="141">
        <v>1</v>
      </c>
      <c r="O242" s="141">
        <v>1</v>
      </c>
      <c r="P242" s="141">
        <v>1</v>
      </c>
      <c r="Q242" s="141">
        <v>1</v>
      </c>
      <c r="R242" s="141">
        <v>1</v>
      </c>
      <c r="S242" s="141">
        <v>1</v>
      </c>
      <c r="T242" s="216"/>
      <c r="U242" s="141"/>
      <c r="V242" s="216"/>
      <c r="W242" s="216"/>
      <c r="X242" s="994"/>
      <c r="Y242" s="992"/>
      <c r="Z242" s="992">
        <f>IF(AND(G240&lt;=$AA$79,I240&gt;$AA$79,I240&lt;=$AA$83),2,0)</f>
        <v>0</v>
      </c>
      <c r="AA242" s="992" t="s">
        <v>559</v>
      </c>
      <c r="AB242" s="992" t="s">
        <v>560</v>
      </c>
      <c r="AC242" s="994"/>
    </row>
    <row r="243" spans="1:31" hidden="1" outlineLevel="1" x14ac:dyDescent="0.2">
      <c r="A243" s="141"/>
      <c r="B243" s="141"/>
      <c r="C243" s="803"/>
      <c r="D243" s="141"/>
      <c r="E243" s="141"/>
      <c r="F243" s="141"/>
      <c r="G243" s="141">
        <f>DAY(G240)</f>
        <v>0</v>
      </c>
      <c r="H243" s="141"/>
      <c r="I243" s="141">
        <f>DAY(I240)</f>
        <v>0</v>
      </c>
      <c r="J243" s="141"/>
      <c r="K243" s="803" t="s">
        <v>393</v>
      </c>
      <c r="L243" s="216"/>
      <c r="M243" s="216"/>
      <c r="N243" s="141" t="b">
        <f t="shared" ref="N243:O243" si="46">IF(NOT(N238="n/a"),DAY(N238))</f>
        <v>0</v>
      </c>
      <c r="O243" s="141" t="b">
        <f t="shared" si="46"/>
        <v>0</v>
      </c>
      <c r="P243" s="141" t="b">
        <f>IF(NOT(P238="n/a"),DAY(P238))</f>
        <v>0</v>
      </c>
      <c r="Q243" s="141" t="b">
        <f>IF(NOT(Q238="n/a"),DAY(Q238))</f>
        <v>0</v>
      </c>
      <c r="R243" s="141" t="b">
        <f>IF(NOT(R238="n/a"),DAY(R238))</f>
        <v>0</v>
      </c>
      <c r="S243" s="141" t="b">
        <f>IF(NOT(S238="n/a"),DAY(S238))</f>
        <v>0</v>
      </c>
      <c r="T243" s="216"/>
      <c r="U243" s="141"/>
      <c r="V243" s="216"/>
      <c r="W243" s="216"/>
      <c r="X243" s="994"/>
      <c r="Y243" s="992"/>
      <c r="Z243" s="994">
        <f>IF(AND(G240&lt;$AA$79,I240&gt;$AA$83,I240&lt;=$AA$86),3,0)</f>
        <v>0</v>
      </c>
      <c r="AA243" s="992" t="s">
        <v>562</v>
      </c>
      <c r="AB243" s="994" t="s">
        <v>563</v>
      </c>
      <c r="AC243" s="994"/>
      <c r="AD243" s="1109" t="s">
        <v>617</v>
      </c>
      <c r="AE243" s="1109" t="s">
        <v>719</v>
      </c>
    </row>
    <row r="244" spans="1:31" hidden="1" outlineLevel="1" x14ac:dyDescent="0.2">
      <c r="A244" s="141"/>
      <c r="B244" s="141"/>
      <c r="C244" s="803"/>
      <c r="D244" s="141"/>
      <c r="E244" s="141"/>
      <c r="F244" s="141"/>
      <c r="G244" s="516" t="str">
        <f>IF(G243=G242,"No","Yes")</f>
        <v>Yes</v>
      </c>
      <c r="H244" s="141"/>
      <c r="I244" s="516" t="str">
        <f>IF(I243=I241,"No","Yes")</f>
        <v>Yes</v>
      </c>
      <c r="J244" s="141"/>
      <c r="K244" s="803" t="s">
        <v>394</v>
      </c>
      <c r="L244" s="216"/>
      <c r="M244" s="216"/>
      <c r="N244" s="516" t="str">
        <f>IF(N243=N242,"No","Yes")</f>
        <v>Yes</v>
      </c>
      <c r="O244" s="516" t="str">
        <f>IF(O243=O241,"No","Yes")</f>
        <v>Yes</v>
      </c>
      <c r="P244" s="516" t="str">
        <f>IF(P243=P242,"No","Yes")</f>
        <v>Yes</v>
      </c>
      <c r="Q244" s="516" t="str">
        <f>IF(Q243=Q241,"No","Yes")</f>
        <v>Yes</v>
      </c>
      <c r="R244" s="516" t="str">
        <f>IF(R243=R242,"No","Yes")</f>
        <v>Yes</v>
      </c>
      <c r="S244" s="516" t="str">
        <f>IF(S243=S241,"No","Yes")</f>
        <v>Yes</v>
      </c>
      <c r="T244" s="216"/>
      <c r="U244" s="216"/>
      <c r="V244" s="216"/>
      <c r="W244" s="216"/>
      <c r="X244" s="994"/>
      <c r="Y244" s="992"/>
      <c r="Z244" s="992">
        <f>IF(AND(G240&gt;=$AA$81,I240&lt;=$AA$83),4,0)</f>
        <v>4</v>
      </c>
      <c r="AA244" s="992" t="s">
        <v>565</v>
      </c>
      <c r="AB244" s="994" t="s">
        <v>566</v>
      </c>
      <c r="AC244" s="994"/>
      <c r="AD244" s="994">
        <f>IF(OR(G240&lt;$L$18,G240&gt;$L$20),1,0)</f>
        <v>0</v>
      </c>
      <c r="AE244" s="994" t="s">
        <v>618</v>
      </c>
    </row>
    <row r="245" spans="1:31" hidden="1" outlineLevel="1" x14ac:dyDescent="0.2">
      <c r="A245" s="141"/>
      <c r="B245" s="141"/>
      <c r="C245" s="803"/>
      <c r="D245" s="141"/>
      <c r="E245" s="141"/>
      <c r="F245" s="141"/>
      <c r="G245" s="219"/>
      <c r="H245" s="141"/>
      <c r="I245" s="219"/>
      <c r="J245" s="141"/>
      <c r="K245" s="803"/>
      <c r="L245" s="216"/>
      <c r="M245" s="216"/>
      <c r="N245" s="34"/>
      <c r="O245" s="34"/>
      <c r="P245" s="34"/>
      <c r="R245" s="34"/>
      <c r="S245" s="34"/>
      <c r="T245" s="216"/>
      <c r="U245" s="216"/>
      <c r="V245" s="216"/>
      <c r="W245" s="216"/>
      <c r="X245" s="994"/>
      <c r="Y245" s="992"/>
      <c r="Z245" s="992">
        <f>IF(AND(G240&gt;=$AA$81,G240&lt;=$AA$83,I240&gt;$AA$85),5,0)</f>
        <v>0</v>
      </c>
      <c r="AA245" s="992" t="s">
        <v>568</v>
      </c>
      <c r="AB245" s="994" t="s">
        <v>569</v>
      </c>
      <c r="AC245" s="994"/>
      <c r="AD245" s="994">
        <f>IF(OR(I240&lt;$L$18,I240&gt;$L$20),1,0)</f>
        <v>0</v>
      </c>
      <c r="AE245" s="994" t="s">
        <v>705</v>
      </c>
    </row>
    <row r="246" spans="1:31" hidden="1" outlineLevel="1" x14ac:dyDescent="0.2">
      <c r="A246" s="141"/>
      <c r="B246" s="141"/>
      <c r="C246" s="803"/>
      <c r="D246" s="141"/>
      <c r="E246" s="141"/>
      <c r="F246" s="141"/>
      <c r="G246" s="518">
        <f>EOMONTH(G240,0)</f>
        <v>31</v>
      </c>
      <c r="H246" s="141"/>
      <c r="I246" s="518">
        <f>EOMONTH(I240,0)</f>
        <v>31</v>
      </c>
      <c r="J246" s="141"/>
      <c r="K246" s="803" t="s">
        <v>395</v>
      </c>
      <c r="L246" s="216"/>
      <c r="M246" s="216"/>
      <c r="N246" s="518" t="b">
        <f t="shared" ref="N246:S246" si="47">IF(NOT(N238="n/a"),EOMONTH(N238,0))</f>
        <v>0</v>
      </c>
      <c r="O246" s="518" t="b">
        <f t="shared" si="47"/>
        <v>0</v>
      </c>
      <c r="P246" s="518" t="b">
        <f t="shared" si="47"/>
        <v>0</v>
      </c>
      <c r="Q246" s="518" t="b">
        <f t="shared" si="47"/>
        <v>0</v>
      </c>
      <c r="R246" s="518" t="b">
        <f t="shared" si="47"/>
        <v>0</v>
      </c>
      <c r="S246" s="518" t="b">
        <f t="shared" si="47"/>
        <v>0</v>
      </c>
      <c r="T246" s="216"/>
      <c r="U246" s="216"/>
      <c r="V246" s="216"/>
      <c r="W246" s="216"/>
      <c r="X246" s="994"/>
      <c r="Y246" s="992"/>
      <c r="Z246" s="1111">
        <f>IF(AND(G240&gt;=$AA$85,I240&lt;=$AA$86),6,0)</f>
        <v>6</v>
      </c>
      <c r="AA246" s="992" t="s">
        <v>571</v>
      </c>
      <c r="AB246" s="994" t="s">
        <v>572</v>
      </c>
      <c r="AC246" s="994"/>
      <c r="AD246" s="994"/>
      <c r="AE246" s="994"/>
    </row>
    <row r="247" spans="1:31" ht="13.5" hidden="1" outlineLevel="1" thickBot="1" x14ac:dyDescent="0.25">
      <c r="A247" s="141"/>
      <c r="B247" s="141"/>
      <c r="C247" s="803"/>
      <c r="D247" s="141"/>
      <c r="E247" s="141"/>
      <c r="F247" s="141"/>
      <c r="G247" s="141">
        <f>DAY(G246)</f>
        <v>31</v>
      </c>
      <c r="H247" s="141"/>
      <c r="I247" s="141">
        <f>DAY(I246)</f>
        <v>31</v>
      </c>
      <c r="J247" s="141"/>
      <c r="K247" s="803" t="s">
        <v>396</v>
      </c>
      <c r="L247" s="216"/>
      <c r="M247" s="216"/>
      <c r="N247" s="141">
        <f>DAY(N246)</f>
        <v>0</v>
      </c>
      <c r="O247" s="141">
        <f>DAY(O246)</f>
        <v>0</v>
      </c>
      <c r="P247" s="141">
        <f t="shared" ref="P247:S247" si="48">DAY(P246)</f>
        <v>0</v>
      </c>
      <c r="Q247" s="141">
        <f t="shared" si="48"/>
        <v>0</v>
      </c>
      <c r="R247" s="141">
        <f t="shared" si="48"/>
        <v>0</v>
      </c>
      <c r="S247" s="141">
        <f t="shared" si="48"/>
        <v>0</v>
      </c>
      <c r="T247" s="216"/>
      <c r="U247" s="216"/>
      <c r="V247" s="216"/>
      <c r="W247" s="216"/>
      <c r="X247" s="994"/>
      <c r="Y247" s="992"/>
      <c r="Z247" s="1112">
        <f>IF(AND(NOT(G240=0),NOT(I240=0)),SUM(Z241:Z246),0)</f>
        <v>0</v>
      </c>
      <c r="AA247" s="992" t="s">
        <v>601</v>
      </c>
      <c r="AC247" s="994"/>
      <c r="AD247" s="1112">
        <f>IF(AND(G240&gt;0,I240&gt;0),SUM(AD244:AD246),0)</f>
        <v>0</v>
      </c>
      <c r="AE247" s="994" t="s">
        <v>620</v>
      </c>
    </row>
    <row r="248" spans="1:31" hidden="1" outlineLevel="1" x14ac:dyDescent="0.2">
      <c r="A248" s="141"/>
      <c r="B248" s="141"/>
      <c r="C248" s="803"/>
      <c r="D248" s="141"/>
      <c r="E248" s="141"/>
      <c r="F248" s="141"/>
      <c r="G248" s="520">
        <f>G246-G240+1</f>
        <v>32</v>
      </c>
      <c r="H248" s="141"/>
      <c r="I248" s="520">
        <f>I246-I240</f>
        <v>31</v>
      </c>
      <c r="J248" s="141"/>
      <c r="K248" s="803" t="s">
        <v>628</v>
      </c>
      <c r="L248" s="216"/>
      <c r="M248" s="216"/>
      <c r="N248" s="520" t="b">
        <f>IF(NOT(N238="n/a"),N246-N238+1)</f>
        <v>0</v>
      </c>
      <c r="O248" s="520" t="b">
        <f>IF(NOT(O238="n/a"),O246-O238)</f>
        <v>0</v>
      </c>
      <c r="P248" s="520" t="b">
        <f>IF(NOT(P238="n/a"),P246-P238+1)</f>
        <v>0</v>
      </c>
      <c r="Q248" s="520" t="b">
        <f>IF(NOT(Q238="n/a"),Q246-Q238)</f>
        <v>0</v>
      </c>
      <c r="R248" s="520" t="b">
        <f>IF(NOT(R238="n/a"),R246-R238+1)</f>
        <v>0</v>
      </c>
      <c r="S248" s="520" t="b">
        <f>IF(NOT(S238="n/a"),S246-S238)</f>
        <v>0</v>
      </c>
      <c r="T248" s="216"/>
      <c r="U248" s="216"/>
      <c r="V248" s="216"/>
      <c r="W248" s="216"/>
      <c r="X248" s="994"/>
      <c r="Y248" s="992"/>
      <c r="AC248" s="994"/>
      <c r="AD248" s="994"/>
      <c r="AE248" s="994"/>
    </row>
    <row r="249" spans="1:31" hidden="1" outlineLevel="1" x14ac:dyDescent="0.2">
      <c r="A249" s="141"/>
      <c r="B249" s="141"/>
      <c r="C249" s="803"/>
      <c r="D249" s="141"/>
      <c r="E249" s="141"/>
      <c r="F249" s="141"/>
      <c r="G249" s="141">
        <f>G247-G248</f>
        <v>-1</v>
      </c>
      <c r="H249" s="141"/>
      <c r="I249" s="141">
        <f>I247-I248</f>
        <v>0</v>
      </c>
      <c r="J249" s="141"/>
      <c r="K249" s="803" t="s">
        <v>397</v>
      </c>
      <c r="L249" s="216"/>
      <c r="M249" s="216"/>
      <c r="N249" s="141">
        <f t="shared" ref="N249:S249" si="49">N247-N248</f>
        <v>0</v>
      </c>
      <c r="O249" s="141">
        <f t="shared" si="49"/>
        <v>0</v>
      </c>
      <c r="P249" s="141">
        <f t="shared" si="49"/>
        <v>0</v>
      </c>
      <c r="Q249" s="141">
        <f t="shared" si="49"/>
        <v>0</v>
      </c>
      <c r="R249" s="141">
        <f t="shared" si="49"/>
        <v>0</v>
      </c>
      <c r="S249" s="141">
        <f t="shared" si="49"/>
        <v>0</v>
      </c>
      <c r="T249" s="216"/>
      <c r="U249" s="216"/>
      <c r="V249" s="216"/>
      <c r="W249" s="216"/>
      <c r="X249" s="994"/>
      <c r="Y249" s="992"/>
      <c r="AC249" s="994"/>
      <c r="AD249" s="994"/>
      <c r="AE249" s="994"/>
    </row>
    <row r="250" spans="1:31" hidden="1" outlineLevel="1" x14ac:dyDescent="0.2">
      <c r="A250" s="141"/>
      <c r="B250" s="141"/>
      <c r="C250" s="803"/>
      <c r="D250" s="141"/>
      <c r="E250" s="141"/>
      <c r="F250" s="141"/>
      <c r="G250" s="718">
        <f>IF(G244="Yes",ROUND(G248/G247,6),0)</f>
        <v>1.0322579999999999</v>
      </c>
      <c r="H250" s="719"/>
      <c r="I250" s="718">
        <f>IF(I244="Yes",ROUND(I249/I247,6),0)</f>
        <v>0</v>
      </c>
      <c r="J250" s="589"/>
      <c r="K250" s="803" t="s">
        <v>398</v>
      </c>
      <c r="L250" s="216"/>
      <c r="M250" s="216"/>
      <c r="N250" s="716">
        <f>IF(ISERROR(IF(N244="Yes",ROUND(N248/N247,6),0)),0,IF(N244="Yes",ROUND(N248/N247,6),0))</f>
        <v>0</v>
      </c>
      <c r="O250" s="716">
        <f>IF(ISERROR(IF(O244="Yes",ROUND(O249/O247,6),0)),0,IF(O244="Yes",ROUND(O249/O247,6),0))</f>
        <v>0</v>
      </c>
      <c r="P250" s="716">
        <f>IF(ISERROR(IF(P244="Yes",ROUND(P248/P247,6),0)),0,IF(P244="Yes",ROUND(P248/P247,6),0))</f>
        <v>0</v>
      </c>
      <c r="Q250" s="716">
        <f>IF(ISERROR(IF(Q244="Yes",ROUND(Q249/Q247,6),0)),0,IF(Q244="Yes",ROUND(Q249/Q247,6),0))</f>
        <v>0</v>
      </c>
      <c r="R250" s="716">
        <f>IF(ISERROR(IF(R244="Yes",ROUND(R248/R247,6),0)),0,IF(R244="Yes",ROUND(R248/R247,6),0))</f>
        <v>0</v>
      </c>
      <c r="S250" s="716">
        <f>IF(ISERROR(IF(S244="Yes",ROUND(S249/S247,6),0)),0,IF(S244="Yes",ROUND(S249/S247,6),0))</f>
        <v>0</v>
      </c>
      <c r="T250" s="216"/>
      <c r="U250" s="216"/>
      <c r="V250" s="216"/>
      <c r="W250" s="216"/>
      <c r="X250" s="994"/>
      <c r="Y250" s="992"/>
      <c r="AA250" s="994" t="s">
        <v>556</v>
      </c>
      <c r="AB250" s="994" t="s">
        <v>575</v>
      </c>
      <c r="AC250" s="994"/>
      <c r="AD250" s="994"/>
      <c r="AE250" s="994"/>
    </row>
    <row r="251" spans="1:31" ht="13.5" hidden="1" outlineLevel="1" thickBot="1" x14ac:dyDescent="0.25">
      <c r="A251" s="141"/>
      <c r="B251" s="141"/>
      <c r="C251" s="803"/>
      <c r="D251" s="141"/>
      <c r="E251" s="141"/>
      <c r="F251" s="141"/>
      <c r="G251" s="592">
        <f>IF(G253="Yes",0,ROUND(ROUND(K240,2)*G250,2))</f>
        <v>0</v>
      </c>
      <c r="H251" s="141"/>
      <c r="I251" s="592">
        <f>IF(G253="Yes",0,ROUND(ROUND(K240,2)*I250,2))</f>
        <v>0</v>
      </c>
      <c r="J251" s="141"/>
      <c r="K251" s="803" t="s">
        <v>409</v>
      </c>
      <c r="L251" s="216"/>
      <c r="M251" s="216"/>
      <c r="N251" s="546">
        <f>IF(N253="yes",0,ROUND(N250*E237,0))</f>
        <v>0</v>
      </c>
      <c r="O251" s="546">
        <f>IF(N253="yes",0,ROUND(O250*E237,0))</f>
        <v>0</v>
      </c>
      <c r="P251" s="546">
        <f>IF(P253="yes",0,ROUND(P250*E237,0))</f>
        <v>0</v>
      </c>
      <c r="Q251" s="546">
        <f>IF(P253="yes",0,ROUND(Q250*E237,0))</f>
        <v>0</v>
      </c>
      <c r="R251" s="546">
        <f>IF(R253="yes",0,ROUND(R250*E237,0))</f>
        <v>0</v>
      </c>
      <c r="S251" s="546">
        <f>IF(R253="yes",0,ROUND(S250*E237,0))</f>
        <v>0</v>
      </c>
      <c r="T251" s="216"/>
      <c r="U251" s="216"/>
      <c r="V251" s="216"/>
      <c r="W251" s="216"/>
      <c r="X251" s="994"/>
      <c r="Y251" s="992"/>
      <c r="AA251" s="994" t="s">
        <v>565</v>
      </c>
      <c r="AB251" s="994" t="s">
        <v>576</v>
      </c>
      <c r="AC251" s="994"/>
      <c r="AD251" s="994"/>
      <c r="AE251" s="994"/>
    </row>
    <row r="252" spans="1:31" ht="13.5" hidden="1" outlineLevel="1" thickTop="1" x14ac:dyDescent="0.2">
      <c r="A252" s="141"/>
      <c r="B252" s="141"/>
      <c r="C252" s="803"/>
      <c r="D252" s="141"/>
      <c r="E252" s="141"/>
      <c r="F252" s="141"/>
      <c r="G252" s="141"/>
      <c r="H252" s="141"/>
      <c r="I252" s="141"/>
      <c r="J252" s="141"/>
      <c r="K252" s="803"/>
      <c r="L252" s="216"/>
      <c r="M252" s="216"/>
      <c r="N252" s="216"/>
      <c r="O252" s="216"/>
      <c r="P252" s="216"/>
      <c r="Q252" s="141"/>
      <c r="R252" s="216"/>
      <c r="S252" s="141"/>
      <c r="T252" s="216"/>
      <c r="U252" s="216"/>
      <c r="V252" s="216"/>
      <c r="W252" s="216"/>
      <c r="X252" s="994"/>
      <c r="Y252" s="992"/>
      <c r="AA252" s="994" t="s">
        <v>571</v>
      </c>
      <c r="AB252" s="994" t="s">
        <v>577</v>
      </c>
      <c r="AC252" s="994"/>
      <c r="AD252" s="994"/>
      <c r="AE252" s="994"/>
    </row>
    <row r="253" spans="1:31" hidden="1" outlineLevel="1" x14ac:dyDescent="0.2">
      <c r="A253" s="141"/>
      <c r="B253" s="141"/>
      <c r="C253" s="803"/>
      <c r="D253" s="141"/>
      <c r="E253" s="141"/>
      <c r="F253" s="141"/>
      <c r="G253" s="542" t="str">
        <f>IF(AND(YEAR(G240)=YEAR(I240),MONTH(G240)=MONTH(I240),G244="YES",I244="YES"),"YES","NO")</f>
        <v>YES</v>
      </c>
      <c r="H253" s="141"/>
      <c r="I253" s="141"/>
      <c r="J253" s="141"/>
      <c r="K253" s="803" t="s">
        <v>410</v>
      </c>
      <c r="L253" s="216"/>
      <c r="M253" s="216"/>
      <c r="N253" s="544" t="str">
        <f>IF(N238="n/a","NO",IF(AND(YEAR(N238)=YEAR(O238),MONTH(N238)=MONTH(O238),N244="YES",O244="YES"),"YES","NO"))</f>
        <v>NO</v>
      </c>
      <c r="O253" s="510"/>
      <c r="P253" s="544" t="str">
        <f>IF(P238="n/a","NO",IF(AND(YEAR(P238)=YEAR(Q238),MONTH(P238)=MONTH(Q238),P244="YES",Q244="YES"),"YES","NO"))</f>
        <v>NO</v>
      </c>
      <c r="Q253" s="141"/>
      <c r="R253" s="544" t="str">
        <f>IF(R238="n/a","NO",IF(AND(YEAR(R238)=YEAR(S238),MONTH(R238)=MONTH(S238),R244="YES",S244="YES"),"YES","NO"))</f>
        <v>NO</v>
      </c>
      <c r="S253" s="141"/>
      <c r="T253" s="216"/>
      <c r="U253" s="216"/>
      <c r="V253" s="216"/>
      <c r="W253" s="216"/>
      <c r="X253" s="994"/>
      <c r="Y253" s="992"/>
    </row>
    <row r="254" spans="1:31" hidden="1" outlineLevel="1" x14ac:dyDescent="0.2">
      <c r="A254" s="141"/>
      <c r="B254" s="141"/>
      <c r="C254" s="803"/>
      <c r="D254" s="141"/>
      <c r="E254" s="141"/>
      <c r="F254" s="141"/>
      <c r="G254" s="141">
        <f>IF(G253="yes",I240-G240+1,0)</f>
        <v>1</v>
      </c>
      <c r="H254" s="141"/>
      <c r="I254" s="141"/>
      <c r="J254" s="141"/>
      <c r="K254" s="803" t="s">
        <v>411</v>
      </c>
      <c r="L254" s="216"/>
      <c r="M254" s="216"/>
      <c r="N254" s="141">
        <f>IF(N253="yes",O238-N238+1,0)</f>
        <v>0</v>
      </c>
      <c r="O254" s="510"/>
      <c r="P254" s="141">
        <f>IF(P253="yes",Q238-P238+1,0)</f>
        <v>0</v>
      </c>
      <c r="Q254" s="141"/>
      <c r="R254" s="141">
        <f>IF(R253="yes",S238-R238+1,0)</f>
        <v>0</v>
      </c>
      <c r="S254" s="141"/>
      <c r="T254" s="216"/>
      <c r="U254" s="216"/>
      <c r="V254" s="216"/>
      <c r="W254" s="216"/>
      <c r="X254" s="994"/>
      <c r="Y254" s="992"/>
    </row>
    <row r="255" spans="1:31" hidden="1" outlineLevel="1" x14ac:dyDescent="0.2">
      <c r="A255" s="141"/>
      <c r="B255" s="141"/>
      <c r="C255" s="803"/>
      <c r="D255" s="141"/>
      <c r="E255" s="141"/>
      <c r="F255" s="141"/>
      <c r="G255" s="717">
        <f>ROUND(G254/G247,6)</f>
        <v>3.2258000000000002E-2</v>
      </c>
      <c r="H255" s="141"/>
      <c r="I255" s="141"/>
      <c r="J255" s="141"/>
      <c r="K255" s="803" t="s">
        <v>398</v>
      </c>
      <c r="L255" s="216"/>
      <c r="M255" s="216"/>
      <c r="N255" s="717">
        <f>IF(ISERROR(ROUND(N254/N247,6)),0,ROUND(N254/N247,6))</f>
        <v>0</v>
      </c>
      <c r="O255" s="543"/>
      <c r="P255" s="717">
        <f>IF(ISERROR(ROUND(P254/P247,6)),0,ROUND(P254/P247,6))</f>
        <v>0</v>
      </c>
      <c r="Q255" s="520"/>
      <c r="R255" s="717">
        <f>IF(ISERROR(ROUND(R254/R247,6)),0,ROUND(R254/R247,6))</f>
        <v>0</v>
      </c>
      <c r="S255" s="141"/>
      <c r="T255" s="216"/>
      <c r="U255" s="216"/>
      <c r="V255" s="216"/>
      <c r="W255" s="216"/>
      <c r="X255" s="994"/>
      <c r="Y255" s="992"/>
    </row>
    <row r="256" spans="1:31" hidden="1" outlineLevel="1" x14ac:dyDescent="0.2">
      <c r="A256" s="141"/>
      <c r="B256" s="141"/>
      <c r="C256" s="803"/>
      <c r="D256" s="141"/>
      <c r="E256" s="141"/>
      <c r="F256" s="141"/>
      <c r="G256" s="540">
        <f>ROUND(IF(NOT(G240=0),G255*ROUND(K240,2),0),2)</f>
        <v>0</v>
      </c>
      <c r="H256" s="141"/>
      <c r="I256" s="141"/>
      <c r="J256" s="141"/>
      <c r="K256" s="803" t="s">
        <v>413</v>
      </c>
      <c r="L256" s="216"/>
      <c r="M256" s="216"/>
      <c r="N256" s="510">
        <f>IF(NOT(N238=0),ROUND(N255*E237,0),0)</f>
        <v>0</v>
      </c>
      <c r="O256" s="510"/>
      <c r="P256" s="510">
        <f>IF(NOT(P238=0),ROUND(P255*E237,0),0)</f>
        <v>0</v>
      </c>
      <c r="Q256" s="141"/>
      <c r="R256" s="510">
        <f>IF(NOT(R238=0),ROUND(R255*E237,0),0)</f>
        <v>0</v>
      </c>
      <c r="S256" s="141"/>
      <c r="T256" s="216"/>
      <c r="U256" s="216"/>
      <c r="V256" s="216"/>
      <c r="W256" s="216"/>
      <c r="X256" s="994"/>
      <c r="Y256" s="992"/>
    </row>
    <row r="257" spans="1:27" hidden="1" outlineLevel="1" x14ac:dyDescent="0.2">
      <c r="A257" s="141"/>
      <c r="B257" s="141"/>
      <c r="C257" s="141"/>
      <c r="D257" s="141"/>
      <c r="E257" s="141"/>
      <c r="F257" s="141"/>
      <c r="G257" s="141"/>
      <c r="H257" s="141"/>
      <c r="I257" s="141"/>
      <c r="J257" s="141"/>
      <c r="K257" s="141"/>
      <c r="L257" s="216"/>
      <c r="M257" s="216"/>
      <c r="N257" s="216"/>
      <c r="O257" s="216"/>
      <c r="P257" s="216"/>
      <c r="Q257" s="141"/>
      <c r="R257" s="216"/>
      <c r="S257" s="141"/>
      <c r="T257" s="216"/>
      <c r="U257" s="216"/>
      <c r="V257" s="216"/>
      <c r="W257" s="216"/>
      <c r="X257" s="994"/>
      <c r="Y257" s="992"/>
    </row>
    <row r="258" spans="1:27" hidden="1" outlineLevel="1" x14ac:dyDescent="0.2">
      <c r="A258" s="141"/>
      <c r="B258" s="141"/>
      <c r="C258" s="141"/>
      <c r="D258" s="141"/>
      <c r="E258" s="141"/>
      <c r="F258" s="141"/>
      <c r="G258" s="716">
        <f>IF(G253="No",G250,G255)</f>
        <v>3.2258000000000002E-2</v>
      </c>
      <c r="H258" s="721"/>
      <c r="I258" s="716">
        <f>IF(G253="No",I250,0)</f>
        <v>0</v>
      </c>
      <c r="J258" s="721"/>
      <c r="K258" s="141" t="s">
        <v>492</v>
      </c>
      <c r="L258" s="216"/>
      <c r="M258" s="216"/>
      <c r="N258" s="716">
        <f>IF(N253="No",N250,N255)</f>
        <v>0</v>
      </c>
      <c r="O258" s="718">
        <f>IF(N253="No",O250,0)</f>
        <v>0</v>
      </c>
      <c r="P258" s="716">
        <f>IF(P253="No",P250,P255)</f>
        <v>0</v>
      </c>
      <c r="Q258" s="718">
        <f>IF(P253="No",Q250,0)</f>
        <v>0</v>
      </c>
      <c r="R258" s="716">
        <f>IF(R253="No",R250,R255)</f>
        <v>0</v>
      </c>
      <c r="S258" s="718">
        <f>IF(R253="No",S250,0)</f>
        <v>0</v>
      </c>
      <c r="T258" s="216"/>
      <c r="U258" s="216"/>
      <c r="V258" s="216"/>
      <c r="W258" s="216"/>
      <c r="X258" s="994"/>
      <c r="Y258" s="992"/>
    </row>
    <row r="259" spans="1:27" ht="13.5" hidden="1" outlineLevel="1" thickBot="1" x14ac:dyDescent="0.25">
      <c r="A259" s="141"/>
      <c r="B259" s="141"/>
      <c r="C259" s="141"/>
      <c r="D259" s="141"/>
      <c r="E259" s="141"/>
      <c r="F259" s="141"/>
      <c r="G259" s="603"/>
      <c r="H259" s="520"/>
      <c r="I259" s="603"/>
      <c r="J259" s="520"/>
      <c r="K259" s="141"/>
      <c r="L259" s="216"/>
      <c r="M259" s="516" t="s">
        <v>412</v>
      </c>
      <c r="N259" s="602">
        <f>N251+N256</f>
        <v>0</v>
      </c>
      <c r="O259" s="602">
        <f t="shared" ref="O259" si="50">O251+O256</f>
        <v>0</v>
      </c>
      <c r="P259" s="602">
        <f>P251+P256</f>
        <v>0</v>
      </c>
      <c r="Q259" s="602">
        <f t="shared" ref="Q259" si="51">Q251+Q256</f>
        <v>0</v>
      </c>
      <c r="R259" s="602">
        <f>R251+R256</f>
        <v>0</v>
      </c>
      <c r="S259" s="602">
        <f>S251+S256</f>
        <v>0</v>
      </c>
      <c r="T259" s="216"/>
      <c r="U259" s="216"/>
      <c r="V259" s="216"/>
      <c r="W259" s="216"/>
      <c r="X259" s="994"/>
      <c r="Y259" s="992"/>
    </row>
    <row r="260" spans="1:27" ht="13.5" collapsed="1" thickBot="1" x14ac:dyDescent="0.25">
      <c r="A260" s="141"/>
      <c r="B260" s="141"/>
      <c r="C260" s="141"/>
      <c r="D260" s="141"/>
      <c r="E260" s="141"/>
      <c r="F260" s="141"/>
      <c r="G260" s="1663">
        <f>G251+G256</f>
        <v>0</v>
      </c>
      <c r="H260" s="1663"/>
      <c r="I260" s="1663">
        <f>I251+I256</f>
        <v>0</v>
      </c>
      <c r="J260" s="1663"/>
      <c r="K260" s="832" t="s">
        <v>399</v>
      </c>
      <c r="L260" s="216"/>
      <c r="M260" s="216"/>
      <c r="N260" s="141"/>
      <c r="O260" s="216"/>
      <c r="P260" s="216"/>
      <c r="Q260" s="141"/>
      <c r="R260" s="219"/>
      <c r="S260" s="219"/>
      <c r="T260" s="216"/>
      <c r="U260" s="216"/>
      <c r="V260" s="216"/>
      <c r="W260" s="216"/>
      <c r="X260" s="994"/>
      <c r="Y260" s="992"/>
    </row>
    <row r="261" spans="1:27" ht="15.75" thickTop="1" x14ac:dyDescent="0.25">
      <c r="A261" s="141"/>
      <c r="B261" s="141"/>
      <c r="C261" s="141"/>
      <c r="D261" s="141"/>
      <c r="E261" s="141"/>
      <c r="F261" s="141"/>
      <c r="G261" s="842" t="str">
        <f>IF($AD247&gt;0,"ERROR ALERT:  The date range in your service start/end dates is NOT consistent with the OTO start/end dates ('OTO Terms' above), please check your dates and re-enter.","")</f>
        <v/>
      </c>
      <c r="H261" s="801"/>
      <c r="I261" s="801"/>
      <c r="J261" s="801"/>
      <c r="K261" s="803"/>
      <c r="L261" s="216"/>
      <c r="M261" s="216"/>
      <c r="N261" s="141"/>
      <c r="O261" s="216"/>
      <c r="P261" s="216"/>
      <c r="Q261" s="141"/>
      <c r="R261" s="219"/>
      <c r="S261" s="219"/>
      <c r="T261" s="216"/>
      <c r="U261" s="216"/>
      <c r="V261" s="216"/>
      <c r="W261" s="216"/>
      <c r="X261" s="994"/>
      <c r="Y261" s="992"/>
    </row>
    <row r="262" spans="1:27" ht="15" x14ac:dyDescent="0.25">
      <c r="B262" s="210" t="s">
        <v>594</v>
      </c>
      <c r="R262" s="254"/>
      <c r="S262" s="254"/>
    </row>
    <row r="263" spans="1:27" x14ac:dyDescent="0.2">
      <c r="R263" s="1660" t="s">
        <v>547</v>
      </c>
      <c r="S263" s="1660"/>
    </row>
    <row r="264" spans="1:27" hidden="1" outlineLevel="1" x14ac:dyDescent="0.2">
      <c r="A264" s="141"/>
      <c r="B264" s="141" t="s">
        <v>493</v>
      </c>
      <c r="C264" s="141"/>
      <c r="D264" s="597">
        <f>IF(NOT(G273=0),IF(G286="NO",(YEAR(I273)-YEAR(G273))*12+MONTH(I273)-MONTH(G273)+IF(G277="no",1,0)+IF(I277="yes",-1,0),0),0)</f>
        <v>0</v>
      </c>
      <c r="E264" s="141"/>
      <c r="F264" s="141"/>
      <c r="G264" s="141"/>
      <c r="H264" s="141"/>
      <c r="I264" s="141"/>
      <c r="J264" s="141"/>
      <c r="K264" s="141"/>
      <c r="L264" s="141"/>
      <c r="M264" s="516" t="s">
        <v>493</v>
      </c>
      <c r="N264" s="597">
        <f>IF(NOT(N271="n/a"),(YEAR(O271)-YEAR(N271))*12+MONTH(O271)-MONTH(N271)+IF(N277="no",1,0)+IF(O277="yes",-1,0),0)</f>
        <v>0</v>
      </c>
      <c r="O264" s="254"/>
      <c r="P264" s="597">
        <f>IF(NOT(P271="n/a"),(YEAR(Q271)-YEAR(P271))*12+MONTH(Q271)-MONTH(P271)+IF(P277="no",1,0)+IF(Q277="yes",-1,0),0)</f>
        <v>0</v>
      </c>
      <c r="Q264" s="141"/>
      <c r="R264" s="597">
        <f>IF(NOT(R271="n/a"),(YEAR(S271)-YEAR(R271))*12+MONTH(S271)-MONTH(R271)+IF(R277="no",1,0)+IF(S277="yes",-1,0),0)</f>
        <v>0</v>
      </c>
      <c r="S264" s="202"/>
      <c r="T264" s="216"/>
      <c r="U264" s="141"/>
      <c r="V264" s="216"/>
      <c r="W264" s="216"/>
      <c r="X264" s="994"/>
      <c r="Y264" s="992"/>
    </row>
    <row r="265" spans="1:27" hidden="1" outlineLevel="1" x14ac:dyDescent="0.2">
      <c r="A265" s="141"/>
      <c r="B265" s="141" t="s">
        <v>494</v>
      </c>
      <c r="C265" s="141"/>
      <c r="D265" s="598">
        <f>IF(NOT(G273=0),G291,0)</f>
        <v>0</v>
      </c>
      <c r="E265" s="141"/>
      <c r="F265" s="141"/>
      <c r="G265" s="141"/>
      <c r="H265" s="141"/>
      <c r="I265" s="141"/>
      <c r="J265" s="141"/>
      <c r="K265" s="141"/>
      <c r="L265" s="141"/>
      <c r="M265" s="516" t="s">
        <v>494</v>
      </c>
      <c r="N265" s="598">
        <f>N291</f>
        <v>0</v>
      </c>
      <c r="O265" s="216"/>
      <c r="P265" s="598">
        <f>P291</f>
        <v>0</v>
      </c>
      <c r="Q265" s="141"/>
      <c r="R265" s="598">
        <f>R291</f>
        <v>0</v>
      </c>
      <c r="S265" s="202"/>
      <c r="T265" s="216"/>
      <c r="U265" s="141"/>
      <c r="V265" s="216"/>
      <c r="W265" s="216"/>
      <c r="X265" s="994"/>
      <c r="Y265" s="992"/>
    </row>
    <row r="266" spans="1:27" hidden="1" outlineLevel="1" x14ac:dyDescent="0.2">
      <c r="A266" s="141"/>
      <c r="B266" s="141" t="s">
        <v>495</v>
      </c>
      <c r="C266" s="141"/>
      <c r="D266" s="599">
        <f>IF(NOT(G273=0),I291,0)</f>
        <v>0</v>
      </c>
      <c r="E266" s="141"/>
      <c r="F266" s="141"/>
      <c r="G266" s="141"/>
      <c r="H266" s="141"/>
      <c r="I266" s="141"/>
      <c r="J266" s="141"/>
      <c r="K266" s="141"/>
      <c r="L266" s="141"/>
      <c r="M266" s="516" t="s">
        <v>495</v>
      </c>
      <c r="N266" s="599">
        <f>O291</f>
        <v>0</v>
      </c>
      <c r="O266" s="216"/>
      <c r="P266" s="599">
        <f>Q291</f>
        <v>0</v>
      </c>
      <c r="Q266" s="141"/>
      <c r="R266" s="599">
        <f>S291</f>
        <v>0</v>
      </c>
      <c r="S266" s="202"/>
      <c r="T266" s="216"/>
      <c r="U266" s="141"/>
      <c r="V266" s="216"/>
      <c r="W266" s="216"/>
      <c r="X266" s="994"/>
      <c r="Y266" s="992"/>
    </row>
    <row r="267" spans="1:27" hidden="1" outlineLevel="1" x14ac:dyDescent="0.2">
      <c r="A267" s="141"/>
      <c r="B267" s="219" t="s">
        <v>496</v>
      </c>
      <c r="C267" s="141"/>
      <c r="D267" s="597">
        <f>SUM(D264:D266)</f>
        <v>0</v>
      </c>
      <c r="E267" s="141"/>
      <c r="F267" s="141"/>
      <c r="G267" s="141"/>
      <c r="H267" s="141"/>
      <c r="I267" s="141"/>
      <c r="J267" s="141"/>
      <c r="K267" s="141"/>
      <c r="L267" s="141"/>
      <c r="M267" s="499" t="s">
        <v>496</v>
      </c>
      <c r="N267" s="597">
        <f>SUM(N264:N266)</f>
        <v>0</v>
      </c>
      <c r="O267" s="216"/>
      <c r="P267" s="597">
        <f>SUM(P264:P266)</f>
        <v>0</v>
      </c>
      <c r="Q267" s="141"/>
      <c r="R267" s="597">
        <f>SUM(R264:R266)</f>
        <v>0</v>
      </c>
      <c r="S267" s="202"/>
      <c r="T267" s="216"/>
      <c r="U267" s="141"/>
      <c r="V267" s="216"/>
      <c r="W267" s="216"/>
      <c r="X267" s="994"/>
      <c r="Y267" s="992"/>
    </row>
    <row r="268" spans="1:27" hidden="1" outlineLevel="1" x14ac:dyDescent="0.2">
      <c r="A268" s="216"/>
      <c r="B268" s="219"/>
      <c r="C268" s="216"/>
      <c r="D268" s="601"/>
      <c r="E268" s="216"/>
      <c r="F268" s="216"/>
      <c r="G268" s="216"/>
      <c r="H268" s="216"/>
      <c r="I268" s="216"/>
      <c r="J268" s="216"/>
      <c r="K268" s="216"/>
      <c r="L268" s="216"/>
      <c r="M268" s="499"/>
      <c r="N268" s="216"/>
      <c r="O268" s="216"/>
      <c r="P268" s="601"/>
      <c r="Q268" s="216"/>
      <c r="R268" s="216"/>
      <c r="S268" s="254"/>
      <c r="T268" s="216"/>
      <c r="U268" s="216"/>
      <c r="V268" s="216"/>
      <c r="W268" s="216"/>
      <c r="X268" s="994"/>
      <c r="Y268" s="992"/>
    </row>
    <row r="269" spans="1:27" hidden="1" outlineLevel="1" x14ac:dyDescent="0.2">
      <c r="A269" s="141"/>
      <c r="B269" s="141"/>
      <c r="C269" s="141"/>
      <c r="D269" s="141"/>
      <c r="E269" s="141"/>
      <c r="F269" s="141"/>
      <c r="G269" s="141"/>
      <c r="H269" s="141"/>
      <c r="I269" s="141"/>
      <c r="J269" s="141"/>
      <c r="K269" s="141"/>
      <c r="L269" s="141"/>
      <c r="M269" s="141"/>
      <c r="N269" s="141"/>
      <c r="O269" s="141"/>
      <c r="P269" s="141"/>
      <c r="Q269" s="141"/>
      <c r="R269" s="216"/>
      <c r="S269" s="254"/>
      <c r="T269" s="216"/>
      <c r="U269" s="141"/>
      <c r="V269" s="216"/>
      <c r="W269" s="216"/>
      <c r="X269" s="994"/>
      <c r="Y269" s="992"/>
    </row>
    <row r="270" spans="1:27" collapsed="1" x14ac:dyDescent="0.2">
      <c r="A270" s="141"/>
      <c r="B270" s="219" t="s">
        <v>497</v>
      </c>
      <c r="C270" s="141"/>
      <c r="D270" s="216"/>
      <c r="E270" s="669"/>
      <c r="F270" s="141"/>
      <c r="G270" s="1664"/>
      <c r="H270" s="1664"/>
      <c r="I270" s="141"/>
      <c r="J270" s="141"/>
      <c r="K270" s="141"/>
      <c r="L270" s="216"/>
      <c r="M270" s="216"/>
      <c r="N270" s="590" t="s">
        <v>545</v>
      </c>
      <c r="O270" s="591" t="s">
        <v>579</v>
      </c>
      <c r="P270" s="590" t="s">
        <v>545</v>
      </c>
      <c r="Q270" s="591" t="s">
        <v>579</v>
      </c>
      <c r="R270" s="590" t="s">
        <v>545</v>
      </c>
      <c r="S270" s="591" t="s">
        <v>579</v>
      </c>
      <c r="T270" s="216"/>
      <c r="U270" s="141"/>
      <c r="V270" s="216"/>
      <c r="W270" s="216"/>
      <c r="X270" s="994"/>
      <c r="Y270" s="992"/>
      <c r="Z270" s="994" t="s">
        <v>581</v>
      </c>
      <c r="AA270" s="1074">
        <f>IF(G273&gt;0,IF(MONTH(G273)&gt;3,DATE(YEAR(G273)+1,3,31),DATE(YEAR(G273),3,31)),0)</f>
        <v>0</v>
      </c>
    </row>
    <row r="271" spans="1:27" x14ac:dyDescent="0.2">
      <c r="A271" s="141"/>
      <c r="B271" s="141"/>
      <c r="C271" s="141"/>
      <c r="D271" s="141"/>
      <c r="E271" s="141"/>
      <c r="F271" s="141"/>
      <c r="G271" s="494" t="str">
        <f>IF(AD274&gt;0,"WARNING: Generally, you may not cross a CLBC March 31 fiscal year end, please re-check your dates.","")</f>
        <v/>
      </c>
      <c r="H271" s="141"/>
      <c r="I271" s="141"/>
      <c r="J271" s="141"/>
      <c r="K271" s="141"/>
      <c r="L271" s="216"/>
      <c r="M271" s="216"/>
      <c r="N271" s="503" t="str">
        <f>IF(OR(Z280=1,Z280=2,Z280=3),G273,"N/A")</f>
        <v>N/A</v>
      </c>
      <c r="O271" s="504" t="str">
        <f>IF(Z280=1,I273,IF(OR(Z280=2,Z280=3),$AA$79,"N/A"))</f>
        <v>N/A</v>
      </c>
      <c r="P271" s="503" t="str">
        <f>IF(OR(Z280=2,Z280=3),$AA$81,IF(OR(Z280=4,Z280=5),G273,"N/A"))</f>
        <v>N/A</v>
      </c>
      <c r="Q271" s="504" t="str">
        <f>IF(OR(Z280=2,Z280=4),I273,IF(OR(Z280=3,Z280=5),$AA$83,"N/A"))</f>
        <v>N/A</v>
      </c>
      <c r="R271" s="505" t="str">
        <f>IF(OR(Z280=3,Z280=5),$AA$85,IF(Z280=6,G273,"N/A"))</f>
        <v>N/A</v>
      </c>
      <c r="S271" s="504" t="str">
        <f>IF(OR(Z280=3,Z280=5,Z280=6),I273,"N/A")</f>
        <v>N/A</v>
      </c>
      <c r="T271" s="216"/>
      <c r="U271" s="141"/>
      <c r="V271" s="216"/>
      <c r="W271" s="216"/>
      <c r="X271" s="994"/>
      <c r="Y271" s="992"/>
      <c r="Z271" s="994" t="s">
        <v>582</v>
      </c>
      <c r="AA271" s="1074">
        <f>IF(AA270&gt;=$L$20,$L$20,AA270)</f>
        <v>0</v>
      </c>
    </row>
    <row r="272" spans="1:27" ht="38.25" customHeight="1" x14ac:dyDescent="0.2">
      <c r="A272" s="140"/>
      <c r="B272" s="792" t="s">
        <v>464</v>
      </c>
      <c r="C272" s="1543" t="s">
        <v>351</v>
      </c>
      <c r="D272" s="1543"/>
      <c r="E272" s="587" t="s">
        <v>481</v>
      </c>
      <c r="F272" s="587" t="s">
        <v>482</v>
      </c>
      <c r="G272" s="1522" t="s">
        <v>519</v>
      </c>
      <c r="H272" s="1523"/>
      <c r="I272" s="1522" t="s">
        <v>520</v>
      </c>
      <c r="J272" s="1523" t="s">
        <v>520</v>
      </c>
      <c r="K272" s="833" t="s">
        <v>387</v>
      </c>
      <c r="L272" s="831" t="s">
        <v>483</v>
      </c>
      <c r="M272" s="831" t="s">
        <v>388</v>
      </c>
      <c r="N272" s="1543" t="s">
        <v>389</v>
      </c>
      <c r="O272" s="1543"/>
      <c r="P272" s="1543" t="s">
        <v>390</v>
      </c>
      <c r="Q272" s="1543"/>
      <c r="R272" s="1543" t="s">
        <v>578</v>
      </c>
      <c r="S272" s="1543"/>
      <c r="T272" s="286"/>
      <c r="U272" s="140"/>
      <c r="V272" s="286"/>
      <c r="W272" s="286"/>
      <c r="X272" s="1002"/>
      <c r="Y272" s="1105"/>
    </row>
    <row r="273" spans="1:31" x14ac:dyDescent="0.2">
      <c r="A273" s="141"/>
      <c r="B273" s="666"/>
      <c r="C273" s="1544"/>
      <c r="D273" s="1544"/>
      <c r="E273" s="808" t="s">
        <v>484</v>
      </c>
      <c r="F273" s="670"/>
      <c r="G273" s="1665"/>
      <c r="H273" s="1667"/>
      <c r="I273" s="1665"/>
      <c r="J273" s="1666"/>
      <c r="K273" s="671"/>
      <c r="L273" s="671"/>
      <c r="M273" s="588">
        <f>ROUND(IF(F273="Y",L273,IF(G286="yes",G293,ROUND(K273,2)*D264+G293+I293)),2)</f>
        <v>0</v>
      </c>
      <c r="N273" s="1661">
        <f>IF(N286="yes",N292,ROUND(E270*N264,0)+N292+O292)</f>
        <v>0</v>
      </c>
      <c r="O273" s="1662"/>
      <c r="P273" s="1661">
        <f>IF(P286="yes",P292,ROUND(E270*P264,0)+P292+Q292)</f>
        <v>0</v>
      </c>
      <c r="Q273" s="1662"/>
      <c r="R273" s="1661">
        <f>IF(R286="yes",R292,ROUND(E270*R264,0)+R292+S292)</f>
        <v>0</v>
      </c>
      <c r="S273" s="1662"/>
      <c r="T273" s="216"/>
      <c r="U273" s="141"/>
      <c r="V273" s="216"/>
      <c r="W273" s="216"/>
      <c r="X273" s="994"/>
      <c r="Y273" s="992"/>
      <c r="AA273" s="992" t="s">
        <v>553</v>
      </c>
      <c r="AB273" s="992" t="s">
        <v>554</v>
      </c>
      <c r="AC273" s="994"/>
      <c r="AD273" s="1109" t="s">
        <v>617</v>
      </c>
      <c r="AE273" s="1109" t="s">
        <v>718</v>
      </c>
    </row>
    <row r="274" spans="1:31" hidden="1" outlineLevel="1" x14ac:dyDescent="0.2">
      <c r="A274" s="141"/>
      <c r="B274" s="141"/>
      <c r="C274" s="803"/>
      <c r="D274" s="141"/>
      <c r="E274" s="141"/>
      <c r="F274" s="141"/>
      <c r="G274" s="141">
        <f>G280</f>
        <v>31</v>
      </c>
      <c r="H274" s="141"/>
      <c r="I274" s="141">
        <f>I280</f>
        <v>31</v>
      </c>
      <c r="J274" s="141"/>
      <c r="K274" s="803" t="s">
        <v>391</v>
      </c>
      <c r="L274" s="216"/>
      <c r="M274" s="216"/>
      <c r="N274" s="141">
        <f t="shared" ref="N274:S274" si="52">N280</f>
        <v>0</v>
      </c>
      <c r="O274" s="141">
        <f t="shared" si="52"/>
        <v>0</v>
      </c>
      <c r="P274" s="141">
        <f t="shared" si="52"/>
        <v>0</v>
      </c>
      <c r="Q274" s="141">
        <f t="shared" si="52"/>
        <v>0</v>
      </c>
      <c r="R274" s="141">
        <f t="shared" si="52"/>
        <v>0</v>
      </c>
      <c r="S274" s="141">
        <f t="shared" si="52"/>
        <v>0</v>
      </c>
      <c r="T274" s="216"/>
      <c r="U274" s="141"/>
      <c r="V274" s="216"/>
      <c r="W274" s="216"/>
      <c r="X274" s="994"/>
      <c r="Y274" s="992"/>
      <c r="Z274" s="992">
        <f>IF(AND(G273&gt;=$AA$77,I273&lt;=$AA$79),1,0)</f>
        <v>0</v>
      </c>
      <c r="AA274" s="992" t="s">
        <v>556</v>
      </c>
      <c r="AB274" s="992" t="s">
        <v>557</v>
      </c>
      <c r="AC274" s="994"/>
      <c r="AD274" s="994">
        <f>IF(AND(G273&gt;0,I273&gt;0,I273&gt;$AA271),1,0)</f>
        <v>0</v>
      </c>
      <c r="AE274" s="994" t="s">
        <v>619</v>
      </c>
    </row>
    <row r="275" spans="1:31" hidden="1" outlineLevel="1" x14ac:dyDescent="0.2">
      <c r="A275" s="141"/>
      <c r="B275" s="141"/>
      <c r="C275" s="803"/>
      <c r="D275" s="141"/>
      <c r="E275" s="141"/>
      <c r="F275" s="141"/>
      <c r="G275" s="141">
        <v>1</v>
      </c>
      <c r="H275" s="141"/>
      <c r="I275" s="141">
        <v>1</v>
      </c>
      <c r="J275" s="141"/>
      <c r="K275" s="803" t="s">
        <v>392</v>
      </c>
      <c r="L275" s="216"/>
      <c r="M275" s="216"/>
      <c r="N275" s="141">
        <v>1</v>
      </c>
      <c r="O275" s="141">
        <v>1</v>
      </c>
      <c r="P275" s="141">
        <v>1</v>
      </c>
      <c r="Q275" s="141">
        <v>1</v>
      </c>
      <c r="R275" s="141">
        <v>1</v>
      </c>
      <c r="S275" s="141">
        <v>1</v>
      </c>
      <c r="T275" s="216"/>
      <c r="U275" s="141"/>
      <c r="V275" s="216"/>
      <c r="W275" s="216"/>
      <c r="X275" s="994"/>
      <c r="Y275" s="992"/>
      <c r="Z275" s="992">
        <f>IF(AND(G273&lt;=$AA$79,I273&gt;$AA$79,I273&lt;=$AA$83),2,0)</f>
        <v>0</v>
      </c>
      <c r="AA275" s="992" t="s">
        <v>559</v>
      </c>
      <c r="AB275" s="992" t="s">
        <v>560</v>
      </c>
      <c r="AC275" s="994"/>
    </row>
    <row r="276" spans="1:31" hidden="1" outlineLevel="1" x14ac:dyDescent="0.2">
      <c r="A276" s="141"/>
      <c r="B276" s="141"/>
      <c r="C276" s="803"/>
      <c r="D276" s="141"/>
      <c r="E276" s="141"/>
      <c r="F276" s="141"/>
      <c r="G276" s="141">
        <f>DAY(G273)</f>
        <v>0</v>
      </c>
      <c r="H276" s="141"/>
      <c r="I276" s="141">
        <f>DAY(I273)</f>
        <v>0</v>
      </c>
      <c r="J276" s="141"/>
      <c r="K276" s="803" t="s">
        <v>393</v>
      </c>
      <c r="L276" s="216"/>
      <c r="M276" s="216"/>
      <c r="N276" s="141" t="b">
        <f t="shared" ref="N276:O276" si="53">IF(NOT(N271="n/a"),DAY(N271))</f>
        <v>0</v>
      </c>
      <c r="O276" s="141" t="b">
        <f t="shared" si="53"/>
        <v>0</v>
      </c>
      <c r="P276" s="141" t="b">
        <f>IF(NOT(P271="n/a"),DAY(P271))</f>
        <v>0</v>
      </c>
      <c r="Q276" s="141" t="b">
        <f>IF(NOT(Q271="n/a"),DAY(Q271))</f>
        <v>0</v>
      </c>
      <c r="R276" s="141" t="b">
        <f>IF(NOT(R271="n/a"),DAY(R271))</f>
        <v>0</v>
      </c>
      <c r="S276" s="141" t="b">
        <f>IF(NOT(S271="n/a"),DAY(S271))</f>
        <v>0</v>
      </c>
      <c r="T276" s="216"/>
      <c r="U276" s="141"/>
      <c r="V276" s="216"/>
      <c r="W276" s="216"/>
      <c r="X276" s="994"/>
      <c r="Y276" s="992"/>
      <c r="Z276" s="994">
        <f>IF(AND(G273&lt;$AA$79,I273&gt;$AA$83,I273&lt;=$AA$86),3,0)</f>
        <v>0</v>
      </c>
      <c r="AA276" s="992" t="s">
        <v>562</v>
      </c>
      <c r="AB276" s="994" t="s">
        <v>563</v>
      </c>
      <c r="AC276" s="994"/>
      <c r="AD276" s="1109" t="s">
        <v>617</v>
      </c>
      <c r="AE276" s="1109" t="s">
        <v>719</v>
      </c>
    </row>
    <row r="277" spans="1:31" hidden="1" outlineLevel="1" x14ac:dyDescent="0.2">
      <c r="A277" s="141"/>
      <c r="B277" s="141"/>
      <c r="C277" s="803"/>
      <c r="D277" s="141"/>
      <c r="E277" s="141"/>
      <c r="F277" s="141"/>
      <c r="G277" s="516" t="str">
        <f>IF(G276=G275,"No","Yes")</f>
        <v>Yes</v>
      </c>
      <c r="H277" s="141"/>
      <c r="I277" s="516" t="str">
        <f>IF(I276=I274,"No","Yes")</f>
        <v>Yes</v>
      </c>
      <c r="J277" s="141"/>
      <c r="K277" s="803" t="s">
        <v>394</v>
      </c>
      <c r="L277" s="216"/>
      <c r="M277" s="216"/>
      <c r="N277" s="516" t="str">
        <f>IF(N276=N275,"No","Yes")</f>
        <v>Yes</v>
      </c>
      <c r="O277" s="516" t="str">
        <f>IF(O276=O274,"No","Yes")</f>
        <v>Yes</v>
      </c>
      <c r="P277" s="516" t="str">
        <f>IF(P276=P275,"No","Yes")</f>
        <v>Yes</v>
      </c>
      <c r="Q277" s="516" t="str">
        <f>IF(Q276=Q274,"No","Yes")</f>
        <v>Yes</v>
      </c>
      <c r="R277" s="516" t="str">
        <f>IF(R276=R275,"No","Yes")</f>
        <v>Yes</v>
      </c>
      <c r="S277" s="516" t="str">
        <f>IF(S276=S274,"No","Yes")</f>
        <v>Yes</v>
      </c>
      <c r="T277" s="216"/>
      <c r="U277" s="216"/>
      <c r="V277" s="216"/>
      <c r="W277" s="216"/>
      <c r="X277" s="994"/>
      <c r="Y277" s="992"/>
      <c r="Z277" s="992">
        <f>IF(AND(G273&gt;=$AA$81,I273&lt;=$AA$83),4,0)</f>
        <v>4</v>
      </c>
      <c r="AA277" s="992" t="s">
        <v>565</v>
      </c>
      <c r="AB277" s="994" t="s">
        <v>566</v>
      </c>
      <c r="AC277" s="994"/>
      <c r="AD277" s="994">
        <f>IF(OR(G273&lt;$L$18,G273&gt;$L$20),1,0)</f>
        <v>0</v>
      </c>
      <c r="AE277" s="994" t="s">
        <v>618</v>
      </c>
    </row>
    <row r="278" spans="1:31" hidden="1" outlineLevel="1" x14ac:dyDescent="0.2">
      <c r="A278" s="141"/>
      <c r="B278" s="141"/>
      <c r="C278" s="803"/>
      <c r="D278" s="141"/>
      <c r="E278" s="141"/>
      <c r="F278" s="141"/>
      <c r="G278" s="219"/>
      <c r="H278" s="141"/>
      <c r="I278" s="219"/>
      <c r="J278" s="141"/>
      <c r="K278" s="803"/>
      <c r="L278" s="216"/>
      <c r="M278" s="216"/>
      <c r="N278" s="34"/>
      <c r="O278" s="34"/>
      <c r="P278" s="34"/>
      <c r="R278" s="34"/>
      <c r="S278" s="34"/>
      <c r="T278" s="216"/>
      <c r="U278" s="216"/>
      <c r="V278" s="216"/>
      <c r="W278" s="216"/>
      <c r="X278" s="994"/>
      <c r="Y278" s="992"/>
      <c r="Z278" s="992">
        <f>IF(AND(G273&gt;=$AA$81,G273&lt;=$AA$83,I273&gt;$AA$85),5,0)</f>
        <v>0</v>
      </c>
      <c r="AA278" s="992" t="s">
        <v>568</v>
      </c>
      <c r="AB278" s="994" t="s">
        <v>569</v>
      </c>
      <c r="AC278" s="994"/>
      <c r="AD278" s="994">
        <f>IF(OR(I273&lt;$L$18,I273&gt;$L$20),1,0)</f>
        <v>0</v>
      </c>
      <c r="AE278" s="994" t="s">
        <v>705</v>
      </c>
    </row>
    <row r="279" spans="1:31" hidden="1" outlineLevel="1" x14ac:dyDescent="0.2">
      <c r="A279" s="141"/>
      <c r="B279" s="141"/>
      <c r="C279" s="803"/>
      <c r="D279" s="141"/>
      <c r="E279" s="141"/>
      <c r="F279" s="141"/>
      <c r="G279" s="518">
        <f>EOMONTH(G273,0)</f>
        <v>31</v>
      </c>
      <c r="H279" s="141"/>
      <c r="I279" s="518">
        <f>EOMONTH(I273,0)</f>
        <v>31</v>
      </c>
      <c r="J279" s="141"/>
      <c r="K279" s="803" t="s">
        <v>395</v>
      </c>
      <c r="L279" s="216"/>
      <c r="M279" s="216"/>
      <c r="N279" s="518" t="b">
        <f t="shared" ref="N279:S279" si="54">IF(NOT(N271="n/a"),EOMONTH(N271,0))</f>
        <v>0</v>
      </c>
      <c r="O279" s="518" t="b">
        <f t="shared" si="54"/>
        <v>0</v>
      </c>
      <c r="P279" s="518" t="b">
        <f t="shared" si="54"/>
        <v>0</v>
      </c>
      <c r="Q279" s="518" t="b">
        <f t="shared" si="54"/>
        <v>0</v>
      </c>
      <c r="R279" s="518" t="b">
        <f t="shared" si="54"/>
        <v>0</v>
      </c>
      <c r="S279" s="518" t="b">
        <f t="shared" si="54"/>
        <v>0</v>
      </c>
      <c r="T279" s="216"/>
      <c r="U279" s="216"/>
      <c r="V279" s="216"/>
      <c r="W279" s="216"/>
      <c r="X279" s="994"/>
      <c r="Y279" s="992"/>
      <c r="Z279" s="1111">
        <f>IF(AND(G273&gt;=$AA$85,I273&lt;=$AA$86),6,0)</f>
        <v>6</v>
      </c>
      <c r="AA279" s="992" t="s">
        <v>571</v>
      </c>
      <c r="AB279" s="994" t="s">
        <v>572</v>
      </c>
      <c r="AC279" s="994"/>
      <c r="AD279" s="994"/>
      <c r="AE279" s="994"/>
    </row>
    <row r="280" spans="1:31" ht="13.5" hidden="1" outlineLevel="1" thickBot="1" x14ac:dyDescent="0.25">
      <c r="A280" s="141"/>
      <c r="B280" s="141"/>
      <c r="C280" s="803"/>
      <c r="D280" s="141"/>
      <c r="E280" s="141"/>
      <c r="F280" s="141"/>
      <c r="G280" s="141">
        <f>DAY(G279)</f>
        <v>31</v>
      </c>
      <c r="H280" s="141"/>
      <c r="I280" s="141">
        <f>DAY(I279)</f>
        <v>31</v>
      </c>
      <c r="J280" s="141"/>
      <c r="K280" s="803" t="s">
        <v>396</v>
      </c>
      <c r="L280" s="216"/>
      <c r="M280" s="216"/>
      <c r="N280" s="141">
        <f>DAY(N279)</f>
        <v>0</v>
      </c>
      <c r="O280" s="141">
        <f>DAY(O279)</f>
        <v>0</v>
      </c>
      <c r="P280" s="141">
        <f t="shared" ref="P280:S280" si="55">DAY(P279)</f>
        <v>0</v>
      </c>
      <c r="Q280" s="141">
        <f t="shared" si="55"/>
        <v>0</v>
      </c>
      <c r="R280" s="141">
        <f t="shared" si="55"/>
        <v>0</v>
      </c>
      <c r="S280" s="141">
        <f t="shared" si="55"/>
        <v>0</v>
      </c>
      <c r="T280" s="216"/>
      <c r="U280" s="216"/>
      <c r="V280" s="216"/>
      <c r="W280" s="216"/>
      <c r="X280" s="994"/>
      <c r="Y280" s="992"/>
      <c r="Z280" s="1112">
        <f>IF(AND(NOT(G273=0),NOT(I273=0)),SUM(Z274:Z279),0)</f>
        <v>0</v>
      </c>
      <c r="AA280" s="992" t="s">
        <v>601</v>
      </c>
      <c r="AC280" s="994"/>
      <c r="AD280" s="1112">
        <f>IF(AND(G273&gt;0,I273&gt;0),SUM(AD277:AD279),0)</f>
        <v>0</v>
      </c>
      <c r="AE280" s="994" t="s">
        <v>620</v>
      </c>
    </row>
    <row r="281" spans="1:31" hidden="1" outlineLevel="1" x14ac:dyDescent="0.2">
      <c r="A281" s="141"/>
      <c r="B281" s="141"/>
      <c r="C281" s="803"/>
      <c r="D281" s="141"/>
      <c r="E281" s="141"/>
      <c r="F281" s="141"/>
      <c r="G281" s="520">
        <f>G279-G273+1</f>
        <v>32</v>
      </c>
      <c r="H281" s="141"/>
      <c r="I281" s="520">
        <f>I279-I273</f>
        <v>31</v>
      </c>
      <c r="J281" s="141"/>
      <c r="K281" s="803" t="s">
        <v>628</v>
      </c>
      <c r="L281" s="216"/>
      <c r="M281" s="216"/>
      <c r="N281" s="520" t="b">
        <f>IF(NOT(N271="n/a"),N279-N271+1)</f>
        <v>0</v>
      </c>
      <c r="O281" s="520" t="b">
        <f>IF(NOT(O271="n/a"),O279-O271)</f>
        <v>0</v>
      </c>
      <c r="P281" s="520" t="b">
        <f>IF(NOT(P271="n/a"),P279-P271+1)</f>
        <v>0</v>
      </c>
      <c r="Q281" s="520" t="b">
        <f>IF(NOT(Q271="n/a"),Q279-Q271)</f>
        <v>0</v>
      </c>
      <c r="R281" s="520" t="b">
        <f>IF(NOT(R271="n/a"),R279-R271+1)</f>
        <v>0</v>
      </c>
      <c r="S281" s="520" t="b">
        <f>IF(NOT(S271="n/a"),S279-S271)</f>
        <v>0</v>
      </c>
      <c r="T281" s="216"/>
      <c r="U281" s="216"/>
      <c r="V281" s="216"/>
      <c r="W281" s="216"/>
      <c r="X281" s="994"/>
      <c r="Y281" s="992"/>
      <c r="AC281" s="994"/>
      <c r="AD281" s="994"/>
      <c r="AE281" s="994"/>
    </row>
    <row r="282" spans="1:31" hidden="1" outlineLevel="1" x14ac:dyDescent="0.2">
      <c r="A282" s="141"/>
      <c r="B282" s="141"/>
      <c r="C282" s="803"/>
      <c r="D282" s="141"/>
      <c r="E282" s="141"/>
      <c r="F282" s="141"/>
      <c r="G282" s="141">
        <f>G280-G281</f>
        <v>-1</v>
      </c>
      <c r="H282" s="141"/>
      <c r="I282" s="141">
        <f>I280-I281</f>
        <v>0</v>
      </c>
      <c r="J282" s="141"/>
      <c r="K282" s="803" t="s">
        <v>397</v>
      </c>
      <c r="L282" s="216"/>
      <c r="M282" s="216"/>
      <c r="N282" s="141">
        <f t="shared" ref="N282:S282" si="56">N280-N281</f>
        <v>0</v>
      </c>
      <c r="O282" s="141">
        <f t="shared" si="56"/>
        <v>0</v>
      </c>
      <c r="P282" s="141">
        <f t="shared" si="56"/>
        <v>0</v>
      </c>
      <c r="Q282" s="141">
        <f t="shared" si="56"/>
        <v>0</v>
      </c>
      <c r="R282" s="141">
        <f t="shared" si="56"/>
        <v>0</v>
      </c>
      <c r="S282" s="141">
        <f t="shared" si="56"/>
        <v>0</v>
      </c>
      <c r="T282" s="216"/>
      <c r="U282" s="216"/>
      <c r="V282" s="216"/>
      <c r="W282" s="216"/>
      <c r="X282" s="994"/>
      <c r="Y282" s="992"/>
      <c r="AC282" s="994"/>
      <c r="AD282" s="994"/>
      <c r="AE282" s="994"/>
    </row>
    <row r="283" spans="1:31" hidden="1" outlineLevel="1" x14ac:dyDescent="0.2">
      <c r="A283" s="141"/>
      <c r="B283" s="141"/>
      <c r="C283" s="803"/>
      <c r="D283" s="141"/>
      <c r="E283" s="141"/>
      <c r="F283" s="141"/>
      <c r="G283" s="718">
        <f>IF(G277="Yes",ROUND(G281/G280,6),0)</f>
        <v>1.0322579999999999</v>
      </c>
      <c r="H283" s="719"/>
      <c r="I283" s="718">
        <f>IF(I277="Yes",ROUND(I282/I280,6),0)</f>
        <v>0</v>
      </c>
      <c r="J283" s="589"/>
      <c r="K283" s="803" t="s">
        <v>398</v>
      </c>
      <c r="L283" s="216"/>
      <c r="M283" s="216"/>
      <c r="N283" s="716">
        <f>IF(ISERROR(IF(N277="Yes",ROUND(N281/N280,6),0)),0,IF(N277="Yes",ROUND(N281/N280,6),0))</f>
        <v>0</v>
      </c>
      <c r="O283" s="716">
        <f>IF(ISERROR(IF(O277="Yes",ROUND(O282/O280,6),0)),0,IF(O277="Yes",ROUND(O282/O280,6),0))</f>
        <v>0</v>
      </c>
      <c r="P283" s="716">
        <f>IF(ISERROR(IF(P277="Yes",ROUND(P281/P280,6),0)),0,IF(P277="Yes",ROUND(P281/P280,6),0))</f>
        <v>0</v>
      </c>
      <c r="Q283" s="716">
        <f>IF(ISERROR(IF(Q277="Yes",ROUND(Q282/Q280,6),0)),0,IF(Q277="Yes",ROUND(Q282/Q280,6),0))</f>
        <v>0</v>
      </c>
      <c r="R283" s="716">
        <f>IF(ISERROR(IF(R277="Yes",ROUND(R281/R280,6),0)),0,IF(R277="Yes",ROUND(R281/R280,6),0))</f>
        <v>0</v>
      </c>
      <c r="S283" s="716">
        <f>IF(ISERROR(IF(S277="Yes",ROUND(S282/S280,6),0)),0,IF(S277="Yes",ROUND(S282/S280,6),0))</f>
        <v>0</v>
      </c>
      <c r="T283" s="216"/>
      <c r="U283" s="216"/>
      <c r="V283" s="216"/>
      <c r="W283" s="216"/>
      <c r="X283" s="994"/>
      <c r="Y283" s="992"/>
      <c r="AA283" s="994" t="s">
        <v>556</v>
      </c>
      <c r="AB283" s="994" t="s">
        <v>575</v>
      </c>
      <c r="AC283" s="994"/>
      <c r="AD283" s="994"/>
      <c r="AE283" s="994"/>
    </row>
    <row r="284" spans="1:31" ht="13.5" hidden="1" outlineLevel="1" thickBot="1" x14ac:dyDescent="0.25">
      <c r="A284" s="141"/>
      <c r="B284" s="141"/>
      <c r="C284" s="803"/>
      <c r="D284" s="141"/>
      <c r="E284" s="141"/>
      <c r="F284" s="141"/>
      <c r="G284" s="592">
        <f>IF(G286="Yes",0,ROUND(ROUND(K273,2)*G283,2))</f>
        <v>0</v>
      </c>
      <c r="H284" s="141"/>
      <c r="I284" s="592">
        <f>IF(G286="Yes",0,ROUND(ROUND(K273,2)*I283,2))</f>
        <v>0</v>
      </c>
      <c r="J284" s="141"/>
      <c r="K284" s="803" t="s">
        <v>409</v>
      </c>
      <c r="L284" s="216"/>
      <c r="M284" s="216"/>
      <c r="N284" s="546">
        <f>IF(N286="yes",0,ROUND(N283*E270,0))</f>
        <v>0</v>
      </c>
      <c r="O284" s="546">
        <f>IF(N286="yes",0,ROUND(O283*E270,0))</f>
        <v>0</v>
      </c>
      <c r="P284" s="546">
        <f>IF(P286="yes",0,ROUND(P283*E270,0))</f>
        <v>0</v>
      </c>
      <c r="Q284" s="546">
        <f>IF(P286="yes",0,ROUND(Q283*E270,0))</f>
        <v>0</v>
      </c>
      <c r="R284" s="546">
        <f>IF(R286="yes",0,ROUND(R283*E270,0))</f>
        <v>0</v>
      </c>
      <c r="S284" s="546">
        <f>IF(R286="yes",0,ROUND(S283*E270,0))</f>
        <v>0</v>
      </c>
      <c r="T284" s="216"/>
      <c r="U284" s="216"/>
      <c r="V284" s="216"/>
      <c r="W284" s="216"/>
      <c r="X284" s="994"/>
      <c r="Y284" s="992"/>
      <c r="AA284" s="994" t="s">
        <v>565</v>
      </c>
      <c r="AB284" s="994" t="s">
        <v>576</v>
      </c>
      <c r="AC284" s="994"/>
      <c r="AD284" s="994"/>
      <c r="AE284" s="994"/>
    </row>
    <row r="285" spans="1:31" ht="13.5" hidden="1" outlineLevel="1" thickTop="1" x14ac:dyDescent="0.2">
      <c r="A285" s="141"/>
      <c r="B285" s="141"/>
      <c r="C285" s="803"/>
      <c r="D285" s="141"/>
      <c r="E285" s="141"/>
      <c r="F285" s="141"/>
      <c r="G285" s="141"/>
      <c r="H285" s="141"/>
      <c r="I285" s="141"/>
      <c r="J285" s="141"/>
      <c r="K285" s="803"/>
      <c r="L285" s="216"/>
      <c r="M285" s="216"/>
      <c r="N285" s="216"/>
      <c r="O285" s="216"/>
      <c r="P285" s="216"/>
      <c r="Q285" s="141"/>
      <c r="R285" s="216"/>
      <c r="S285" s="141"/>
      <c r="T285" s="216"/>
      <c r="U285" s="216"/>
      <c r="V285" s="216"/>
      <c r="W285" s="216"/>
      <c r="X285" s="994"/>
      <c r="Y285" s="992"/>
      <c r="AA285" s="994" t="s">
        <v>571</v>
      </c>
      <c r="AB285" s="994" t="s">
        <v>577</v>
      </c>
      <c r="AC285" s="994"/>
      <c r="AD285" s="994"/>
      <c r="AE285" s="994"/>
    </row>
    <row r="286" spans="1:31" hidden="1" outlineLevel="1" x14ac:dyDescent="0.2">
      <c r="A286" s="141"/>
      <c r="B286" s="141"/>
      <c r="C286" s="803"/>
      <c r="D286" s="141"/>
      <c r="E286" s="141"/>
      <c r="F286" s="141"/>
      <c r="G286" s="542" t="str">
        <f>IF(AND(YEAR(G273)=YEAR(I273),MONTH(G273)=MONTH(I273),G277="YES",I277="YES"),"YES","NO")</f>
        <v>YES</v>
      </c>
      <c r="H286" s="141"/>
      <c r="I286" s="141"/>
      <c r="J286" s="141"/>
      <c r="K286" s="803" t="s">
        <v>410</v>
      </c>
      <c r="L286" s="216"/>
      <c r="M286" s="216"/>
      <c r="N286" s="544" t="str">
        <f>IF(N271="n/a","NO",IF(AND(YEAR(N271)=YEAR(O271),MONTH(N271)=MONTH(O271),N277="YES",O277="YES"),"YES","NO"))</f>
        <v>NO</v>
      </c>
      <c r="O286" s="510"/>
      <c r="P286" s="544" t="str">
        <f>IF(P271="n/a","NO",IF(AND(YEAR(P271)=YEAR(Q271),MONTH(P271)=MONTH(Q271),P277="YES",Q277="YES"),"YES","NO"))</f>
        <v>NO</v>
      </c>
      <c r="Q286" s="141"/>
      <c r="R286" s="544" t="str">
        <f>IF(R271="n/a","NO",IF(AND(YEAR(R271)=YEAR(S271),MONTH(R271)=MONTH(S271),R277="YES",S277="YES"),"YES","NO"))</f>
        <v>NO</v>
      </c>
      <c r="S286" s="141"/>
      <c r="T286" s="216"/>
      <c r="U286" s="216"/>
      <c r="V286" s="216"/>
      <c r="W286" s="216"/>
      <c r="X286" s="994"/>
      <c r="Y286" s="992"/>
    </row>
    <row r="287" spans="1:31" hidden="1" outlineLevel="1" x14ac:dyDescent="0.2">
      <c r="A287" s="141"/>
      <c r="B287" s="141"/>
      <c r="C287" s="803"/>
      <c r="D287" s="141"/>
      <c r="E287" s="141"/>
      <c r="F287" s="141"/>
      <c r="G287" s="141">
        <f>IF(G286="yes",I273-G273+1,0)</f>
        <v>1</v>
      </c>
      <c r="H287" s="141"/>
      <c r="I287" s="141"/>
      <c r="J287" s="141"/>
      <c r="K287" s="803" t="s">
        <v>411</v>
      </c>
      <c r="L287" s="216"/>
      <c r="M287" s="216"/>
      <c r="N287" s="141">
        <f>IF(N286="yes",O271-N271+1,0)</f>
        <v>0</v>
      </c>
      <c r="O287" s="510"/>
      <c r="P287" s="141">
        <f>IF(P286="yes",Q271-P271+1,0)</f>
        <v>0</v>
      </c>
      <c r="Q287" s="141"/>
      <c r="R287" s="141">
        <f>IF(R286="yes",S271-R271+1,0)</f>
        <v>0</v>
      </c>
      <c r="S287" s="141"/>
      <c r="T287" s="216"/>
      <c r="U287" s="216"/>
      <c r="V287" s="216"/>
      <c r="W287" s="216"/>
      <c r="X287" s="994"/>
      <c r="Y287" s="992"/>
    </row>
    <row r="288" spans="1:31" hidden="1" outlineLevel="1" x14ac:dyDescent="0.2">
      <c r="A288" s="141"/>
      <c r="B288" s="141"/>
      <c r="C288" s="803"/>
      <c r="D288" s="141"/>
      <c r="E288" s="141"/>
      <c r="F288" s="141"/>
      <c r="G288" s="717">
        <f>ROUND(G287/G280,6)</f>
        <v>3.2258000000000002E-2</v>
      </c>
      <c r="H288" s="141"/>
      <c r="I288" s="141"/>
      <c r="J288" s="141"/>
      <c r="K288" s="803" t="s">
        <v>398</v>
      </c>
      <c r="L288" s="216"/>
      <c r="M288" s="216"/>
      <c r="N288" s="717">
        <f>IF(ISERROR(ROUND(N287/N280,6)),0,ROUND(N287/N280,6))</f>
        <v>0</v>
      </c>
      <c r="O288" s="543"/>
      <c r="P288" s="717">
        <f>IF(ISERROR(ROUND(P287/P280,6)),0,ROUND(P287/P280,6))</f>
        <v>0</v>
      </c>
      <c r="Q288" s="520"/>
      <c r="R288" s="717">
        <f>IF(ISERROR(ROUND(R287/R280,6)),0,ROUND(R287/R280,6))</f>
        <v>0</v>
      </c>
      <c r="S288" s="141"/>
      <c r="T288" s="216"/>
      <c r="U288" s="216"/>
      <c r="V288" s="216"/>
      <c r="W288" s="216"/>
      <c r="X288" s="994"/>
      <c r="Y288" s="992"/>
    </row>
    <row r="289" spans="1:27" hidden="1" outlineLevel="1" x14ac:dyDescent="0.2">
      <c r="A289" s="141"/>
      <c r="B289" s="141"/>
      <c r="C289" s="803"/>
      <c r="D289" s="141"/>
      <c r="E289" s="141"/>
      <c r="F289" s="141"/>
      <c r="G289" s="540">
        <f>ROUND(IF(NOT(G273=0),G288*ROUND(K273,2),0),2)</f>
        <v>0</v>
      </c>
      <c r="H289" s="141"/>
      <c r="I289" s="141"/>
      <c r="J289" s="141"/>
      <c r="K289" s="803" t="s">
        <v>413</v>
      </c>
      <c r="L289" s="216"/>
      <c r="M289" s="216"/>
      <c r="N289" s="510">
        <f>IF(NOT(N271=0),ROUND(N288*E270,0),0)</f>
        <v>0</v>
      </c>
      <c r="O289" s="510"/>
      <c r="P289" s="510">
        <f>IF(NOT(P271=0),ROUND(P288*E270,0),0)</f>
        <v>0</v>
      </c>
      <c r="Q289" s="141"/>
      <c r="R289" s="510">
        <f>IF(NOT(R271=0),ROUND(R288*E270,0),0)</f>
        <v>0</v>
      </c>
      <c r="S289" s="141"/>
      <c r="T289" s="216"/>
      <c r="U289" s="216"/>
      <c r="V289" s="216"/>
      <c r="W289" s="216"/>
      <c r="X289" s="994"/>
      <c r="Y289" s="992"/>
    </row>
    <row r="290" spans="1:27" hidden="1" outlineLevel="1" x14ac:dyDescent="0.2">
      <c r="A290" s="141"/>
      <c r="B290" s="141"/>
      <c r="C290" s="141"/>
      <c r="D290" s="141"/>
      <c r="E290" s="141"/>
      <c r="F290" s="141"/>
      <c r="G290" s="141"/>
      <c r="H290" s="141"/>
      <c r="I290" s="141"/>
      <c r="J290" s="141"/>
      <c r="K290" s="141"/>
      <c r="L290" s="216"/>
      <c r="M290" s="216"/>
      <c r="N290" s="216"/>
      <c r="O290" s="216"/>
      <c r="P290" s="216"/>
      <c r="Q290" s="141"/>
      <c r="R290" s="216"/>
      <c r="S290" s="141"/>
      <c r="T290" s="216"/>
      <c r="U290" s="216"/>
      <c r="V290" s="216"/>
      <c r="W290" s="216"/>
      <c r="X290" s="994"/>
      <c r="Y290" s="992"/>
    </row>
    <row r="291" spans="1:27" hidden="1" outlineLevel="1" x14ac:dyDescent="0.2">
      <c r="A291" s="141"/>
      <c r="B291" s="141"/>
      <c r="C291" s="141"/>
      <c r="D291" s="141"/>
      <c r="E291" s="141"/>
      <c r="F291" s="141"/>
      <c r="G291" s="716">
        <f>IF(G286="No",G283,G288)</f>
        <v>3.2258000000000002E-2</v>
      </c>
      <c r="H291" s="721"/>
      <c r="I291" s="716">
        <f>IF(G286="No",I283,0)</f>
        <v>0</v>
      </c>
      <c r="J291" s="141"/>
      <c r="K291" s="141" t="s">
        <v>492</v>
      </c>
      <c r="L291" s="216"/>
      <c r="M291" s="216"/>
      <c r="N291" s="716">
        <f>IF(N286="No",N283,N288)</f>
        <v>0</v>
      </c>
      <c r="O291" s="718">
        <f>IF(N286="No",O283,0)</f>
        <v>0</v>
      </c>
      <c r="P291" s="716">
        <f>IF(P286="No",P283,P288)</f>
        <v>0</v>
      </c>
      <c r="Q291" s="718">
        <f>IF(P286="No",Q283,0)</f>
        <v>0</v>
      </c>
      <c r="R291" s="716">
        <f>IF(R286="No",R283,R288)</f>
        <v>0</v>
      </c>
      <c r="S291" s="718">
        <f>IF(R286="No",S283,0)</f>
        <v>0</v>
      </c>
      <c r="T291" s="216"/>
      <c r="U291" s="216"/>
      <c r="V291" s="216"/>
      <c r="W291" s="216"/>
      <c r="X291" s="994"/>
      <c r="Y291" s="992"/>
    </row>
    <row r="292" spans="1:27" ht="13.5" hidden="1" outlineLevel="1" thickBot="1" x14ac:dyDescent="0.25">
      <c r="A292" s="141"/>
      <c r="B292" s="141"/>
      <c r="C292" s="141"/>
      <c r="D292" s="141"/>
      <c r="E292" s="141"/>
      <c r="F292" s="141"/>
      <c r="G292" s="603"/>
      <c r="H292" s="520"/>
      <c r="I292" s="603"/>
      <c r="J292" s="520"/>
      <c r="K292" s="141"/>
      <c r="L292" s="216"/>
      <c r="M292" s="516" t="s">
        <v>412</v>
      </c>
      <c r="N292" s="602">
        <f>N284+N289</f>
        <v>0</v>
      </c>
      <c r="O292" s="602">
        <f t="shared" ref="O292:Q292" si="57">O284+O289</f>
        <v>0</v>
      </c>
      <c r="P292" s="602">
        <f>P284+P289</f>
        <v>0</v>
      </c>
      <c r="Q292" s="602">
        <f t="shared" si="57"/>
        <v>0</v>
      </c>
      <c r="R292" s="602">
        <f>R284+R289</f>
        <v>0</v>
      </c>
      <c r="S292" s="602">
        <f>S284+S289</f>
        <v>0</v>
      </c>
      <c r="T292" s="216"/>
      <c r="U292" s="216"/>
      <c r="V292" s="216"/>
      <c r="W292" s="216"/>
      <c r="X292" s="994"/>
      <c r="Y292" s="992"/>
    </row>
    <row r="293" spans="1:27" ht="13.5" collapsed="1" thickBot="1" x14ac:dyDescent="0.25">
      <c r="A293" s="141"/>
      <c r="B293" s="141"/>
      <c r="C293" s="141"/>
      <c r="D293" s="141"/>
      <c r="E293" s="141"/>
      <c r="F293" s="141"/>
      <c r="G293" s="1663">
        <f>G284+G289</f>
        <v>0</v>
      </c>
      <c r="H293" s="1663"/>
      <c r="I293" s="1663">
        <f>I284+I289</f>
        <v>0</v>
      </c>
      <c r="J293" s="1663"/>
      <c r="K293" s="832" t="s">
        <v>399</v>
      </c>
      <c r="L293" s="216"/>
      <c r="M293" s="216"/>
      <c r="N293" s="141"/>
      <c r="O293" s="216"/>
      <c r="P293" s="216"/>
      <c r="Q293" s="141"/>
      <c r="R293" s="219"/>
      <c r="S293" s="219"/>
      <c r="T293" s="216"/>
      <c r="U293" s="216"/>
      <c r="V293" s="216"/>
      <c r="W293" s="216"/>
      <c r="X293" s="994"/>
      <c r="Y293" s="992"/>
    </row>
    <row r="294" spans="1:27" ht="15.75" thickTop="1" x14ac:dyDescent="0.25">
      <c r="A294" s="141"/>
      <c r="B294" s="141"/>
      <c r="C294" s="141"/>
      <c r="D294" s="141"/>
      <c r="E294" s="141"/>
      <c r="F294" s="141"/>
      <c r="G294" s="842" t="str">
        <f>IF($AD280&gt;0,"ERROR ALERT:  The date range in your service start/end dates is NOT consistent with the OTO start/end dates ('OTO Terms' above), please check your dates and re-enter.","")</f>
        <v/>
      </c>
      <c r="H294" s="801"/>
      <c r="I294" s="801"/>
      <c r="J294" s="801"/>
      <c r="K294" s="803"/>
      <c r="L294" s="216"/>
      <c r="M294" s="216"/>
      <c r="N294" s="141"/>
      <c r="O294" s="216"/>
      <c r="P294" s="216"/>
      <c r="Q294" s="141"/>
      <c r="R294" s="219"/>
      <c r="S294" s="219"/>
      <c r="T294" s="216"/>
      <c r="U294" s="216"/>
      <c r="V294" s="216"/>
      <c r="W294" s="216"/>
      <c r="X294" s="994"/>
      <c r="Y294" s="992"/>
    </row>
    <row r="295" spans="1:27" ht="15" x14ac:dyDescent="0.25">
      <c r="B295" s="210" t="s">
        <v>680</v>
      </c>
      <c r="R295" s="254"/>
      <c r="S295" s="254"/>
    </row>
    <row r="296" spans="1:27" x14ac:dyDescent="0.2">
      <c r="R296" s="1660" t="s">
        <v>547</v>
      </c>
      <c r="S296" s="1660"/>
    </row>
    <row r="297" spans="1:27" hidden="1" outlineLevel="1" x14ac:dyDescent="0.2">
      <c r="A297" s="141"/>
      <c r="B297" s="141" t="s">
        <v>493</v>
      </c>
      <c r="C297" s="141"/>
      <c r="D297" s="597">
        <f>IF(NOT(G306=0),IF(G319="NO",(YEAR(I306)-YEAR(G306))*12+MONTH(I306)-MONTH(G306)+IF(G310="no",1,0)+IF(I310="yes",-1,0),0),0)</f>
        <v>0</v>
      </c>
      <c r="E297" s="141"/>
      <c r="F297" s="141"/>
      <c r="G297" s="141"/>
      <c r="H297" s="141"/>
      <c r="I297" s="141"/>
      <c r="J297" s="141"/>
      <c r="K297" s="141"/>
      <c r="L297" s="141"/>
      <c r="M297" s="516" t="s">
        <v>493</v>
      </c>
      <c r="N297" s="597">
        <f>IF(NOT(N304="n/a"),(YEAR(O304)-YEAR(N304))*12+MONTH(O304)-MONTH(N304)+IF(N310="no",1,0)+IF(O310="yes",-1,0),0)</f>
        <v>0</v>
      </c>
      <c r="O297" s="254"/>
      <c r="P297" s="597">
        <f>IF(NOT(P304="n/a"),(YEAR(Q304)-YEAR(P304))*12+MONTH(Q304)-MONTH(P304)+IF(P310="no",1,0)+IF(Q310="yes",-1,0),0)</f>
        <v>0</v>
      </c>
      <c r="Q297" s="141"/>
      <c r="R297" s="597">
        <f>IF(NOT(R304="n/a"),(YEAR(S304)-YEAR(R304))*12+MONTH(S304)-MONTH(R304)+IF(R310="no",1,0)+IF(S310="yes",-1,0),0)</f>
        <v>0</v>
      </c>
      <c r="S297" s="202"/>
      <c r="T297" s="216"/>
      <c r="U297" s="141"/>
      <c r="V297" s="216"/>
      <c r="W297" s="216"/>
      <c r="X297" s="994"/>
      <c r="Y297" s="992"/>
    </row>
    <row r="298" spans="1:27" hidden="1" outlineLevel="1" x14ac:dyDescent="0.2">
      <c r="A298" s="141"/>
      <c r="B298" s="141" t="s">
        <v>494</v>
      </c>
      <c r="C298" s="141"/>
      <c r="D298" s="598">
        <f>IF(NOT(G306=0),G324,0)</f>
        <v>0</v>
      </c>
      <c r="E298" s="141"/>
      <c r="F298" s="141"/>
      <c r="G298" s="141"/>
      <c r="H298" s="141"/>
      <c r="I298" s="141"/>
      <c r="J298" s="141"/>
      <c r="K298" s="141"/>
      <c r="L298" s="141"/>
      <c r="M298" s="516" t="s">
        <v>494</v>
      </c>
      <c r="N298" s="598">
        <f>N324</f>
        <v>0</v>
      </c>
      <c r="O298" s="216"/>
      <c r="P298" s="598">
        <f>P324</f>
        <v>0</v>
      </c>
      <c r="Q298" s="141"/>
      <c r="R298" s="598">
        <f>R324</f>
        <v>0</v>
      </c>
      <c r="S298" s="202"/>
      <c r="T298" s="216"/>
      <c r="U298" s="141"/>
      <c r="V298" s="216"/>
      <c r="W298" s="216"/>
      <c r="X298" s="994"/>
      <c r="Y298" s="992"/>
    </row>
    <row r="299" spans="1:27" hidden="1" outlineLevel="1" x14ac:dyDescent="0.2">
      <c r="A299" s="141"/>
      <c r="B299" s="141" t="s">
        <v>495</v>
      </c>
      <c r="C299" s="141"/>
      <c r="D299" s="599">
        <f>IF(NOT(G306=0),I324,0)</f>
        <v>0</v>
      </c>
      <c r="E299" s="141"/>
      <c r="F299" s="141"/>
      <c r="G299" s="141"/>
      <c r="H299" s="141"/>
      <c r="I299" s="141"/>
      <c r="J299" s="141"/>
      <c r="K299" s="141"/>
      <c r="L299" s="141"/>
      <c r="M299" s="516" t="s">
        <v>495</v>
      </c>
      <c r="N299" s="599">
        <f>O324</f>
        <v>0</v>
      </c>
      <c r="O299" s="216"/>
      <c r="P299" s="599">
        <f>Q324</f>
        <v>0</v>
      </c>
      <c r="Q299" s="141"/>
      <c r="R299" s="599">
        <f>S324</f>
        <v>0</v>
      </c>
      <c r="S299" s="202"/>
      <c r="T299" s="216"/>
      <c r="U299" s="141"/>
      <c r="V299" s="216"/>
      <c r="W299" s="216"/>
      <c r="X299" s="994"/>
      <c r="Y299" s="992"/>
    </row>
    <row r="300" spans="1:27" hidden="1" outlineLevel="1" x14ac:dyDescent="0.2">
      <c r="A300" s="141"/>
      <c r="B300" s="219" t="s">
        <v>496</v>
      </c>
      <c r="C300" s="141"/>
      <c r="D300" s="597">
        <f>SUM(D297:D299)</f>
        <v>0</v>
      </c>
      <c r="E300" s="141"/>
      <c r="F300" s="141"/>
      <c r="G300" s="141"/>
      <c r="H300" s="141"/>
      <c r="I300" s="141"/>
      <c r="J300" s="141"/>
      <c r="K300" s="141"/>
      <c r="L300" s="141"/>
      <c r="M300" s="499" t="s">
        <v>496</v>
      </c>
      <c r="N300" s="597">
        <f>SUM(N297:N299)</f>
        <v>0</v>
      </c>
      <c r="O300" s="216"/>
      <c r="P300" s="597">
        <f>SUM(P297:P299)</f>
        <v>0</v>
      </c>
      <c r="Q300" s="141"/>
      <c r="R300" s="597">
        <f>SUM(R297:R299)</f>
        <v>0</v>
      </c>
      <c r="S300" s="202"/>
      <c r="T300" s="216"/>
      <c r="U300" s="141"/>
      <c r="V300" s="216"/>
      <c r="W300" s="216"/>
      <c r="X300" s="994"/>
      <c r="Y300" s="992"/>
    </row>
    <row r="301" spans="1:27" hidden="1" outlineLevel="1" x14ac:dyDescent="0.2">
      <c r="A301" s="216"/>
      <c r="B301" s="219"/>
      <c r="C301" s="216"/>
      <c r="D301" s="601"/>
      <c r="E301" s="216"/>
      <c r="F301" s="216"/>
      <c r="G301" s="216"/>
      <c r="H301" s="216"/>
      <c r="I301" s="216"/>
      <c r="J301" s="216"/>
      <c r="K301" s="216"/>
      <c r="L301" s="216"/>
      <c r="M301" s="499"/>
      <c r="N301" s="216"/>
      <c r="O301" s="216"/>
      <c r="P301" s="601"/>
      <c r="Q301" s="216"/>
      <c r="R301" s="216"/>
      <c r="S301" s="254"/>
      <c r="T301" s="216"/>
      <c r="U301" s="216"/>
      <c r="V301" s="216"/>
      <c r="W301" s="216"/>
      <c r="X301" s="994"/>
      <c r="Y301" s="992"/>
    </row>
    <row r="302" spans="1:27" hidden="1" outlineLevel="1" x14ac:dyDescent="0.2">
      <c r="A302" s="141"/>
      <c r="B302" s="141"/>
      <c r="C302" s="141"/>
      <c r="D302" s="141"/>
      <c r="E302" s="141"/>
      <c r="F302" s="141"/>
      <c r="G302" s="141"/>
      <c r="H302" s="141"/>
      <c r="I302" s="141"/>
      <c r="J302" s="141"/>
      <c r="K302" s="141"/>
      <c r="L302" s="141"/>
      <c r="M302" s="141"/>
      <c r="N302" s="141"/>
      <c r="O302" s="141"/>
      <c r="P302" s="141"/>
      <c r="Q302" s="141"/>
      <c r="R302" s="216"/>
      <c r="S302" s="254"/>
      <c r="T302" s="216"/>
      <c r="U302" s="141"/>
      <c r="V302" s="216"/>
      <c r="W302" s="216"/>
      <c r="X302" s="994"/>
      <c r="Y302" s="992"/>
    </row>
    <row r="303" spans="1:27" collapsed="1" x14ac:dyDescent="0.2">
      <c r="A303" s="141"/>
      <c r="B303" s="219" t="s">
        <v>497</v>
      </c>
      <c r="C303" s="141"/>
      <c r="D303" s="216"/>
      <c r="E303" s="669"/>
      <c r="F303" s="141"/>
      <c r="G303" s="1664"/>
      <c r="H303" s="1664"/>
      <c r="I303" s="141"/>
      <c r="J303" s="141"/>
      <c r="K303" s="141"/>
      <c r="L303" s="216"/>
      <c r="M303" s="216"/>
      <c r="N303" s="590" t="s">
        <v>545</v>
      </c>
      <c r="O303" s="591" t="s">
        <v>579</v>
      </c>
      <c r="P303" s="590" t="s">
        <v>545</v>
      </c>
      <c r="Q303" s="591" t="s">
        <v>579</v>
      </c>
      <c r="R303" s="590" t="s">
        <v>545</v>
      </c>
      <c r="S303" s="591" t="s">
        <v>579</v>
      </c>
      <c r="T303" s="216"/>
      <c r="U303" s="141"/>
      <c r="V303" s="216"/>
      <c r="W303" s="216"/>
      <c r="X303" s="994"/>
      <c r="Y303" s="992"/>
      <c r="Z303" s="994" t="s">
        <v>581</v>
      </c>
      <c r="AA303" s="1074">
        <f>IF(G306&gt;0,IF(MONTH(G306)&gt;3,DATE(YEAR(G306)+1,3,31),DATE(YEAR(G306),3,31)),0)</f>
        <v>0</v>
      </c>
    </row>
    <row r="304" spans="1:27" x14ac:dyDescent="0.2">
      <c r="A304" s="141"/>
      <c r="B304" s="141"/>
      <c r="C304" s="141"/>
      <c r="D304" s="141"/>
      <c r="E304" s="141"/>
      <c r="F304" s="141"/>
      <c r="G304" s="494" t="str">
        <f>IF(AD307&gt;0,"WARNING: Generally, you may not cross a CLBC March 31 fiscal year end, please re-check your dates.","")</f>
        <v/>
      </c>
      <c r="H304" s="141"/>
      <c r="I304" s="141"/>
      <c r="J304" s="141"/>
      <c r="K304" s="141"/>
      <c r="L304" s="216"/>
      <c r="M304" s="216"/>
      <c r="N304" s="503" t="str">
        <f>IF(OR(Z313=1,Z313=2,Z313=3),G306,"N/A")</f>
        <v>N/A</v>
      </c>
      <c r="O304" s="504" t="str">
        <f>IF(Z313=1,I306,IF(OR(Z313=2,Z313=3),$AA$79,"N/A"))</f>
        <v>N/A</v>
      </c>
      <c r="P304" s="503" t="str">
        <f>IF(OR(Z313=2,Z313=3),$AA$81,IF(OR(Z313=4,Z313=5),G306,"N/A"))</f>
        <v>N/A</v>
      </c>
      <c r="Q304" s="504" t="str">
        <f>IF(OR(Z313=2,Z313=4),I306,IF(OR(Z313=3,Z313=5),$AA$83,"N/A"))</f>
        <v>N/A</v>
      </c>
      <c r="R304" s="505" t="str">
        <f>IF(OR(Z313=3,Z313=5),$AA$85,IF(Z313=6,G306,"N/A"))</f>
        <v>N/A</v>
      </c>
      <c r="S304" s="504" t="str">
        <f>IF(OR(Z313=3,Z313=5,Z313=6),I306,"N/A")</f>
        <v>N/A</v>
      </c>
      <c r="T304" s="216"/>
      <c r="U304" s="141"/>
      <c r="V304" s="216"/>
      <c r="W304" s="216"/>
      <c r="X304" s="994"/>
      <c r="Y304" s="992"/>
      <c r="Z304" s="994" t="s">
        <v>582</v>
      </c>
      <c r="AA304" s="1074">
        <f>IF(AA303&gt;=$L$20,$L$20,AA303)</f>
        <v>0</v>
      </c>
    </row>
    <row r="305" spans="1:31" ht="38.25" customHeight="1" x14ac:dyDescent="0.2">
      <c r="A305" s="140"/>
      <c r="B305" s="792" t="s">
        <v>464</v>
      </c>
      <c r="C305" s="1543" t="s">
        <v>351</v>
      </c>
      <c r="D305" s="1543"/>
      <c r="E305" s="587" t="s">
        <v>481</v>
      </c>
      <c r="F305" s="587" t="s">
        <v>482</v>
      </c>
      <c r="G305" s="1522" t="s">
        <v>519</v>
      </c>
      <c r="H305" s="1523"/>
      <c r="I305" s="1522" t="s">
        <v>520</v>
      </c>
      <c r="J305" s="1523" t="s">
        <v>520</v>
      </c>
      <c r="K305" s="833" t="s">
        <v>387</v>
      </c>
      <c r="L305" s="831" t="s">
        <v>483</v>
      </c>
      <c r="M305" s="831" t="s">
        <v>388</v>
      </c>
      <c r="N305" s="1543" t="s">
        <v>389</v>
      </c>
      <c r="O305" s="1543"/>
      <c r="P305" s="1543" t="s">
        <v>390</v>
      </c>
      <c r="Q305" s="1543"/>
      <c r="R305" s="1543" t="s">
        <v>578</v>
      </c>
      <c r="S305" s="1543"/>
      <c r="T305" s="286"/>
      <c r="U305" s="140"/>
      <c r="V305" s="286"/>
      <c r="W305" s="286"/>
      <c r="X305" s="1002"/>
      <c r="Y305" s="1105"/>
    </row>
    <row r="306" spans="1:31" x14ac:dyDescent="0.2">
      <c r="A306" s="141"/>
      <c r="B306" s="666"/>
      <c r="C306" s="1544"/>
      <c r="D306" s="1544"/>
      <c r="E306" s="808" t="s">
        <v>484</v>
      </c>
      <c r="F306" s="670"/>
      <c r="G306" s="1665"/>
      <c r="H306" s="1667"/>
      <c r="I306" s="1665"/>
      <c r="J306" s="1666"/>
      <c r="K306" s="671"/>
      <c r="L306" s="671"/>
      <c r="M306" s="588">
        <f>ROUND(IF(F306="Y",L306,IF(G319="yes",G326,ROUND(K306,2)*D297+G326+I326)),2)</f>
        <v>0</v>
      </c>
      <c r="N306" s="1661">
        <f>IF(N319="yes",N325,ROUND(E303*N297,0)+N325+O325)</f>
        <v>0</v>
      </c>
      <c r="O306" s="1662"/>
      <c r="P306" s="1661">
        <f>IF(P319="yes",P325,ROUND(E303*P297,0)+P325+Q325)</f>
        <v>0</v>
      </c>
      <c r="Q306" s="1662"/>
      <c r="R306" s="1661">
        <f>IF(R319="yes",R325,ROUND(E303*R297,0)+R325+S325)</f>
        <v>0</v>
      </c>
      <c r="S306" s="1662"/>
      <c r="T306" s="216"/>
      <c r="U306" s="141"/>
      <c r="V306" s="216"/>
      <c r="W306" s="216"/>
      <c r="X306" s="994"/>
      <c r="Y306" s="992"/>
      <c r="AA306" s="992" t="s">
        <v>553</v>
      </c>
      <c r="AB306" s="992" t="s">
        <v>554</v>
      </c>
      <c r="AC306" s="994"/>
      <c r="AD306" s="1109" t="s">
        <v>617</v>
      </c>
      <c r="AE306" s="1109" t="s">
        <v>718</v>
      </c>
    </row>
    <row r="307" spans="1:31" hidden="1" outlineLevel="1" x14ac:dyDescent="0.2">
      <c r="A307" s="141"/>
      <c r="B307" s="141"/>
      <c r="C307" s="803"/>
      <c r="D307" s="141"/>
      <c r="E307" s="141"/>
      <c r="F307" s="141"/>
      <c r="G307" s="141">
        <f>G313</f>
        <v>31</v>
      </c>
      <c r="H307" s="141"/>
      <c r="I307" s="141">
        <f>I313</f>
        <v>31</v>
      </c>
      <c r="J307" s="141"/>
      <c r="K307" s="803" t="s">
        <v>391</v>
      </c>
      <c r="L307" s="216"/>
      <c r="M307" s="216"/>
      <c r="N307" s="141">
        <f t="shared" ref="N307:S307" si="58">N313</f>
        <v>0</v>
      </c>
      <c r="O307" s="141">
        <f t="shared" si="58"/>
        <v>0</v>
      </c>
      <c r="P307" s="141">
        <f t="shared" si="58"/>
        <v>0</v>
      </c>
      <c r="Q307" s="141">
        <f t="shared" si="58"/>
        <v>0</v>
      </c>
      <c r="R307" s="141">
        <f t="shared" si="58"/>
        <v>0</v>
      </c>
      <c r="S307" s="141">
        <f t="shared" si="58"/>
        <v>0</v>
      </c>
      <c r="T307" s="216"/>
      <c r="U307" s="141"/>
      <c r="V307" s="216"/>
      <c r="W307" s="216"/>
      <c r="X307" s="994"/>
      <c r="Y307" s="992"/>
      <c r="Z307" s="992">
        <f>IF(AND(G306&gt;=$AA$77,I306&lt;=$AA$79),1,0)</f>
        <v>0</v>
      </c>
      <c r="AA307" s="992" t="s">
        <v>556</v>
      </c>
      <c r="AB307" s="992" t="s">
        <v>557</v>
      </c>
      <c r="AC307" s="994"/>
      <c r="AD307" s="994">
        <f>IF(AND(G306&gt;0,I306&gt;0,I306&gt;$AA304),1,0)</f>
        <v>0</v>
      </c>
      <c r="AE307" s="994" t="s">
        <v>619</v>
      </c>
    </row>
    <row r="308" spans="1:31" hidden="1" outlineLevel="1" x14ac:dyDescent="0.2">
      <c r="A308" s="141"/>
      <c r="B308" s="141"/>
      <c r="C308" s="803"/>
      <c r="D308" s="141"/>
      <c r="E308" s="141"/>
      <c r="F308" s="141"/>
      <c r="G308" s="141">
        <v>1</v>
      </c>
      <c r="H308" s="141"/>
      <c r="I308" s="141">
        <v>1</v>
      </c>
      <c r="J308" s="141"/>
      <c r="K308" s="803" t="s">
        <v>392</v>
      </c>
      <c r="L308" s="216"/>
      <c r="M308" s="216"/>
      <c r="N308" s="141">
        <v>1</v>
      </c>
      <c r="O308" s="141">
        <v>1</v>
      </c>
      <c r="P308" s="141">
        <v>1</v>
      </c>
      <c r="Q308" s="141">
        <v>1</v>
      </c>
      <c r="R308" s="141">
        <v>1</v>
      </c>
      <c r="S308" s="141">
        <v>1</v>
      </c>
      <c r="T308" s="216"/>
      <c r="U308" s="141"/>
      <c r="V308" s="216"/>
      <c r="W308" s="216"/>
      <c r="X308" s="994"/>
      <c r="Y308" s="992"/>
      <c r="Z308" s="992">
        <f>IF(AND(G306&lt;=$AA$79,I306&gt;$AA$79,I306&lt;=$AA$83),2,0)</f>
        <v>0</v>
      </c>
      <c r="AA308" s="992" t="s">
        <v>559</v>
      </c>
      <c r="AB308" s="992" t="s">
        <v>560</v>
      </c>
      <c r="AC308" s="994"/>
    </row>
    <row r="309" spans="1:31" hidden="1" outlineLevel="1" x14ac:dyDescent="0.2">
      <c r="A309" s="141"/>
      <c r="B309" s="141"/>
      <c r="C309" s="803"/>
      <c r="D309" s="141"/>
      <c r="E309" s="141"/>
      <c r="F309" s="141"/>
      <c r="G309" s="141">
        <f>DAY(G306)</f>
        <v>0</v>
      </c>
      <c r="H309" s="141"/>
      <c r="I309" s="141">
        <f>DAY(I306)</f>
        <v>0</v>
      </c>
      <c r="J309" s="141"/>
      <c r="K309" s="803" t="s">
        <v>393</v>
      </c>
      <c r="L309" s="216"/>
      <c r="M309" s="216"/>
      <c r="N309" s="141" t="b">
        <f t="shared" ref="N309:O309" si="59">IF(NOT(N304="n/a"),DAY(N304))</f>
        <v>0</v>
      </c>
      <c r="O309" s="141" t="b">
        <f t="shared" si="59"/>
        <v>0</v>
      </c>
      <c r="P309" s="141" t="b">
        <f>IF(NOT(P304="n/a"),DAY(P304))</f>
        <v>0</v>
      </c>
      <c r="Q309" s="141" t="b">
        <f>IF(NOT(Q304="n/a"),DAY(Q304))</f>
        <v>0</v>
      </c>
      <c r="R309" s="141" t="b">
        <f>IF(NOT(R304="n/a"),DAY(R304))</f>
        <v>0</v>
      </c>
      <c r="S309" s="141" t="b">
        <f>IF(NOT(S304="n/a"),DAY(S304))</f>
        <v>0</v>
      </c>
      <c r="T309" s="216"/>
      <c r="U309" s="141"/>
      <c r="V309" s="216"/>
      <c r="W309" s="216"/>
      <c r="X309" s="994"/>
      <c r="Y309" s="992"/>
      <c r="Z309" s="994">
        <f>IF(AND(G306&lt;$AA$79,I306&gt;$AA$83,I306&lt;=$AA$86),3,0)</f>
        <v>0</v>
      </c>
      <c r="AA309" s="992" t="s">
        <v>562</v>
      </c>
      <c r="AB309" s="994" t="s">
        <v>563</v>
      </c>
      <c r="AC309" s="994"/>
      <c r="AD309" s="1109" t="s">
        <v>617</v>
      </c>
      <c r="AE309" s="1109" t="s">
        <v>719</v>
      </c>
    </row>
    <row r="310" spans="1:31" hidden="1" outlineLevel="1" x14ac:dyDescent="0.2">
      <c r="A310" s="141"/>
      <c r="B310" s="141"/>
      <c r="C310" s="803"/>
      <c r="D310" s="141"/>
      <c r="E310" s="141"/>
      <c r="F310" s="141"/>
      <c r="G310" s="516" t="str">
        <f>IF(G309=G308,"No","Yes")</f>
        <v>Yes</v>
      </c>
      <c r="H310" s="141"/>
      <c r="I310" s="516" t="str">
        <f>IF(I309=I307,"No","Yes")</f>
        <v>Yes</v>
      </c>
      <c r="J310" s="141"/>
      <c r="K310" s="803" t="s">
        <v>394</v>
      </c>
      <c r="L310" s="216"/>
      <c r="M310" s="216"/>
      <c r="N310" s="516" t="str">
        <f>IF(N309=N308,"No","Yes")</f>
        <v>Yes</v>
      </c>
      <c r="O310" s="516" t="str">
        <f>IF(O309=O307,"No","Yes")</f>
        <v>Yes</v>
      </c>
      <c r="P310" s="516" t="str">
        <f>IF(P309=P308,"No","Yes")</f>
        <v>Yes</v>
      </c>
      <c r="Q310" s="516" t="str">
        <f>IF(Q309=Q307,"No","Yes")</f>
        <v>Yes</v>
      </c>
      <c r="R310" s="516" t="str">
        <f>IF(R309=R308,"No","Yes")</f>
        <v>Yes</v>
      </c>
      <c r="S310" s="516" t="str">
        <f>IF(S309=S307,"No","Yes")</f>
        <v>Yes</v>
      </c>
      <c r="T310" s="216"/>
      <c r="U310" s="216"/>
      <c r="V310" s="216"/>
      <c r="W310" s="216"/>
      <c r="X310" s="994"/>
      <c r="Y310" s="992"/>
      <c r="Z310" s="992">
        <f>IF(AND(G306&gt;=$AA$81,I306&lt;=$AA$83),4,0)</f>
        <v>4</v>
      </c>
      <c r="AA310" s="992" t="s">
        <v>565</v>
      </c>
      <c r="AB310" s="994" t="s">
        <v>566</v>
      </c>
      <c r="AC310" s="994"/>
      <c r="AD310" s="994">
        <f>IF(OR(G306&lt;$L$18,G306&gt;$L$20),1,0)</f>
        <v>0</v>
      </c>
      <c r="AE310" s="994" t="s">
        <v>618</v>
      </c>
    </row>
    <row r="311" spans="1:31" hidden="1" outlineLevel="1" x14ac:dyDescent="0.2">
      <c r="A311" s="141"/>
      <c r="B311" s="141"/>
      <c r="C311" s="803"/>
      <c r="D311" s="141"/>
      <c r="E311" s="141"/>
      <c r="F311" s="141"/>
      <c r="G311" s="219"/>
      <c r="H311" s="141"/>
      <c r="I311" s="219"/>
      <c r="J311" s="141"/>
      <c r="K311" s="803"/>
      <c r="L311" s="216"/>
      <c r="M311" s="216"/>
      <c r="N311" s="34"/>
      <c r="O311" s="34"/>
      <c r="P311" s="34"/>
      <c r="R311" s="34"/>
      <c r="S311" s="34"/>
      <c r="T311" s="216"/>
      <c r="U311" s="216"/>
      <c r="V311" s="216"/>
      <c r="W311" s="216"/>
      <c r="X311" s="994"/>
      <c r="Y311" s="992"/>
      <c r="Z311" s="992">
        <f>IF(AND(G306&gt;=$AA$81,G306&lt;=$AA$83,I306&gt;$AA$85),5,0)</f>
        <v>0</v>
      </c>
      <c r="AA311" s="992" t="s">
        <v>568</v>
      </c>
      <c r="AB311" s="994" t="s">
        <v>569</v>
      </c>
      <c r="AC311" s="994"/>
      <c r="AD311" s="994">
        <f>IF(OR(I306&lt;$L$18,I306&gt;$L$20),1,0)</f>
        <v>0</v>
      </c>
      <c r="AE311" s="994" t="s">
        <v>705</v>
      </c>
    </row>
    <row r="312" spans="1:31" hidden="1" outlineLevel="1" x14ac:dyDescent="0.2">
      <c r="A312" s="141"/>
      <c r="B312" s="141"/>
      <c r="C312" s="803"/>
      <c r="D312" s="141"/>
      <c r="E312" s="141"/>
      <c r="F312" s="141"/>
      <c r="G312" s="518">
        <f>EOMONTH(G306,0)</f>
        <v>31</v>
      </c>
      <c r="H312" s="141"/>
      <c r="I312" s="518">
        <f>EOMONTH(I306,0)</f>
        <v>31</v>
      </c>
      <c r="J312" s="141"/>
      <c r="K312" s="803" t="s">
        <v>395</v>
      </c>
      <c r="L312" s="216"/>
      <c r="M312" s="216"/>
      <c r="N312" s="518" t="b">
        <f t="shared" ref="N312:S312" si="60">IF(NOT(N304="n/a"),EOMONTH(N304,0))</f>
        <v>0</v>
      </c>
      <c r="O312" s="518" t="b">
        <f t="shared" si="60"/>
        <v>0</v>
      </c>
      <c r="P312" s="518" t="b">
        <f t="shared" si="60"/>
        <v>0</v>
      </c>
      <c r="Q312" s="518" t="b">
        <f t="shared" si="60"/>
        <v>0</v>
      </c>
      <c r="R312" s="518" t="b">
        <f t="shared" si="60"/>
        <v>0</v>
      </c>
      <c r="S312" s="518" t="b">
        <f t="shared" si="60"/>
        <v>0</v>
      </c>
      <c r="T312" s="216"/>
      <c r="U312" s="216"/>
      <c r="V312" s="216"/>
      <c r="W312" s="216"/>
      <c r="X312" s="994"/>
      <c r="Y312" s="992"/>
      <c r="Z312" s="1111">
        <f>IF(AND(G306&gt;=$AA$85,I306&lt;=$AA$86),6,0)</f>
        <v>6</v>
      </c>
      <c r="AA312" s="992" t="s">
        <v>571</v>
      </c>
      <c r="AB312" s="994" t="s">
        <v>572</v>
      </c>
      <c r="AC312" s="994"/>
      <c r="AD312" s="994"/>
      <c r="AE312" s="994"/>
    </row>
    <row r="313" spans="1:31" ht="13.5" hidden="1" outlineLevel="1" thickBot="1" x14ac:dyDescent="0.25">
      <c r="A313" s="141"/>
      <c r="B313" s="141"/>
      <c r="C313" s="803"/>
      <c r="D313" s="141"/>
      <c r="E313" s="141"/>
      <c r="F313" s="141"/>
      <c r="G313" s="141">
        <f>DAY(G312)</f>
        <v>31</v>
      </c>
      <c r="H313" s="141"/>
      <c r="I313" s="141">
        <f>DAY(I312)</f>
        <v>31</v>
      </c>
      <c r="J313" s="141"/>
      <c r="K313" s="803" t="s">
        <v>396</v>
      </c>
      <c r="L313" s="216"/>
      <c r="M313" s="216"/>
      <c r="N313" s="141">
        <f>DAY(N312)</f>
        <v>0</v>
      </c>
      <c r="O313" s="141">
        <f>DAY(O312)</f>
        <v>0</v>
      </c>
      <c r="P313" s="141">
        <f t="shared" ref="P313:S313" si="61">DAY(P312)</f>
        <v>0</v>
      </c>
      <c r="Q313" s="141">
        <f t="shared" si="61"/>
        <v>0</v>
      </c>
      <c r="R313" s="141">
        <f t="shared" si="61"/>
        <v>0</v>
      </c>
      <c r="S313" s="141">
        <f t="shared" si="61"/>
        <v>0</v>
      </c>
      <c r="T313" s="216"/>
      <c r="U313" s="216"/>
      <c r="V313" s="216"/>
      <c r="W313" s="216"/>
      <c r="X313" s="994"/>
      <c r="Y313" s="992"/>
      <c r="Z313" s="1112">
        <f>IF(AND(NOT(G306=0),NOT(I306=0)),SUM(Z307:Z312),0)</f>
        <v>0</v>
      </c>
      <c r="AA313" s="992" t="s">
        <v>601</v>
      </c>
      <c r="AC313" s="994"/>
      <c r="AD313" s="1112">
        <f>IF(AND(G306&gt;0,I306&gt;0),SUM(AD310:AD312),0)</f>
        <v>0</v>
      </c>
      <c r="AE313" s="994" t="s">
        <v>620</v>
      </c>
    </row>
    <row r="314" spans="1:31" hidden="1" outlineLevel="1" x14ac:dyDescent="0.2">
      <c r="A314" s="141"/>
      <c r="B314" s="141"/>
      <c r="C314" s="803"/>
      <c r="D314" s="141"/>
      <c r="E314" s="141"/>
      <c r="F314" s="141"/>
      <c r="G314" s="520">
        <f>G312-G306+1</f>
        <v>32</v>
      </c>
      <c r="H314" s="141"/>
      <c r="I314" s="520">
        <f>I312-I306</f>
        <v>31</v>
      </c>
      <c r="J314" s="141"/>
      <c r="K314" s="803" t="s">
        <v>628</v>
      </c>
      <c r="L314" s="216"/>
      <c r="M314" s="216"/>
      <c r="N314" s="520" t="b">
        <f>IF(NOT(N304="n/a"),N312-N304+1)</f>
        <v>0</v>
      </c>
      <c r="O314" s="520" t="b">
        <f>IF(NOT(O304="n/a"),O312-O304)</f>
        <v>0</v>
      </c>
      <c r="P314" s="520" t="b">
        <f>IF(NOT(P304="n/a"),P312-P304+1)</f>
        <v>0</v>
      </c>
      <c r="Q314" s="520" t="b">
        <f>IF(NOT(Q304="n/a"),Q312-Q304)</f>
        <v>0</v>
      </c>
      <c r="R314" s="520" t="b">
        <f>IF(NOT(R304="n/a"),R312-R304+1)</f>
        <v>0</v>
      </c>
      <c r="S314" s="520" t="b">
        <f>IF(NOT(S304="n/a"),S312-S304)</f>
        <v>0</v>
      </c>
      <c r="T314" s="216"/>
      <c r="U314" s="216"/>
      <c r="V314" s="216"/>
      <c r="W314" s="216"/>
      <c r="X314" s="994"/>
      <c r="Y314" s="992"/>
      <c r="AC314" s="994"/>
      <c r="AD314" s="994"/>
      <c r="AE314" s="994"/>
    </row>
    <row r="315" spans="1:31" hidden="1" outlineLevel="1" x14ac:dyDescent="0.2">
      <c r="A315" s="141"/>
      <c r="B315" s="141"/>
      <c r="C315" s="803"/>
      <c r="D315" s="141"/>
      <c r="E315" s="141"/>
      <c r="F315" s="141"/>
      <c r="G315" s="141">
        <f>G313-G314</f>
        <v>-1</v>
      </c>
      <c r="H315" s="141"/>
      <c r="I315" s="141">
        <f>I313-I314</f>
        <v>0</v>
      </c>
      <c r="J315" s="141"/>
      <c r="K315" s="803" t="s">
        <v>397</v>
      </c>
      <c r="L315" s="216"/>
      <c r="M315" s="216"/>
      <c r="N315" s="141">
        <f t="shared" ref="N315:S315" si="62">N313-N314</f>
        <v>0</v>
      </c>
      <c r="O315" s="141">
        <f t="shared" si="62"/>
        <v>0</v>
      </c>
      <c r="P315" s="141">
        <f t="shared" si="62"/>
        <v>0</v>
      </c>
      <c r="Q315" s="141">
        <f t="shared" si="62"/>
        <v>0</v>
      </c>
      <c r="R315" s="141">
        <f t="shared" si="62"/>
        <v>0</v>
      </c>
      <c r="S315" s="141">
        <f t="shared" si="62"/>
        <v>0</v>
      </c>
      <c r="T315" s="216"/>
      <c r="U315" s="216"/>
      <c r="V315" s="216"/>
      <c r="W315" s="216"/>
      <c r="X315" s="994"/>
      <c r="Y315" s="992"/>
      <c r="AC315" s="994"/>
      <c r="AD315" s="994"/>
      <c r="AE315" s="994"/>
    </row>
    <row r="316" spans="1:31" hidden="1" outlineLevel="1" x14ac:dyDescent="0.2">
      <c r="A316" s="141"/>
      <c r="B316" s="141"/>
      <c r="C316" s="803"/>
      <c r="D316" s="141"/>
      <c r="E316" s="141"/>
      <c r="F316" s="141"/>
      <c r="G316" s="718">
        <f>IF(G310="Yes",ROUND(G314/G313,6),0)</f>
        <v>1.0322579999999999</v>
      </c>
      <c r="H316" s="719"/>
      <c r="I316" s="718">
        <f>IF(I310="Yes",ROUND(I315/I313,6),0)</f>
        <v>0</v>
      </c>
      <c r="J316" s="589"/>
      <c r="K316" s="803" t="s">
        <v>398</v>
      </c>
      <c r="L316" s="216"/>
      <c r="M316" s="216"/>
      <c r="N316" s="716">
        <f>IF(ISERROR(IF(N310="Yes",ROUND(N314/N313,6),0)),0,IF(N310="Yes",ROUND(N314/N313,6),0))</f>
        <v>0</v>
      </c>
      <c r="O316" s="716">
        <f>IF(ISERROR(IF(O310="Yes",ROUND(O315/O313,6),0)),0,IF(O310="Yes",ROUND(O315/O313,6),0))</f>
        <v>0</v>
      </c>
      <c r="P316" s="716">
        <f>IF(ISERROR(IF(P310="Yes",ROUND(P314/P313,6),0)),0,IF(P310="Yes",ROUND(P314/P313,6),0))</f>
        <v>0</v>
      </c>
      <c r="Q316" s="716">
        <f>IF(ISERROR(IF(Q310="Yes",ROUND(Q315/Q313,6),0)),0,IF(Q310="Yes",ROUND(Q315/Q313,6),0))</f>
        <v>0</v>
      </c>
      <c r="R316" s="716">
        <f>IF(ISERROR(IF(R310="Yes",ROUND(R314/R313,6),0)),0,IF(R310="Yes",ROUND(R314/R313,6),0))</f>
        <v>0</v>
      </c>
      <c r="S316" s="716">
        <f>IF(ISERROR(IF(S310="Yes",ROUND(S315/S313,6),0)),0,IF(S310="Yes",ROUND(S315/S313,6),0))</f>
        <v>0</v>
      </c>
      <c r="T316" s="216"/>
      <c r="U316" s="216"/>
      <c r="V316" s="216"/>
      <c r="W316" s="216"/>
      <c r="X316" s="994"/>
      <c r="Y316" s="992"/>
      <c r="AA316" s="994" t="s">
        <v>556</v>
      </c>
      <c r="AB316" s="994" t="s">
        <v>575</v>
      </c>
      <c r="AC316" s="994"/>
      <c r="AD316" s="994"/>
      <c r="AE316" s="994"/>
    </row>
    <row r="317" spans="1:31" ht="13.5" hidden="1" outlineLevel="1" thickBot="1" x14ac:dyDescent="0.25">
      <c r="A317" s="141"/>
      <c r="B317" s="141"/>
      <c r="C317" s="803"/>
      <c r="D317" s="141"/>
      <c r="E317" s="141"/>
      <c r="F317" s="141"/>
      <c r="G317" s="592">
        <f>IF(G319="Yes",0,ROUND(ROUND(K306,2)*G316,2))</f>
        <v>0</v>
      </c>
      <c r="H317" s="141"/>
      <c r="I317" s="592">
        <f>IF(G319="Yes",0,ROUND(ROUND(K306,2)*I316,2))</f>
        <v>0</v>
      </c>
      <c r="J317" s="141"/>
      <c r="K317" s="803" t="s">
        <v>409</v>
      </c>
      <c r="L317" s="216"/>
      <c r="M317" s="216"/>
      <c r="N317" s="546">
        <f>IF(N319="yes",0,ROUND(N316*E303,0))</f>
        <v>0</v>
      </c>
      <c r="O317" s="546">
        <f>IF(N319="yes",0,ROUND(O316*E303,0))</f>
        <v>0</v>
      </c>
      <c r="P317" s="546">
        <f>IF(P319="yes",0,ROUND(P316*E303,0))</f>
        <v>0</v>
      </c>
      <c r="Q317" s="546">
        <f>IF(P319="yes",0,ROUND(Q316*E303,0))</f>
        <v>0</v>
      </c>
      <c r="R317" s="546">
        <f>IF(R319="yes",0,ROUND(R316*E303,0))</f>
        <v>0</v>
      </c>
      <c r="S317" s="546">
        <f>IF(R319="yes",0,ROUND(S316*E303,0))</f>
        <v>0</v>
      </c>
      <c r="T317" s="216"/>
      <c r="U317" s="216"/>
      <c r="V317" s="216"/>
      <c r="W317" s="216"/>
      <c r="X317" s="994"/>
      <c r="Y317" s="992"/>
      <c r="AA317" s="994" t="s">
        <v>565</v>
      </c>
      <c r="AB317" s="994" t="s">
        <v>576</v>
      </c>
      <c r="AC317" s="994"/>
      <c r="AD317" s="994"/>
      <c r="AE317" s="994"/>
    </row>
    <row r="318" spans="1:31" ht="13.5" hidden="1" outlineLevel="1" thickTop="1" x14ac:dyDescent="0.2">
      <c r="A318" s="141"/>
      <c r="B318" s="141"/>
      <c r="C318" s="803"/>
      <c r="D318" s="141"/>
      <c r="E318" s="141"/>
      <c r="F318" s="141"/>
      <c r="G318" s="141"/>
      <c r="H318" s="141"/>
      <c r="I318" s="141"/>
      <c r="J318" s="141"/>
      <c r="K318" s="803"/>
      <c r="L318" s="216"/>
      <c r="M318" s="216"/>
      <c r="N318" s="216"/>
      <c r="O318" s="216"/>
      <c r="P318" s="216"/>
      <c r="Q318" s="141"/>
      <c r="R318" s="216"/>
      <c r="S318" s="141"/>
      <c r="T318" s="216"/>
      <c r="U318" s="216"/>
      <c r="V318" s="216"/>
      <c r="W318" s="216"/>
      <c r="X318" s="994"/>
      <c r="Y318" s="992"/>
      <c r="AA318" s="994" t="s">
        <v>571</v>
      </c>
      <c r="AB318" s="994" t="s">
        <v>577</v>
      </c>
      <c r="AC318" s="994"/>
      <c r="AD318" s="994"/>
      <c r="AE318" s="994"/>
    </row>
    <row r="319" spans="1:31" hidden="1" outlineLevel="1" x14ac:dyDescent="0.2">
      <c r="A319" s="141"/>
      <c r="B319" s="141"/>
      <c r="C319" s="803"/>
      <c r="D319" s="141"/>
      <c r="E319" s="141"/>
      <c r="F319" s="141"/>
      <c r="G319" s="542" t="str">
        <f>IF(AND(YEAR(G306)=YEAR(I306),MONTH(G306)=MONTH(I306),G310="YES",I310="YES"),"YES","NO")</f>
        <v>YES</v>
      </c>
      <c r="H319" s="141"/>
      <c r="I319" s="141"/>
      <c r="J319" s="141"/>
      <c r="K319" s="803" t="s">
        <v>410</v>
      </c>
      <c r="L319" s="216"/>
      <c r="M319" s="216"/>
      <c r="N319" s="544" t="str">
        <f>IF(N304="n/a","NO",IF(AND(YEAR(N304)=YEAR(O304),MONTH(N304)=MONTH(O304),N310="YES",O310="YES"),"YES","NO"))</f>
        <v>NO</v>
      </c>
      <c r="O319" s="510"/>
      <c r="P319" s="544" t="str">
        <f>IF(P304="n/a","NO",IF(AND(YEAR(P304)=YEAR(Q304),MONTH(P304)=MONTH(Q304),P310="YES",Q310="YES"),"YES","NO"))</f>
        <v>NO</v>
      </c>
      <c r="Q319" s="141"/>
      <c r="R319" s="544" t="str">
        <f>IF(R304="n/a","NO",IF(AND(YEAR(R304)=YEAR(S304),MONTH(R304)=MONTH(S304),R310="YES",S310="YES"),"YES","NO"))</f>
        <v>NO</v>
      </c>
      <c r="S319" s="141"/>
      <c r="T319" s="216"/>
      <c r="U319" s="216"/>
      <c r="V319" s="216"/>
      <c r="W319" s="216"/>
      <c r="X319" s="994"/>
      <c r="Y319" s="992"/>
    </row>
    <row r="320" spans="1:31" hidden="1" outlineLevel="1" x14ac:dyDescent="0.2">
      <c r="A320" s="141"/>
      <c r="B320" s="141"/>
      <c r="C320" s="803"/>
      <c r="D320" s="141"/>
      <c r="E320" s="141"/>
      <c r="F320" s="141"/>
      <c r="G320" s="141">
        <f>IF(G319="yes",I306-G306+1,0)</f>
        <v>1</v>
      </c>
      <c r="H320" s="141"/>
      <c r="I320" s="141"/>
      <c r="J320" s="141"/>
      <c r="K320" s="803" t="s">
        <v>411</v>
      </c>
      <c r="L320" s="216"/>
      <c r="M320" s="216"/>
      <c r="N320" s="141">
        <f>IF(N319="yes",O304-N304+1,0)</f>
        <v>0</v>
      </c>
      <c r="O320" s="510"/>
      <c r="P320" s="141">
        <f>IF(P319="yes",Q304-P304+1,0)</f>
        <v>0</v>
      </c>
      <c r="Q320" s="141"/>
      <c r="R320" s="141">
        <f>IF(R319="yes",S304-R304+1,0)</f>
        <v>0</v>
      </c>
      <c r="S320" s="141"/>
      <c r="T320" s="216"/>
      <c r="U320" s="216"/>
      <c r="V320" s="216"/>
      <c r="W320" s="216"/>
      <c r="X320" s="994"/>
      <c r="Y320" s="992"/>
    </row>
    <row r="321" spans="1:27" hidden="1" outlineLevel="1" x14ac:dyDescent="0.2">
      <c r="A321" s="141"/>
      <c r="B321" s="141"/>
      <c r="C321" s="803"/>
      <c r="D321" s="141"/>
      <c r="E321" s="141"/>
      <c r="F321" s="141"/>
      <c r="G321" s="717">
        <f>ROUND(G320/G313,6)</f>
        <v>3.2258000000000002E-2</v>
      </c>
      <c r="H321" s="141"/>
      <c r="I321" s="141"/>
      <c r="J321" s="141"/>
      <c r="K321" s="803" t="s">
        <v>398</v>
      </c>
      <c r="L321" s="216"/>
      <c r="M321" s="216"/>
      <c r="N321" s="717">
        <f>IF(ISERROR(ROUND(N320/N313,6)),0,ROUND(N320/N313,6))</f>
        <v>0</v>
      </c>
      <c r="O321" s="543"/>
      <c r="P321" s="717">
        <f>IF(ISERROR(ROUND(P320/P313,6)),0,ROUND(P320/P313,6))</f>
        <v>0</v>
      </c>
      <c r="Q321" s="520"/>
      <c r="R321" s="717">
        <f>IF(ISERROR(ROUND(R320/R313,6)),0,ROUND(R320/R313,6))</f>
        <v>0</v>
      </c>
      <c r="S321" s="141"/>
      <c r="T321" s="216"/>
      <c r="U321" s="216"/>
      <c r="V321" s="216"/>
      <c r="W321" s="216"/>
      <c r="X321" s="994"/>
      <c r="Y321" s="992"/>
    </row>
    <row r="322" spans="1:27" hidden="1" outlineLevel="1" x14ac:dyDescent="0.2">
      <c r="A322" s="141"/>
      <c r="B322" s="141"/>
      <c r="C322" s="803"/>
      <c r="D322" s="141"/>
      <c r="E322" s="141"/>
      <c r="F322" s="141"/>
      <c r="G322" s="540">
        <f>ROUND(IF(NOT(G306=0),G321*ROUND(K306,2),0),2)</f>
        <v>0</v>
      </c>
      <c r="H322" s="141"/>
      <c r="I322" s="141"/>
      <c r="J322" s="141"/>
      <c r="K322" s="803" t="s">
        <v>413</v>
      </c>
      <c r="L322" s="216"/>
      <c r="M322" s="216"/>
      <c r="N322" s="510">
        <f>IF(NOT(N304=0),ROUND(N321*E303,0),0)</f>
        <v>0</v>
      </c>
      <c r="O322" s="510"/>
      <c r="P322" s="510">
        <f>IF(NOT(P304=0),ROUND(P321*E303,0),0)</f>
        <v>0</v>
      </c>
      <c r="Q322" s="141"/>
      <c r="R322" s="510">
        <f>IF(NOT(R304=0),ROUND(R321*E303,0),0)</f>
        <v>0</v>
      </c>
      <c r="S322" s="141"/>
      <c r="T322" s="216"/>
      <c r="U322" s="216"/>
      <c r="V322" s="216"/>
      <c r="W322" s="216"/>
      <c r="X322" s="994"/>
      <c r="Y322" s="992"/>
    </row>
    <row r="323" spans="1:27" hidden="1" outlineLevel="1" x14ac:dyDescent="0.2">
      <c r="A323" s="141"/>
      <c r="B323" s="141"/>
      <c r="C323" s="141"/>
      <c r="D323" s="141"/>
      <c r="E323" s="141"/>
      <c r="F323" s="141"/>
      <c r="G323" s="141"/>
      <c r="H323" s="141"/>
      <c r="I323" s="141"/>
      <c r="J323" s="141"/>
      <c r="K323" s="141"/>
      <c r="L323" s="216"/>
      <c r="M323" s="216"/>
      <c r="N323" s="216"/>
      <c r="O323" s="216"/>
      <c r="P323" s="216"/>
      <c r="Q323" s="141"/>
      <c r="R323" s="216"/>
      <c r="S323" s="141"/>
      <c r="T323" s="216"/>
      <c r="U323" s="216"/>
      <c r="V323" s="216"/>
      <c r="W323" s="216"/>
      <c r="X323" s="994"/>
      <c r="Y323" s="992"/>
    </row>
    <row r="324" spans="1:27" hidden="1" outlineLevel="1" x14ac:dyDescent="0.2">
      <c r="A324" s="141"/>
      <c r="B324" s="141"/>
      <c r="C324" s="141"/>
      <c r="D324" s="141"/>
      <c r="E324" s="141"/>
      <c r="F324" s="141"/>
      <c r="G324" s="716">
        <f>IF(G319="No",G316,G321)</f>
        <v>3.2258000000000002E-2</v>
      </c>
      <c r="H324" s="721"/>
      <c r="I324" s="716">
        <f>IF(G319="No",I316,0)</f>
        <v>0</v>
      </c>
      <c r="J324" s="141"/>
      <c r="K324" s="141" t="s">
        <v>492</v>
      </c>
      <c r="L324" s="216"/>
      <c r="M324" s="216"/>
      <c r="N324" s="716">
        <f>IF(N319="No",N316,N321)</f>
        <v>0</v>
      </c>
      <c r="O324" s="718">
        <f>IF(N319="No",O316,0)</f>
        <v>0</v>
      </c>
      <c r="P324" s="716">
        <f>IF(P319="No",P316,P321)</f>
        <v>0</v>
      </c>
      <c r="Q324" s="718">
        <f>IF(P319="No",Q316,0)</f>
        <v>0</v>
      </c>
      <c r="R324" s="716">
        <f>IF(R319="No",R316,R321)</f>
        <v>0</v>
      </c>
      <c r="S324" s="718">
        <f>IF(R319="No",S316,0)</f>
        <v>0</v>
      </c>
      <c r="T324" s="216"/>
      <c r="U324" s="216"/>
      <c r="V324" s="216"/>
      <c r="W324" s="216"/>
      <c r="X324" s="994"/>
      <c r="Y324" s="992"/>
    </row>
    <row r="325" spans="1:27" ht="13.5" hidden="1" outlineLevel="1" thickBot="1" x14ac:dyDescent="0.25">
      <c r="A325" s="141"/>
      <c r="B325" s="141"/>
      <c r="C325" s="141"/>
      <c r="D325" s="141"/>
      <c r="E325" s="141"/>
      <c r="F325" s="141"/>
      <c r="G325" s="603"/>
      <c r="H325" s="520"/>
      <c r="I325" s="603"/>
      <c r="J325" s="520"/>
      <c r="K325" s="141"/>
      <c r="L325" s="216"/>
      <c r="M325" s="516" t="s">
        <v>412</v>
      </c>
      <c r="N325" s="602">
        <f>N317+N322</f>
        <v>0</v>
      </c>
      <c r="O325" s="602">
        <f t="shared" ref="O325" si="63">O317+O322</f>
        <v>0</v>
      </c>
      <c r="P325" s="602">
        <f>P317+P322</f>
        <v>0</v>
      </c>
      <c r="Q325" s="602">
        <f t="shared" ref="Q325" si="64">Q317+Q322</f>
        <v>0</v>
      </c>
      <c r="R325" s="602">
        <f>R317+R322</f>
        <v>0</v>
      </c>
      <c r="S325" s="602">
        <f>S317+S322</f>
        <v>0</v>
      </c>
      <c r="T325" s="216"/>
      <c r="U325" s="216"/>
      <c r="V325" s="216"/>
      <c r="W325" s="216"/>
      <c r="X325" s="994"/>
      <c r="Y325" s="992"/>
    </row>
    <row r="326" spans="1:27" ht="13.5" collapsed="1" thickBot="1" x14ac:dyDescent="0.25">
      <c r="A326" s="141"/>
      <c r="B326" s="141"/>
      <c r="C326" s="141"/>
      <c r="D326" s="141"/>
      <c r="E326" s="141"/>
      <c r="F326" s="141"/>
      <c r="G326" s="1663">
        <f>G317+G322</f>
        <v>0</v>
      </c>
      <c r="H326" s="1663"/>
      <c r="I326" s="1663">
        <f>I317+I322</f>
        <v>0</v>
      </c>
      <c r="J326" s="1663"/>
      <c r="K326" s="832" t="s">
        <v>399</v>
      </c>
      <c r="L326" s="216"/>
      <c r="M326" s="216"/>
      <c r="N326" s="141"/>
      <c r="O326" s="216"/>
      <c r="P326" s="216"/>
      <c r="Q326" s="141"/>
      <c r="R326" s="219"/>
      <c r="S326" s="219"/>
      <c r="T326" s="216"/>
      <c r="U326" s="216"/>
      <c r="V326" s="216"/>
      <c r="W326" s="216"/>
      <c r="X326" s="994"/>
      <c r="Y326" s="992"/>
    </row>
    <row r="327" spans="1:27" ht="15.75" thickTop="1" x14ac:dyDescent="0.25">
      <c r="A327" s="141"/>
      <c r="B327" s="141"/>
      <c r="C327" s="141"/>
      <c r="D327" s="141"/>
      <c r="E327" s="141"/>
      <c r="F327" s="141"/>
      <c r="G327" s="842" t="str">
        <f>IF($AD313&gt;0,"ERROR ALERT:  The date range in your service start/end dates is NOT consistent with the OTO start/end dates ('OTO Terms' above), please check your dates and re-enter.","")</f>
        <v/>
      </c>
      <c r="H327" s="801"/>
      <c r="I327" s="801"/>
      <c r="J327" s="801"/>
      <c r="K327" s="803"/>
      <c r="L327" s="216"/>
      <c r="M327" s="216"/>
      <c r="N327" s="141"/>
      <c r="O327" s="216"/>
      <c r="P327" s="216"/>
      <c r="Q327" s="141"/>
      <c r="R327" s="219"/>
      <c r="S327" s="219"/>
      <c r="T327" s="216"/>
      <c r="U327" s="216"/>
      <c r="V327" s="216"/>
      <c r="W327" s="216"/>
      <c r="X327" s="994"/>
      <c r="Y327" s="992"/>
    </row>
    <row r="328" spans="1:27" ht="15" x14ac:dyDescent="0.25">
      <c r="B328" s="210" t="s">
        <v>681</v>
      </c>
      <c r="R328" s="254"/>
      <c r="S328" s="254"/>
    </row>
    <row r="329" spans="1:27" x14ac:dyDescent="0.2">
      <c r="R329" s="1660" t="s">
        <v>547</v>
      </c>
      <c r="S329" s="1660"/>
    </row>
    <row r="330" spans="1:27" hidden="1" outlineLevel="1" x14ac:dyDescent="0.2">
      <c r="A330" s="141"/>
      <c r="B330" s="141" t="s">
        <v>493</v>
      </c>
      <c r="C330" s="141"/>
      <c r="D330" s="597">
        <f>IF(NOT(G339=0),IF(G352="NO",(YEAR(I339)-YEAR(G339))*12+MONTH(I339)-MONTH(G339)+IF(G343="no",1,0)+IF(I343="yes",-1,0),0),0)</f>
        <v>0</v>
      </c>
      <c r="E330" s="141"/>
      <c r="F330" s="141"/>
      <c r="G330" s="141"/>
      <c r="H330" s="141"/>
      <c r="I330" s="141"/>
      <c r="J330" s="141"/>
      <c r="K330" s="141"/>
      <c r="L330" s="141"/>
      <c r="M330" s="516" t="s">
        <v>493</v>
      </c>
      <c r="N330" s="597">
        <f>IF(NOT(N337="n/a"),(YEAR(O337)-YEAR(N337))*12+MONTH(O337)-MONTH(N337)+IF(N343="no",1,0)+IF(O343="yes",-1,0),0)</f>
        <v>0</v>
      </c>
      <c r="O330" s="254"/>
      <c r="P330" s="597">
        <f>IF(NOT(P337="n/a"),(YEAR(Q337)-YEAR(P337))*12+MONTH(Q337)-MONTH(P337)+IF(P343="no",1,0)+IF(Q343="yes",-1,0),0)</f>
        <v>0</v>
      </c>
      <c r="Q330" s="141"/>
      <c r="R330" s="597">
        <f>IF(NOT(R337="n/a"),(YEAR(S337)-YEAR(R337))*12+MONTH(S337)-MONTH(R337)+IF(R343="no",1,0)+IF(S343="yes",-1,0),0)</f>
        <v>0</v>
      </c>
      <c r="S330" s="202"/>
      <c r="T330" s="216"/>
      <c r="U330" s="141"/>
      <c r="V330" s="216"/>
      <c r="W330" s="216"/>
      <c r="X330" s="994"/>
      <c r="Y330" s="992"/>
    </row>
    <row r="331" spans="1:27" hidden="1" outlineLevel="1" x14ac:dyDescent="0.2">
      <c r="A331" s="141"/>
      <c r="B331" s="141" t="s">
        <v>494</v>
      </c>
      <c r="C331" s="141"/>
      <c r="D331" s="598">
        <f>IF(NOT(G339=0),G357,0)</f>
        <v>0</v>
      </c>
      <c r="E331" s="141"/>
      <c r="F331" s="141"/>
      <c r="G331" s="141"/>
      <c r="H331" s="141"/>
      <c r="I331" s="141"/>
      <c r="J331" s="141"/>
      <c r="K331" s="141"/>
      <c r="L331" s="141"/>
      <c r="M331" s="516" t="s">
        <v>494</v>
      </c>
      <c r="N331" s="598">
        <f>N357</f>
        <v>0</v>
      </c>
      <c r="O331" s="216"/>
      <c r="P331" s="598">
        <f>P357</f>
        <v>0</v>
      </c>
      <c r="Q331" s="141"/>
      <c r="R331" s="598">
        <f>R357</f>
        <v>0</v>
      </c>
      <c r="S331" s="202"/>
      <c r="T331" s="216"/>
      <c r="U331" s="141"/>
      <c r="V331" s="216"/>
      <c r="W331" s="216"/>
      <c r="X331" s="994"/>
      <c r="Y331" s="992"/>
    </row>
    <row r="332" spans="1:27" hidden="1" outlineLevel="1" x14ac:dyDescent="0.2">
      <c r="A332" s="141"/>
      <c r="B332" s="141" t="s">
        <v>495</v>
      </c>
      <c r="C332" s="141"/>
      <c r="D332" s="599">
        <f>IF(NOT(G339=0),I357,0)</f>
        <v>0</v>
      </c>
      <c r="E332" s="141"/>
      <c r="F332" s="141"/>
      <c r="G332" s="141"/>
      <c r="H332" s="141"/>
      <c r="I332" s="141"/>
      <c r="J332" s="141"/>
      <c r="K332" s="141"/>
      <c r="L332" s="141"/>
      <c r="M332" s="516" t="s">
        <v>495</v>
      </c>
      <c r="N332" s="599">
        <f>O357</f>
        <v>0</v>
      </c>
      <c r="O332" s="216"/>
      <c r="P332" s="599">
        <f>Q357</f>
        <v>0</v>
      </c>
      <c r="Q332" s="141"/>
      <c r="R332" s="599">
        <f>S357</f>
        <v>0</v>
      </c>
      <c r="S332" s="202"/>
      <c r="T332" s="216"/>
      <c r="U332" s="141"/>
      <c r="V332" s="216"/>
      <c r="W332" s="216"/>
      <c r="X332" s="994"/>
      <c r="Y332" s="992"/>
    </row>
    <row r="333" spans="1:27" hidden="1" outlineLevel="1" x14ac:dyDescent="0.2">
      <c r="A333" s="141"/>
      <c r="B333" s="219" t="s">
        <v>496</v>
      </c>
      <c r="C333" s="141"/>
      <c r="D333" s="597">
        <f>SUM(D330:D332)</f>
        <v>0</v>
      </c>
      <c r="E333" s="141"/>
      <c r="F333" s="141"/>
      <c r="G333" s="141"/>
      <c r="H333" s="141"/>
      <c r="I333" s="141"/>
      <c r="J333" s="141"/>
      <c r="K333" s="141"/>
      <c r="L333" s="141"/>
      <c r="M333" s="499" t="s">
        <v>496</v>
      </c>
      <c r="N333" s="597">
        <f>SUM(N330:N332)</f>
        <v>0</v>
      </c>
      <c r="O333" s="216"/>
      <c r="P333" s="597">
        <f>SUM(P330:P332)</f>
        <v>0</v>
      </c>
      <c r="Q333" s="141"/>
      <c r="R333" s="597">
        <f>SUM(R330:R332)</f>
        <v>0</v>
      </c>
      <c r="S333" s="202"/>
      <c r="T333" s="216"/>
      <c r="U333" s="141"/>
      <c r="V333" s="216"/>
      <c r="W333" s="216"/>
      <c r="X333" s="994"/>
      <c r="Y333" s="992"/>
    </row>
    <row r="334" spans="1:27" hidden="1" outlineLevel="1" x14ac:dyDescent="0.2">
      <c r="A334" s="216"/>
      <c r="B334" s="219"/>
      <c r="C334" s="216"/>
      <c r="D334" s="601"/>
      <c r="E334" s="216"/>
      <c r="F334" s="216"/>
      <c r="G334" s="216"/>
      <c r="H334" s="216"/>
      <c r="I334" s="216"/>
      <c r="J334" s="216"/>
      <c r="K334" s="216"/>
      <c r="L334" s="216"/>
      <c r="M334" s="499"/>
      <c r="N334" s="216"/>
      <c r="O334" s="216"/>
      <c r="P334" s="601"/>
      <c r="Q334" s="216"/>
      <c r="R334" s="216"/>
      <c r="S334" s="254"/>
      <c r="T334" s="216"/>
      <c r="U334" s="216"/>
      <c r="V334" s="216"/>
      <c r="W334" s="216"/>
      <c r="X334" s="994"/>
      <c r="Y334" s="992"/>
    </row>
    <row r="335" spans="1:27" hidden="1" outlineLevel="1" x14ac:dyDescent="0.2">
      <c r="A335" s="141"/>
      <c r="B335" s="141"/>
      <c r="C335" s="141"/>
      <c r="D335" s="141"/>
      <c r="E335" s="141"/>
      <c r="F335" s="141"/>
      <c r="G335" s="141"/>
      <c r="H335" s="141"/>
      <c r="I335" s="141"/>
      <c r="J335" s="141"/>
      <c r="K335" s="141"/>
      <c r="L335" s="141"/>
      <c r="M335" s="141"/>
      <c r="N335" s="141"/>
      <c r="O335" s="141"/>
      <c r="P335" s="141"/>
      <c r="Q335" s="141"/>
      <c r="R335" s="216"/>
      <c r="S335" s="254"/>
      <c r="T335" s="216"/>
      <c r="U335" s="141"/>
      <c r="V335" s="216"/>
      <c r="W335" s="216"/>
      <c r="X335" s="994"/>
      <c r="Y335" s="992"/>
    </row>
    <row r="336" spans="1:27" collapsed="1" x14ac:dyDescent="0.2">
      <c r="A336" s="141"/>
      <c r="B336" s="219" t="s">
        <v>497</v>
      </c>
      <c r="C336" s="141"/>
      <c r="D336" s="216"/>
      <c r="E336" s="669"/>
      <c r="F336" s="141"/>
      <c r="G336" s="1664"/>
      <c r="H336" s="1664"/>
      <c r="I336" s="141"/>
      <c r="J336" s="141"/>
      <c r="K336" s="141"/>
      <c r="L336" s="216"/>
      <c r="M336" s="216"/>
      <c r="N336" s="590" t="s">
        <v>545</v>
      </c>
      <c r="O336" s="591" t="s">
        <v>579</v>
      </c>
      <c r="P336" s="590" t="s">
        <v>545</v>
      </c>
      <c r="Q336" s="591" t="s">
        <v>579</v>
      </c>
      <c r="R336" s="590" t="s">
        <v>545</v>
      </c>
      <c r="S336" s="591" t="s">
        <v>579</v>
      </c>
      <c r="T336" s="216"/>
      <c r="U336" s="141"/>
      <c r="V336" s="216"/>
      <c r="W336" s="216"/>
      <c r="X336" s="994"/>
      <c r="Y336" s="992"/>
      <c r="Z336" s="994" t="s">
        <v>581</v>
      </c>
      <c r="AA336" s="1074">
        <f>IF(G339&gt;0,IF(MONTH(G339)&gt;3,DATE(YEAR(G339)+1,3,31),DATE(YEAR(G339),3,31)),0)</f>
        <v>0</v>
      </c>
    </row>
    <row r="337" spans="1:31" x14ac:dyDescent="0.2">
      <c r="A337" s="141"/>
      <c r="B337" s="141"/>
      <c r="C337" s="141"/>
      <c r="D337" s="141"/>
      <c r="E337" s="141"/>
      <c r="F337" s="141"/>
      <c r="G337" s="494" t="str">
        <f>IF(AD340&gt;0,"WARNING: Generally, you may not cross a CLBC March 31 fiscal year end, please re-check your dates.","")</f>
        <v/>
      </c>
      <c r="H337" s="141"/>
      <c r="I337" s="141"/>
      <c r="J337" s="141"/>
      <c r="K337" s="141"/>
      <c r="L337" s="216"/>
      <c r="M337" s="216"/>
      <c r="N337" s="503" t="str">
        <f>IF(OR(Z346=1,Z346=2,Z346=3),G339,"N/A")</f>
        <v>N/A</v>
      </c>
      <c r="O337" s="504" t="str">
        <f>IF(Z346=1,I339,IF(OR(Z346=2,Z346=3),$AA$79,"N/A"))</f>
        <v>N/A</v>
      </c>
      <c r="P337" s="503" t="str">
        <f>IF(OR(Z346=2,Z346=3),$AA$81,IF(OR(Z346=4,Z346=5),G339,"N/A"))</f>
        <v>N/A</v>
      </c>
      <c r="Q337" s="504" t="str">
        <f>IF(OR(Z346=2,Z346=4),I339,IF(OR(Z346=3,Z346=5),$AA$83,"N/A"))</f>
        <v>N/A</v>
      </c>
      <c r="R337" s="505" t="str">
        <f>IF(OR(Z346=3,Z346=5),$AA$85,IF(Z346=6,G339,"N/A"))</f>
        <v>N/A</v>
      </c>
      <c r="S337" s="504" t="str">
        <f>IF(OR(Z346=3,Z346=5,Z346=6),I339,"N/A")</f>
        <v>N/A</v>
      </c>
      <c r="T337" s="216"/>
      <c r="U337" s="141"/>
      <c r="V337" s="216"/>
      <c r="W337" s="216"/>
      <c r="X337" s="994"/>
      <c r="Y337" s="992"/>
      <c r="Z337" s="994" t="s">
        <v>582</v>
      </c>
      <c r="AA337" s="1074">
        <f>IF(AA336&gt;=$L$20,$L$20,AA336)</f>
        <v>0</v>
      </c>
    </row>
    <row r="338" spans="1:31" ht="38.25" customHeight="1" x14ac:dyDescent="0.2">
      <c r="A338" s="140"/>
      <c r="B338" s="792" t="s">
        <v>464</v>
      </c>
      <c r="C338" s="1543" t="s">
        <v>351</v>
      </c>
      <c r="D338" s="1543"/>
      <c r="E338" s="587" t="s">
        <v>481</v>
      </c>
      <c r="F338" s="587" t="s">
        <v>482</v>
      </c>
      <c r="G338" s="1522" t="s">
        <v>519</v>
      </c>
      <c r="H338" s="1523"/>
      <c r="I338" s="1522" t="s">
        <v>520</v>
      </c>
      <c r="J338" s="1523" t="s">
        <v>520</v>
      </c>
      <c r="K338" s="833" t="s">
        <v>387</v>
      </c>
      <c r="L338" s="831" t="s">
        <v>483</v>
      </c>
      <c r="M338" s="831" t="s">
        <v>388</v>
      </c>
      <c r="N338" s="1543" t="s">
        <v>389</v>
      </c>
      <c r="O338" s="1543"/>
      <c r="P338" s="1543" t="s">
        <v>390</v>
      </c>
      <c r="Q338" s="1543"/>
      <c r="R338" s="1543" t="s">
        <v>578</v>
      </c>
      <c r="S338" s="1543"/>
      <c r="T338" s="286"/>
      <c r="U338" s="140"/>
      <c r="V338" s="286"/>
      <c r="W338" s="286"/>
      <c r="X338" s="1002"/>
      <c r="Y338" s="1105"/>
    </row>
    <row r="339" spans="1:31" x14ac:dyDescent="0.2">
      <c r="A339" s="141"/>
      <c r="B339" s="666"/>
      <c r="C339" s="1544"/>
      <c r="D339" s="1544"/>
      <c r="E339" s="808" t="s">
        <v>484</v>
      </c>
      <c r="F339" s="670"/>
      <c r="G339" s="1665"/>
      <c r="H339" s="1667"/>
      <c r="I339" s="1665"/>
      <c r="J339" s="1666"/>
      <c r="K339" s="671"/>
      <c r="L339" s="671"/>
      <c r="M339" s="588">
        <f>ROUND(IF(F339="Y",L339,IF(G352="yes",G359,ROUND(K339,2)*D330+G359+I359)),2)</f>
        <v>0</v>
      </c>
      <c r="N339" s="1661">
        <f>IF(N352="yes",N358,ROUND(E336*N330,0)+N358+O358)</f>
        <v>0</v>
      </c>
      <c r="O339" s="1662"/>
      <c r="P339" s="1661">
        <f>IF(P352="yes",P358,ROUND(E336*P330,0)+P358+Q358)</f>
        <v>0</v>
      </c>
      <c r="Q339" s="1662"/>
      <c r="R339" s="1661">
        <f>IF(R352="yes",R358,ROUND(E336*R330,0)+R358+S358)</f>
        <v>0</v>
      </c>
      <c r="S339" s="1662"/>
      <c r="T339" s="216"/>
      <c r="U339" s="141"/>
      <c r="V339" s="216"/>
      <c r="W339" s="216"/>
      <c r="X339" s="994"/>
      <c r="Y339" s="992"/>
      <c r="AA339" s="992" t="s">
        <v>553</v>
      </c>
      <c r="AB339" s="992" t="s">
        <v>554</v>
      </c>
      <c r="AC339" s="994"/>
      <c r="AD339" s="1109" t="s">
        <v>617</v>
      </c>
      <c r="AE339" s="1109" t="s">
        <v>718</v>
      </c>
    </row>
    <row r="340" spans="1:31" hidden="1" outlineLevel="1" x14ac:dyDescent="0.2">
      <c r="A340" s="141"/>
      <c r="B340" s="141"/>
      <c r="C340" s="803"/>
      <c r="D340" s="141"/>
      <c r="E340" s="141"/>
      <c r="F340" s="141"/>
      <c r="G340" s="141">
        <f>G346</f>
        <v>31</v>
      </c>
      <c r="H340" s="141"/>
      <c r="I340" s="141">
        <f>I346</f>
        <v>31</v>
      </c>
      <c r="J340" s="141"/>
      <c r="K340" s="803" t="s">
        <v>391</v>
      </c>
      <c r="L340" s="216"/>
      <c r="M340" s="216"/>
      <c r="N340" s="141">
        <f t="shared" ref="N340:S340" si="65">N346</f>
        <v>0</v>
      </c>
      <c r="O340" s="141">
        <f t="shared" si="65"/>
        <v>0</v>
      </c>
      <c r="P340" s="141">
        <f t="shared" si="65"/>
        <v>0</v>
      </c>
      <c r="Q340" s="141">
        <f t="shared" si="65"/>
        <v>0</v>
      </c>
      <c r="R340" s="141">
        <f t="shared" si="65"/>
        <v>0</v>
      </c>
      <c r="S340" s="141">
        <f t="shared" si="65"/>
        <v>0</v>
      </c>
      <c r="T340" s="216"/>
      <c r="U340" s="141"/>
      <c r="V340" s="216"/>
      <c r="W340" s="216"/>
      <c r="X340" s="994"/>
      <c r="Y340" s="992"/>
      <c r="Z340" s="992">
        <f>IF(AND(G339&gt;=$AA$77,I339&lt;=$AA$79),1,0)</f>
        <v>0</v>
      </c>
      <c r="AA340" s="992" t="s">
        <v>556</v>
      </c>
      <c r="AB340" s="992" t="s">
        <v>557</v>
      </c>
      <c r="AC340" s="994"/>
      <c r="AD340" s="994">
        <f>IF(AND(G339&gt;0,I339&gt;0,I339&gt;$AA337),1,0)</f>
        <v>0</v>
      </c>
      <c r="AE340" s="994" t="s">
        <v>619</v>
      </c>
    </row>
    <row r="341" spans="1:31" hidden="1" outlineLevel="1" x14ac:dyDescent="0.2">
      <c r="A341" s="141"/>
      <c r="B341" s="141"/>
      <c r="C341" s="803"/>
      <c r="D341" s="141"/>
      <c r="E341" s="141"/>
      <c r="F341" s="141"/>
      <c r="G341" s="141">
        <v>1</v>
      </c>
      <c r="H341" s="141"/>
      <c r="I341" s="141">
        <v>1</v>
      </c>
      <c r="J341" s="141"/>
      <c r="K341" s="803" t="s">
        <v>392</v>
      </c>
      <c r="L341" s="216"/>
      <c r="M341" s="216"/>
      <c r="N341" s="141">
        <v>1</v>
      </c>
      <c r="O341" s="141">
        <v>1</v>
      </c>
      <c r="P341" s="141">
        <v>1</v>
      </c>
      <c r="Q341" s="141">
        <v>1</v>
      </c>
      <c r="R341" s="141">
        <v>1</v>
      </c>
      <c r="S341" s="141">
        <v>1</v>
      </c>
      <c r="T341" s="216"/>
      <c r="U341" s="141"/>
      <c r="V341" s="216"/>
      <c r="W341" s="216"/>
      <c r="X341" s="994"/>
      <c r="Y341" s="992"/>
      <c r="Z341" s="992">
        <f>IF(AND(G339&lt;=$AA$79,I339&gt;$AA$79,I339&lt;=$AA$83),2,0)</f>
        <v>0</v>
      </c>
      <c r="AA341" s="992" t="s">
        <v>559</v>
      </c>
      <c r="AB341" s="992" t="s">
        <v>560</v>
      </c>
      <c r="AC341" s="994"/>
    </row>
    <row r="342" spans="1:31" hidden="1" outlineLevel="1" x14ac:dyDescent="0.2">
      <c r="A342" s="141"/>
      <c r="B342" s="141"/>
      <c r="C342" s="803"/>
      <c r="D342" s="141"/>
      <c r="E342" s="141"/>
      <c r="F342" s="141"/>
      <c r="G342" s="141">
        <f>DAY(G339)</f>
        <v>0</v>
      </c>
      <c r="H342" s="141"/>
      <c r="I342" s="141">
        <f>DAY(I339)</f>
        <v>0</v>
      </c>
      <c r="J342" s="141"/>
      <c r="K342" s="803" t="s">
        <v>393</v>
      </c>
      <c r="L342" s="216"/>
      <c r="M342" s="216"/>
      <c r="N342" s="141" t="b">
        <f t="shared" ref="N342:O342" si="66">IF(NOT(N337="n/a"),DAY(N337))</f>
        <v>0</v>
      </c>
      <c r="O342" s="141" t="b">
        <f t="shared" si="66"/>
        <v>0</v>
      </c>
      <c r="P342" s="141" t="b">
        <f>IF(NOT(P337="n/a"),DAY(P337))</f>
        <v>0</v>
      </c>
      <c r="Q342" s="141" t="b">
        <f>IF(NOT(Q337="n/a"),DAY(Q337))</f>
        <v>0</v>
      </c>
      <c r="R342" s="141" t="b">
        <f>IF(NOT(R337="n/a"),DAY(R337))</f>
        <v>0</v>
      </c>
      <c r="S342" s="141" t="b">
        <f>IF(NOT(S337="n/a"),DAY(S337))</f>
        <v>0</v>
      </c>
      <c r="T342" s="216"/>
      <c r="U342" s="141"/>
      <c r="V342" s="216"/>
      <c r="W342" s="216"/>
      <c r="X342" s="994"/>
      <c r="Y342" s="992"/>
      <c r="Z342" s="994">
        <f>IF(AND(G339&lt;$AA$79,I339&gt;$AA$83,I339&lt;=$AA$86),3,0)</f>
        <v>0</v>
      </c>
      <c r="AA342" s="992" t="s">
        <v>562</v>
      </c>
      <c r="AB342" s="994" t="s">
        <v>563</v>
      </c>
      <c r="AC342" s="994"/>
      <c r="AD342" s="1109" t="s">
        <v>617</v>
      </c>
      <c r="AE342" s="1109" t="s">
        <v>719</v>
      </c>
    </row>
    <row r="343" spans="1:31" hidden="1" outlineLevel="1" x14ac:dyDescent="0.2">
      <c r="A343" s="141"/>
      <c r="B343" s="141"/>
      <c r="C343" s="803"/>
      <c r="D343" s="141"/>
      <c r="E343" s="141"/>
      <c r="F343" s="141"/>
      <c r="G343" s="516" t="str">
        <f>IF(G342=G341,"No","Yes")</f>
        <v>Yes</v>
      </c>
      <c r="H343" s="141"/>
      <c r="I343" s="516" t="str">
        <f>IF(I342=I340,"No","Yes")</f>
        <v>Yes</v>
      </c>
      <c r="J343" s="141"/>
      <c r="K343" s="803" t="s">
        <v>394</v>
      </c>
      <c r="L343" s="216"/>
      <c r="M343" s="216"/>
      <c r="N343" s="516" t="str">
        <f>IF(N342=N341,"No","Yes")</f>
        <v>Yes</v>
      </c>
      <c r="O343" s="516" t="str">
        <f>IF(O342=O340,"No","Yes")</f>
        <v>Yes</v>
      </c>
      <c r="P343" s="516" t="str">
        <f>IF(P342=P341,"No","Yes")</f>
        <v>Yes</v>
      </c>
      <c r="Q343" s="516" t="str">
        <f>IF(Q342=Q340,"No","Yes")</f>
        <v>Yes</v>
      </c>
      <c r="R343" s="516" t="str">
        <f>IF(R342=R341,"No","Yes")</f>
        <v>Yes</v>
      </c>
      <c r="S343" s="516" t="str">
        <f>IF(S342=S340,"No","Yes")</f>
        <v>Yes</v>
      </c>
      <c r="T343" s="216"/>
      <c r="U343" s="216"/>
      <c r="V343" s="216"/>
      <c r="W343" s="216"/>
      <c r="X343" s="994"/>
      <c r="Y343" s="992"/>
      <c r="Z343" s="992">
        <f>IF(AND(G339&gt;=$AA$81,I339&lt;=$AA$83),4,0)</f>
        <v>4</v>
      </c>
      <c r="AA343" s="992" t="s">
        <v>565</v>
      </c>
      <c r="AB343" s="994" t="s">
        <v>566</v>
      </c>
      <c r="AC343" s="994"/>
      <c r="AD343" s="994">
        <f>IF(OR(G339&lt;$L$18,G339&gt;$L$20),1,0)</f>
        <v>0</v>
      </c>
      <c r="AE343" s="994" t="s">
        <v>618</v>
      </c>
    </row>
    <row r="344" spans="1:31" hidden="1" outlineLevel="1" x14ac:dyDescent="0.2">
      <c r="A344" s="141"/>
      <c r="B344" s="141"/>
      <c r="C344" s="803"/>
      <c r="D344" s="141"/>
      <c r="E344" s="141"/>
      <c r="F344" s="141"/>
      <c r="G344" s="219"/>
      <c r="H344" s="141"/>
      <c r="I344" s="219"/>
      <c r="J344" s="141"/>
      <c r="K344" s="803"/>
      <c r="L344" s="216"/>
      <c r="M344" s="216"/>
      <c r="N344" s="34"/>
      <c r="O344" s="34"/>
      <c r="P344" s="34"/>
      <c r="R344" s="34"/>
      <c r="S344" s="34"/>
      <c r="T344" s="216"/>
      <c r="U344" s="216"/>
      <c r="V344" s="216"/>
      <c r="W344" s="216"/>
      <c r="X344" s="994"/>
      <c r="Y344" s="992"/>
      <c r="Z344" s="992">
        <f>IF(AND(G339&gt;=$AA$81,G339&lt;=$AA$83,I339&gt;$AA$85),5,0)</f>
        <v>0</v>
      </c>
      <c r="AA344" s="992" t="s">
        <v>568</v>
      </c>
      <c r="AB344" s="994" t="s">
        <v>569</v>
      </c>
      <c r="AC344" s="994"/>
      <c r="AD344" s="994">
        <f>IF(OR(I339&lt;$L$18,I339&gt;$L$20),1,0)</f>
        <v>0</v>
      </c>
      <c r="AE344" s="994" t="s">
        <v>705</v>
      </c>
    </row>
    <row r="345" spans="1:31" hidden="1" outlineLevel="1" x14ac:dyDescent="0.2">
      <c r="A345" s="141"/>
      <c r="B345" s="141"/>
      <c r="C345" s="803"/>
      <c r="D345" s="141"/>
      <c r="E345" s="141"/>
      <c r="F345" s="141"/>
      <c r="G345" s="518">
        <f>EOMONTH(G339,0)</f>
        <v>31</v>
      </c>
      <c r="H345" s="141"/>
      <c r="I345" s="518">
        <f>EOMONTH(I339,0)</f>
        <v>31</v>
      </c>
      <c r="J345" s="141"/>
      <c r="K345" s="803" t="s">
        <v>395</v>
      </c>
      <c r="L345" s="216"/>
      <c r="M345" s="216"/>
      <c r="N345" s="518" t="b">
        <f t="shared" ref="N345:S345" si="67">IF(NOT(N337="n/a"),EOMONTH(N337,0))</f>
        <v>0</v>
      </c>
      <c r="O345" s="518" t="b">
        <f t="shared" si="67"/>
        <v>0</v>
      </c>
      <c r="P345" s="518" t="b">
        <f t="shared" si="67"/>
        <v>0</v>
      </c>
      <c r="Q345" s="518" t="b">
        <f t="shared" si="67"/>
        <v>0</v>
      </c>
      <c r="R345" s="518" t="b">
        <f t="shared" si="67"/>
        <v>0</v>
      </c>
      <c r="S345" s="518" t="b">
        <f t="shared" si="67"/>
        <v>0</v>
      </c>
      <c r="T345" s="216"/>
      <c r="U345" s="216"/>
      <c r="V345" s="216"/>
      <c r="W345" s="216"/>
      <c r="X345" s="994"/>
      <c r="Y345" s="992"/>
      <c r="Z345" s="1111">
        <f>IF(AND(G339&gt;=$AA$85,I339&lt;=$AA$86),6,0)</f>
        <v>6</v>
      </c>
      <c r="AA345" s="992" t="s">
        <v>571</v>
      </c>
      <c r="AB345" s="994" t="s">
        <v>572</v>
      </c>
      <c r="AC345" s="994"/>
      <c r="AD345" s="994"/>
      <c r="AE345" s="994"/>
    </row>
    <row r="346" spans="1:31" ht="13.5" hidden="1" outlineLevel="1" thickBot="1" x14ac:dyDescent="0.25">
      <c r="A346" s="141"/>
      <c r="B346" s="141"/>
      <c r="C346" s="803"/>
      <c r="D346" s="141"/>
      <c r="E346" s="141"/>
      <c r="F346" s="141"/>
      <c r="G346" s="141">
        <f>DAY(G345)</f>
        <v>31</v>
      </c>
      <c r="H346" s="141"/>
      <c r="I346" s="141">
        <f>DAY(I345)</f>
        <v>31</v>
      </c>
      <c r="J346" s="141"/>
      <c r="K346" s="803" t="s">
        <v>396</v>
      </c>
      <c r="L346" s="216"/>
      <c r="M346" s="216"/>
      <c r="N346" s="141">
        <f>DAY(N345)</f>
        <v>0</v>
      </c>
      <c r="O346" s="141">
        <f>DAY(O345)</f>
        <v>0</v>
      </c>
      <c r="P346" s="141">
        <f t="shared" ref="P346:S346" si="68">DAY(P345)</f>
        <v>0</v>
      </c>
      <c r="Q346" s="141">
        <f t="shared" si="68"/>
        <v>0</v>
      </c>
      <c r="R346" s="141">
        <f t="shared" si="68"/>
        <v>0</v>
      </c>
      <c r="S346" s="141">
        <f t="shared" si="68"/>
        <v>0</v>
      </c>
      <c r="T346" s="216"/>
      <c r="U346" s="216"/>
      <c r="V346" s="216"/>
      <c r="W346" s="216"/>
      <c r="X346" s="994"/>
      <c r="Y346" s="992"/>
      <c r="Z346" s="1112">
        <f>IF(AND(NOT(G339=0),NOT(I339=0)),SUM(Z340:Z345),0)</f>
        <v>0</v>
      </c>
      <c r="AA346" s="992" t="s">
        <v>601</v>
      </c>
      <c r="AC346" s="994"/>
      <c r="AD346" s="1112">
        <f>IF(AND(G339&gt;0,I339&gt;0),SUM(AD343:AD345),0)</f>
        <v>0</v>
      </c>
      <c r="AE346" s="994" t="s">
        <v>620</v>
      </c>
    </row>
    <row r="347" spans="1:31" hidden="1" outlineLevel="1" x14ac:dyDescent="0.2">
      <c r="A347" s="141"/>
      <c r="B347" s="141"/>
      <c r="C347" s="803"/>
      <c r="D347" s="141"/>
      <c r="E347" s="141"/>
      <c r="F347" s="141"/>
      <c r="G347" s="520">
        <f>G345-G339+1</f>
        <v>32</v>
      </c>
      <c r="H347" s="141"/>
      <c r="I347" s="520">
        <f>I345-I339</f>
        <v>31</v>
      </c>
      <c r="J347" s="141"/>
      <c r="K347" s="803" t="s">
        <v>628</v>
      </c>
      <c r="L347" s="216"/>
      <c r="M347" s="216"/>
      <c r="N347" s="520" t="b">
        <f>IF(NOT(N337="n/a"),N345-N337+1)</f>
        <v>0</v>
      </c>
      <c r="O347" s="520" t="b">
        <f>IF(NOT(O337="n/a"),O345-O337)</f>
        <v>0</v>
      </c>
      <c r="P347" s="520" t="b">
        <f>IF(NOT(P337="n/a"),P345-P337+1)</f>
        <v>0</v>
      </c>
      <c r="Q347" s="520" t="b">
        <f>IF(NOT(Q337="n/a"),Q345-Q337)</f>
        <v>0</v>
      </c>
      <c r="R347" s="520" t="b">
        <f>IF(NOT(R337="n/a"),R345-R337+1)</f>
        <v>0</v>
      </c>
      <c r="S347" s="520" t="b">
        <f>IF(NOT(S337="n/a"),S345-S337)</f>
        <v>0</v>
      </c>
      <c r="T347" s="216"/>
      <c r="U347" s="216"/>
      <c r="V347" s="216"/>
      <c r="W347" s="216"/>
      <c r="X347" s="994"/>
      <c r="Y347" s="992"/>
      <c r="AC347" s="994"/>
      <c r="AD347" s="994"/>
      <c r="AE347" s="994"/>
    </row>
    <row r="348" spans="1:31" hidden="1" outlineLevel="1" x14ac:dyDescent="0.2">
      <c r="A348" s="141"/>
      <c r="B348" s="141"/>
      <c r="C348" s="803"/>
      <c r="D348" s="141"/>
      <c r="E348" s="141"/>
      <c r="F348" s="141"/>
      <c r="G348" s="141">
        <f>G346-G347</f>
        <v>-1</v>
      </c>
      <c r="H348" s="141"/>
      <c r="I348" s="141">
        <f>I346-I347</f>
        <v>0</v>
      </c>
      <c r="J348" s="141"/>
      <c r="K348" s="803" t="s">
        <v>397</v>
      </c>
      <c r="L348" s="216"/>
      <c r="M348" s="216"/>
      <c r="N348" s="141">
        <f t="shared" ref="N348:S348" si="69">N346-N347</f>
        <v>0</v>
      </c>
      <c r="O348" s="141">
        <f t="shared" si="69"/>
        <v>0</v>
      </c>
      <c r="P348" s="141">
        <f t="shared" si="69"/>
        <v>0</v>
      </c>
      <c r="Q348" s="141">
        <f t="shared" si="69"/>
        <v>0</v>
      </c>
      <c r="R348" s="141">
        <f t="shared" si="69"/>
        <v>0</v>
      </c>
      <c r="S348" s="141">
        <f t="shared" si="69"/>
        <v>0</v>
      </c>
      <c r="T348" s="216"/>
      <c r="U348" s="216"/>
      <c r="V348" s="216"/>
      <c r="W348" s="216"/>
      <c r="X348" s="994"/>
      <c r="Y348" s="992"/>
      <c r="AC348" s="994"/>
      <c r="AD348" s="994"/>
      <c r="AE348" s="994"/>
    </row>
    <row r="349" spans="1:31" hidden="1" outlineLevel="1" x14ac:dyDescent="0.2">
      <c r="A349" s="141"/>
      <c r="B349" s="141"/>
      <c r="C349" s="803"/>
      <c r="D349" s="141"/>
      <c r="E349" s="141"/>
      <c r="F349" s="141"/>
      <c r="G349" s="718">
        <f>IF(G343="Yes",ROUND(G347/G346,6),0)</f>
        <v>1.0322579999999999</v>
      </c>
      <c r="H349" s="719"/>
      <c r="I349" s="718">
        <f>IF(I343="Yes",ROUND(I348/I346,6),0)</f>
        <v>0</v>
      </c>
      <c r="J349" s="589"/>
      <c r="K349" s="803" t="s">
        <v>398</v>
      </c>
      <c r="L349" s="216"/>
      <c r="M349" s="216"/>
      <c r="N349" s="716">
        <f>IF(ISERROR(IF(N343="Yes",ROUND(N347/N346,6),0)),0,IF(N343="Yes",ROUND(N347/N346,6),0))</f>
        <v>0</v>
      </c>
      <c r="O349" s="716">
        <f>IF(ISERROR(IF(O343="Yes",ROUND(O348/O346,6),0)),0,IF(O343="Yes",ROUND(O348/O346,6),0))</f>
        <v>0</v>
      </c>
      <c r="P349" s="716">
        <f>IF(ISERROR(IF(P343="Yes",ROUND(P347/P346,6),0)),0,IF(P343="Yes",ROUND(P347/P346,6),0))</f>
        <v>0</v>
      </c>
      <c r="Q349" s="716">
        <f>IF(ISERROR(IF(Q343="Yes",ROUND(Q348/Q346,6),0)),0,IF(Q343="Yes",ROUND(Q348/Q346,6),0))</f>
        <v>0</v>
      </c>
      <c r="R349" s="716">
        <f>IF(ISERROR(IF(R343="Yes",ROUND(R347/R346,6),0)),0,IF(R343="Yes",ROUND(R347/R346,6),0))</f>
        <v>0</v>
      </c>
      <c r="S349" s="716">
        <f>IF(ISERROR(IF(S343="Yes",ROUND(S348/S346,6),0)),0,IF(S343="Yes",ROUND(S348/S346,6),0))</f>
        <v>0</v>
      </c>
      <c r="T349" s="216"/>
      <c r="U349" s="216"/>
      <c r="V349" s="216"/>
      <c r="W349" s="216"/>
      <c r="X349" s="994"/>
      <c r="Y349" s="992"/>
      <c r="AA349" s="994" t="s">
        <v>556</v>
      </c>
      <c r="AB349" s="994" t="s">
        <v>575</v>
      </c>
      <c r="AC349" s="994"/>
      <c r="AD349" s="994"/>
      <c r="AE349" s="994"/>
    </row>
    <row r="350" spans="1:31" ht="13.5" hidden="1" outlineLevel="1" thickBot="1" x14ac:dyDescent="0.25">
      <c r="A350" s="141"/>
      <c r="B350" s="141"/>
      <c r="C350" s="803"/>
      <c r="D350" s="141"/>
      <c r="E350" s="141"/>
      <c r="F350" s="141"/>
      <c r="G350" s="592">
        <f>IF(G352="Yes",0,ROUND(ROUND(K339,2)*G349,2))</f>
        <v>0</v>
      </c>
      <c r="H350" s="141"/>
      <c r="I350" s="592">
        <f>IF(G352="Yes",0,ROUND(ROUND(K339,2)*I349,2))</f>
        <v>0</v>
      </c>
      <c r="J350" s="141"/>
      <c r="K350" s="803" t="s">
        <v>409</v>
      </c>
      <c r="L350" s="216"/>
      <c r="M350" s="216"/>
      <c r="N350" s="546">
        <f>IF(N352="yes",0,ROUND(N349*E336,0))</f>
        <v>0</v>
      </c>
      <c r="O350" s="546">
        <f>IF(N352="yes",0,ROUND(O349*E336,0))</f>
        <v>0</v>
      </c>
      <c r="P350" s="546">
        <f>IF(P352="yes",0,ROUND(P349*E336,0))</f>
        <v>0</v>
      </c>
      <c r="Q350" s="546">
        <f>IF(P352="yes",0,ROUND(Q349*E336,0))</f>
        <v>0</v>
      </c>
      <c r="R350" s="546">
        <f>IF(R352="yes",0,ROUND(R349*E336,0))</f>
        <v>0</v>
      </c>
      <c r="S350" s="546">
        <f>IF(R352="yes",0,ROUND(S349*E336,0))</f>
        <v>0</v>
      </c>
      <c r="T350" s="216"/>
      <c r="U350" s="216"/>
      <c r="V350" s="216"/>
      <c r="W350" s="216"/>
      <c r="X350" s="994"/>
      <c r="Y350" s="992"/>
      <c r="AA350" s="994" t="s">
        <v>565</v>
      </c>
      <c r="AB350" s="994" t="s">
        <v>576</v>
      </c>
      <c r="AC350" s="994"/>
      <c r="AD350" s="994"/>
      <c r="AE350" s="994"/>
    </row>
    <row r="351" spans="1:31" ht="13.5" hidden="1" outlineLevel="1" thickTop="1" x14ac:dyDescent="0.2">
      <c r="A351" s="141"/>
      <c r="B351" s="141"/>
      <c r="C351" s="803"/>
      <c r="D351" s="141"/>
      <c r="E351" s="141"/>
      <c r="F351" s="141"/>
      <c r="G351" s="141"/>
      <c r="H351" s="141"/>
      <c r="I351" s="141"/>
      <c r="J351" s="141"/>
      <c r="K351" s="803"/>
      <c r="L351" s="216"/>
      <c r="M351" s="216"/>
      <c r="N351" s="216"/>
      <c r="O351" s="216"/>
      <c r="P351" s="216"/>
      <c r="Q351" s="141"/>
      <c r="R351" s="216"/>
      <c r="S351" s="141"/>
      <c r="T351" s="216"/>
      <c r="U351" s="216"/>
      <c r="V351" s="216"/>
      <c r="W351" s="216"/>
      <c r="X351" s="994"/>
      <c r="Y351" s="992"/>
      <c r="AA351" s="994" t="s">
        <v>571</v>
      </c>
      <c r="AB351" s="994" t="s">
        <v>577</v>
      </c>
      <c r="AC351" s="994"/>
      <c r="AD351" s="994"/>
      <c r="AE351" s="994"/>
    </row>
    <row r="352" spans="1:31" hidden="1" outlineLevel="1" x14ac:dyDescent="0.2">
      <c r="A352" s="141"/>
      <c r="B352" s="141"/>
      <c r="C352" s="803"/>
      <c r="D352" s="141"/>
      <c r="E352" s="141"/>
      <c r="F352" s="141"/>
      <c r="G352" s="542" t="str">
        <f>IF(AND(YEAR(G339)=YEAR(I339),MONTH(G339)=MONTH(I339),G343="YES",I343="YES"),"YES","NO")</f>
        <v>YES</v>
      </c>
      <c r="H352" s="141"/>
      <c r="I352" s="141"/>
      <c r="J352" s="141"/>
      <c r="K352" s="803" t="s">
        <v>410</v>
      </c>
      <c r="L352" s="216"/>
      <c r="M352" s="216"/>
      <c r="N352" s="544" t="str">
        <f>IF(N337="n/a","NO",IF(AND(YEAR(N337)=YEAR(O337),MONTH(N337)=MONTH(O337),N343="YES",O343="YES"),"YES","NO"))</f>
        <v>NO</v>
      </c>
      <c r="O352" s="510"/>
      <c r="P352" s="544" t="str">
        <f>IF(P337="n/a","NO",IF(AND(YEAR(P337)=YEAR(Q337),MONTH(P337)=MONTH(Q337),P343="YES",Q343="YES"),"YES","NO"))</f>
        <v>NO</v>
      </c>
      <c r="Q352" s="141"/>
      <c r="R352" s="544" t="str">
        <f>IF(R337="n/a","NO",IF(AND(YEAR(R337)=YEAR(S337),MONTH(R337)=MONTH(S337),R343="YES",S343="YES"),"YES","NO"))</f>
        <v>NO</v>
      </c>
      <c r="S352" s="141"/>
      <c r="T352" s="216"/>
      <c r="U352" s="216"/>
      <c r="V352" s="216"/>
      <c r="W352" s="216"/>
      <c r="X352" s="994"/>
      <c r="Y352" s="992"/>
    </row>
    <row r="353" spans="1:25" hidden="1" outlineLevel="1" x14ac:dyDescent="0.2">
      <c r="A353" s="141"/>
      <c r="B353" s="141"/>
      <c r="C353" s="803"/>
      <c r="D353" s="141"/>
      <c r="E353" s="141"/>
      <c r="F353" s="141"/>
      <c r="G353" s="141">
        <f>IF(G352="yes",I339-G339+1,0)</f>
        <v>1</v>
      </c>
      <c r="H353" s="141"/>
      <c r="I353" s="141"/>
      <c r="J353" s="141"/>
      <c r="K353" s="803" t="s">
        <v>411</v>
      </c>
      <c r="L353" s="216"/>
      <c r="M353" s="216"/>
      <c r="N353" s="141">
        <f>IF(N352="yes",O337-N337+1,0)</f>
        <v>0</v>
      </c>
      <c r="O353" s="510"/>
      <c r="P353" s="141">
        <f>IF(P352="yes",Q337-P337+1,0)</f>
        <v>0</v>
      </c>
      <c r="Q353" s="141"/>
      <c r="R353" s="141">
        <f>IF(R352="yes",S337-R337+1,0)</f>
        <v>0</v>
      </c>
      <c r="S353" s="141"/>
      <c r="T353" s="216"/>
      <c r="U353" s="216"/>
      <c r="V353" s="216"/>
      <c r="W353" s="216"/>
      <c r="X353" s="994"/>
      <c r="Y353" s="992"/>
    </row>
    <row r="354" spans="1:25" hidden="1" outlineLevel="1" x14ac:dyDescent="0.2">
      <c r="A354" s="141"/>
      <c r="B354" s="141"/>
      <c r="C354" s="803"/>
      <c r="D354" s="141"/>
      <c r="E354" s="141"/>
      <c r="F354" s="141"/>
      <c r="G354" s="717">
        <f>ROUND(G353/G346,6)</f>
        <v>3.2258000000000002E-2</v>
      </c>
      <c r="H354" s="141"/>
      <c r="I354" s="141"/>
      <c r="J354" s="141"/>
      <c r="K354" s="803" t="s">
        <v>398</v>
      </c>
      <c r="L354" s="216"/>
      <c r="M354" s="216"/>
      <c r="N354" s="717">
        <f>IF(ISERROR(ROUND(N353/N346,6)),0,ROUND(N353/N346,6))</f>
        <v>0</v>
      </c>
      <c r="O354" s="543"/>
      <c r="P354" s="717">
        <f>IF(ISERROR(ROUND(P353/P346,6)),0,ROUND(P353/P346,6))</f>
        <v>0</v>
      </c>
      <c r="Q354" s="520"/>
      <c r="R354" s="717">
        <f>IF(ISERROR(ROUND(R353/R346,6)),0,ROUND(R353/R346,6))</f>
        <v>0</v>
      </c>
      <c r="S354" s="141"/>
      <c r="T354" s="216"/>
      <c r="U354" s="216"/>
      <c r="V354" s="216"/>
      <c r="W354" s="216"/>
      <c r="X354" s="994"/>
      <c r="Y354" s="992"/>
    </row>
    <row r="355" spans="1:25" hidden="1" outlineLevel="1" x14ac:dyDescent="0.2">
      <c r="A355" s="141"/>
      <c r="B355" s="141"/>
      <c r="C355" s="803"/>
      <c r="D355" s="141"/>
      <c r="E355" s="141"/>
      <c r="F355" s="141"/>
      <c r="G355" s="540">
        <f>ROUND(IF(NOT(G339=0),G354*ROUND(K339,2),0),2)</f>
        <v>0</v>
      </c>
      <c r="H355" s="141"/>
      <c r="I355" s="141"/>
      <c r="J355" s="141"/>
      <c r="K355" s="803" t="s">
        <v>413</v>
      </c>
      <c r="L355" s="216"/>
      <c r="M355" s="216"/>
      <c r="N355" s="510">
        <f>IF(NOT(N337=0),ROUND(N354*E336,0),0)</f>
        <v>0</v>
      </c>
      <c r="O355" s="510"/>
      <c r="P355" s="510">
        <f>IF(NOT(P337=0),ROUND(P354*E336,0),0)</f>
        <v>0</v>
      </c>
      <c r="Q355" s="141"/>
      <c r="R355" s="510">
        <f>IF(NOT(R337=0),ROUND(R354*E336,0),0)</f>
        <v>0</v>
      </c>
      <c r="S355" s="141"/>
      <c r="T355" s="216"/>
      <c r="U355" s="216"/>
      <c r="V355" s="216"/>
      <c r="W355" s="216"/>
      <c r="X355" s="994"/>
      <c r="Y355" s="992"/>
    </row>
    <row r="356" spans="1:25" hidden="1" outlineLevel="1" x14ac:dyDescent="0.2">
      <c r="A356" s="141"/>
      <c r="B356" s="141"/>
      <c r="C356" s="141"/>
      <c r="D356" s="141"/>
      <c r="E356" s="141"/>
      <c r="F356" s="141"/>
      <c r="G356" s="141"/>
      <c r="H356" s="141"/>
      <c r="I356" s="141"/>
      <c r="J356" s="141"/>
      <c r="K356" s="141"/>
      <c r="L356" s="216"/>
      <c r="M356" s="216"/>
      <c r="N356" s="216"/>
      <c r="O356" s="216"/>
      <c r="P356" s="216"/>
      <c r="Q356" s="141"/>
      <c r="R356" s="216"/>
      <c r="S356" s="141"/>
      <c r="T356" s="216"/>
      <c r="U356" s="216"/>
      <c r="V356" s="216"/>
      <c r="W356" s="216"/>
      <c r="X356" s="994"/>
      <c r="Y356" s="992"/>
    </row>
    <row r="357" spans="1:25" hidden="1" outlineLevel="1" x14ac:dyDescent="0.2">
      <c r="A357" s="141"/>
      <c r="B357" s="141"/>
      <c r="C357" s="141"/>
      <c r="D357" s="141"/>
      <c r="E357" s="141"/>
      <c r="F357" s="141"/>
      <c r="G357" s="716">
        <f>IF(G352="No",G349,G354)</f>
        <v>3.2258000000000002E-2</v>
      </c>
      <c r="H357" s="721"/>
      <c r="I357" s="716">
        <f>IF(G352="No",I349,0)</f>
        <v>0</v>
      </c>
      <c r="J357" s="141"/>
      <c r="K357" s="141" t="s">
        <v>492</v>
      </c>
      <c r="L357" s="216"/>
      <c r="M357" s="216"/>
      <c r="N357" s="716">
        <f>IF(N352="No",N349,N354)</f>
        <v>0</v>
      </c>
      <c r="O357" s="718">
        <f>IF(N352="No",O349,0)</f>
        <v>0</v>
      </c>
      <c r="P357" s="716">
        <f>IF(P352="No",P349,P354)</f>
        <v>0</v>
      </c>
      <c r="Q357" s="718">
        <f>IF(P352="No",Q349,0)</f>
        <v>0</v>
      </c>
      <c r="R357" s="716">
        <f>IF(R352="No",R349,R354)</f>
        <v>0</v>
      </c>
      <c r="S357" s="718">
        <f>IF(R352="No",S349,0)</f>
        <v>0</v>
      </c>
      <c r="T357" s="216"/>
      <c r="U357" s="216"/>
      <c r="V357" s="216"/>
      <c r="W357" s="216"/>
      <c r="X357" s="994"/>
      <c r="Y357" s="992"/>
    </row>
    <row r="358" spans="1:25" ht="13.5" hidden="1" outlineLevel="1" thickBot="1" x14ac:dyDescent="0.25">
      <c r="A358" s="141"/>
      <c r="B358" s="141"/>
      <c r="C358" s="141"/>
      <c r="D358" s="141"/>
      <c r="E358" s="141"/>
      <c r="F358" s="141"/>
      <c r="G358" s="603"/>
      <c r="H358" s="520"/>
      <c r="I358" s="603"/>
      <c r="J358" s="520"/>
      <c r="K358" s="141"/>
      <c r="L358" s="216"/>
      <c r="M358" s="516" t="s">
        <v>412</v>
      </c>
      <c r="N358" s="602">
        <f>N350+N355</f>
        <v>0</v>
      </c>
      <c r="O358" s="602">
        <f t="shared" ref="O358" si="70">O350+O355</f>
        <v>0</v>
      </c>
      <c r="P358" s="602">
        <f>P350+P355</f>
        <v>0</v>
      </c>
      <c r="Q358" s="602">
        <f t="shared" ref="Q358" si="71">Q350+Q355</f>
        <v>0</v>
      </c>
      <c r="R358" s="602">
        <f>R350+R355</f>
        <v>0</v>
      </c>
      <c r="S358" s="602">
        <f>S350+S355</f>
        <v>0</v>
      </c>
      <c r="T358" s="216"/>
      <c r="U358" s="216"/>
      <c r="V358" s="216"/>
      <c r="W358" s="216"/>
      <c r="X358" s="994"/>
      <c r="Y358" s="992"/>
    </row>
    <row r="359" spans="1:25" ht="13.5" collapsed="1" thickBot="1" x14ac:dyDescent="0.25">
      <c r="A359" s="141"/>
      <c r="B359" s="141"/>
      <c r="C359" s="141"/>
      <c r="D359" s="141"/>
      <c r="E359" s="141"/>
      <c r="F359" s="141"/>
      <c r="G359" s="1663">
        <f>G350+G355</f>
        <v>0</v>
      </c>
      <c r="H359" s="1663"/>
      <c r="I359" s="1663">
        <f>I350+I355</f>
        <v>0</v>
      </c>
      <c r="J359" s="1663"/>
      <c r="K359" s="832" t="s">
        <v>399</v>
      </c>
      <c r="L359" s="216"/>
      <c r="M359" s="216"/>
      <c r="N359" s="141"/>
      <c r="O359" s="216"/>
      <c r="P359" s="216"/>
      <c r="Q359" s="141"/>
      <c r="R359" s="219"/>
      <c r="S359" s="219"/>
      <c r="T359" s="216"/>
      <c r="U359" s="216"/>
      <c r="V359" s="216"/>
      <c r="W359" s="216"/>
      <c r="X359" s="994"/>
      <c r="Y359" s="992"/>
    </row>
    <row r="360" spans="1:25" ht="15.75" thickTop="1" x14ac:dyDescent="0.25">
      <c r="A360" s="141"/>
      <c r="B360" s="141"/>
      <c r="C360" s="141"/>
      <c r="D360" s="141"/>
      <c r="E360" s="141"/>
      <c r="F360" s="141"/>
      <c r="G360" s="842" t="str">
        <f>IF($AD346&gt;0,"ERROR ALERT:  The date range in your service start/end dates is NOT consistent with the OTO start/end dates ('OTO Terms' above), please check your dates and re-enter.","")</f>
        <v/>
      </c>
      <c r="H360" s="801"/>
      <c r="I360" s="801"/>
      <c r="J360" s="801"/>
      <c r="K360" s="803"/>
      <c r="L360" s="216"/>
      <c r="M360" s="216"/>
      <c r="N360" s="141"/>
      <c r="O360" s="216"/>
      <c r="P360" s="216"/>
      <c r="Q360" s="141"/>
      <c r="R360" s="219"/>
      <c r="S360" s="219"/>
      <c r="T360" s="216"/>
      <c r="U360" s="216"/>
      <c r="V360" s="216"/>
      <c r="W360" s="216"/>
      <c r="X360" s="994"/>
      <c r="Y360" s="992"/>
    </row>
    <row r="361" spans="1:25" x14ac:dyDescent="0.2">
      <c r="R361" s="254"/>
      <c r="S361" s="254"/>
    </row>
    <row r="362" spans="1:25" ht="15.75" x14ac:dyDescent="0.25">
      <c r="B362" s="1569" t="s">
        <v>694</v>
      </c>
      <c r="C362" s="1569"/>
      <c r="D362" s="1569"/>
      <c r="E362" s="1569"/>
      <c r="F362" s="1569"/>
      <c r="G362" s="1569"/>
      <c r="H362" s="1569"/>
      <c r="I362" s="1569"/>
      <c r="J362" s="1569"/>
      <c r="K362" s="1569"/>
      <c r="L362" s="1569"/>
      <c r="M362" s="1569"/>
      <c r="N362" s="1569"/>
      <c r="O362" s="1569"/>
      <c r="P362" s="1569"/>
      <c r="Q362" s="1569"/>
      <c r="R362" s="1569"/>
      <c r="S362" s="1569"/>
    </row>
    <row r="363" spans="1:25" ht="15" x14ac:dyDescent="0.25">
      <c r="B363" s="609" t="s">
        <v>591</v>
      </c>
      <c r="C363" s="141"/>
      <c r="D363" s="141"/>
      <c r="E363" s="141"/>
      <c r="F363" s="141"/>
      <c r="G363" s="141"/>
      <c r="H363" s="141"/>
      <c r="I363" s="141"/>
      <c r="J363" s="141"/>
      <c r="K363" s="141"/>
      <c r="L363" s="216"/>
      <c r="M363" s="478"/>
      <c r="N363" s="216"/>
      <c r="O363" s="216"/>
      <c r="P363" s="216"/>
      <c r="Q363" s="141"/>
      <c r="R363" s="216"/>
      <c r="S363" s="254"/>
      <c r="T363" s="216"/>
      <c r="U363" s="141"/>
    </row>
    <row r="364" spans="1:25" x14ac:dyDescent="0.2">
      <c r="B364" s="141"/>
      <c r="C364" s="141"/>
      <c r="D364" s="141"/>
      <c r="E364" s="141"/>
      <c r="F364" s="141"/>
      <c r="G364" s="141"/>
      <c r="H364" s="141"/>
      <c r="I364" s="141"/>
      <c r="J364" s="141"/>
      <c r="K364" s="141"/>
      <c r="L364" s="216"/>
      <c r="M364" s="478"/>
      <c r="N364" s="216"/>
      <c r="O364" s="216"/>
      <c r="P364" s="216"/>
      <c r="Q364" s="141"/>
      <c r="R364" s="1660" t="s">
        <v>547</v>
      </c>
      <c r="S364" s="1660"/>
      <c r="T364" s="216"/>
      <c r="U364" s="141"/>
    </row>
    <row r="365" spans="1:25" hidden="1" outlineLevel="1" x14ac:dyDescent="0.2">
      <c r="B365" s="141" t="s">
        <v>493</v>
      </c>
      <c r="C365" s="141"/>
      <c r="D365" s="597">
        <f>IF(NOT(G374=0),IF(G387="NO",(YEAR(I374)-YEAR(G374))*12+MONTH(I374)-MONTH(G374)+IF(G378="no",1,0)+IF(I378="yes",-1,0),0),0)</f>
        <v>0</v>
      </c>
      <c r="E365" s="141"/>
      <c r="F365" s="141"/>
      <c r="G365" s="141"/>
      <c r="H365" s="141"/>
      <c r="I365" s="141"/>
      <c r="J365" s="141"/>
      <c r="K365" s="141"/>
      <c r="L365" s="141"/>
      <c r="M365" s="499"/>
      <c r="N365" s="610"/>
      <c r="O365" s="254"/>
      <c r="P365" s="610"/>
      <c r="Q365" s="141"/>
      <c r="R365" s="219"/>
      <c r="S365" s="219"/>
      <c r="T365" s="219"/>
      <c r="U365" s="141"/>
    </row>
    <row r="366" spans="1:25" hidden="1" outlineLevel="1" x14ac:dyDescent="0.2">
      <c r="B366" s="141" t="s">
        <v>494</v>
      </c>
      <c r="C366" s="141"/>
      <c r="D366" s="598">
        <f>IF(NOT(G374=0),G392,0)</f>
        <v>0</v>
      </c>
      <c r="E366" s="141"/>
      <c r="F366" s="141"/>
      <c r="G366" s="141"/>
      <c r="H366" s="141"/>
      <c r="I366" s="141"/>
      <c r="J366" s="141"/>
      <c r="K366" s="141"/>
      <c r="L366" s="141"/>
      <c r="M366" s="499"/>
      <c r="N366" s="611"/>
      <c r="O366" s="219"/>
      <c r="P366" s="611"/>
      <c r="Q366" s="141"/>
      <c r="R366" s="219"/>
      <c r="S366" s="219"/>
      <c r="T366" s="219"/>
      <c r="U366" s="141"/>
    </row>
    <row r="367" spans="1:25" hidden="1" outlineLevel="1" x14ac:dyDescent="0.2">
      <c r="B367" s="141" t="s">
        <v>495</v>
      </c>
      <c r="C367" s="141"/>
      <c r="D367" s="599">
        <f>IF(NOT(G374=0),I392,0)</f>
        <v>0</v>
      </c>
      <c r="E367" s="141"/>
      <c r="F367" s="141"/>
      <c r="G367" s="141"/>
      <c r="H367" s="141"/>
      <c r="I367" s="141"/>
      <c r="J367" s="141"/>
      <c r="K367" s="141"/>
      <c r="L367" s="141"/>
      <c r="M367" s="499"/>
      <c r="N367" s="611"/>
      <c r="O367" s="219"/>
      <c r="P367" s="611"/>
      <c r="Q367" s="141"/>
      <c r="R367" s="219"/>
      <c r="S367" s="219"/>
      <c r="T367" s="219"/>
      <c r="U367" s="141"/>
    </row>
    <row r="368" spans="1:25" hidden="1" outlineLevel="1" x14ac:dyDescent="0.2">
      <c r="B368" s="219" t="s">
        <v>496</v>
      </c>
      <c r="C368" s="141"/>
      <c r="D368" s="597">
        <f>SUM(D365:D367)</f>
        <v>0</v>
      </c>
      <c r="E368" s="141"/>
      <c r="F368" s="141"/>
      <c r="G368" s="141"/>
      <c r="H368" s="141"/>
      <c r="I368" s="141"/>
      <c r="J368" s="141"/>
      <c r="K368" s="141"/>
      <c r="L368" s="141"/>
      <c r="M368" s="499"/>
      <c r="N368" s="610"/>
      <c r="O368" s="219"/>
      <c r="P368" s="610"/>
      <c r="Q368" s="141"/>
      <c r="R368" s="219"/>
      <c r="S368" s="219"/>
      <c r="T368" s="219"/>
      <c r="U368" s="141"/>
    </row>
    <row r="369" spans="2:31" hidden="1" outlineLevel="1" x14ac:dyDescent="0.2">
      <c r="B369" s="219"/>
      <c r="C369" s="216"/>
      <c r="D369" s="601"/>
      <c r="E369" s="216"/>
      <c r="F369" s="216"/>
      <c r="G369" s="216"/>
      <c r="H369" s="216"/>
      <c r="I369" s="216"/>
      <c r="J369" s="216"/>
      <c r="K369" s="216"/>
      <c r="L369" s="216"/>
      <c r="M369" s="499"/>
      <c r="N369" s="216"/>
      <c r="O369" s="216"/>
      <c r="P369" s="601"/>
      <c r="Q369" s="216"/>
      <c r="R369" s="219"/>
      <c r="S369" s="254"/>
      <c r="T369" s="219"/>
      <c r="U369" s="216"/>
    </row>
    <row r="370" spans="2:31" hidden="1" outlineLevel="1" x14ac:dyDescent="0.2">
      <c r="B370" s="216"/>
      <c r="C370" s="216"/>
      <c r="D370" s="216"/>
      <c r="E370" s="216"/>
      <c r="F370" s="141"/>
      <c r="G370" s="141"/>
      <c r="H370" s="141"/>
      <c r="I370" s="141"/>
      <c r="J370" s="141"/>
      <c r="K370" s="141"/>
      <c r="L370" s="141"/>
      <c r="M370" s="141"/>
      <c r="N370" s="141"/>
      <c r="O370" s="141"/>
      <c r="P370" s="141"/>
      <c r="Q370" s="141"/>
      <c r="R370" s="219"/>
      <c r="S370" s="254"/>
      <c r="T370" s="216"/>
      <c r="U370" s="141"/>
    </row>
    <row r="371" spans="2:31" collapsed="1" x14ac:dyDescent="0.2">
      <c r="B371" s="219"/>
      <c r="C371" s="216"/>
      <c r="D371" s="216"/>
      <c r="E371" s="612"/>
      <c r="F371" s="141"/>
      <c r="G371" s="1664"/>
      <c r="H371" s="1664"/>
      <c r="I371" s="141"/>
      <c r="J371" s="141"/>
      <c r="K371" s="141"/>
      <c r="L371" s="216"/>
      <c r="M371" s="216"/>
      <c r="N371" s="590" t="s">
        <v>545</v>
      </c>
      <c r="O371" s="591" t="s">
        <v>579</v>
      </c>
      <c r="P371" s="590" t="s">
        <v>545</v>
      </c>
      <c r="Q371" s="591" t="s">
        <v>579</v>
      </c>
      <c r="R371" s="590" t="s">
        <v>545</v>
      </c>
      <c r="S371" s="591" t="s">
        <v>579</v>
      </c>
      <c r="T371" s="216"/>
      <c r="U371" s="141"/>
      <c r="Z371" s="994" t="s">
        <v>581</v>
      </c>
      <c r="AA371" s="1074">
        <f>IF(G374&gt;0,IF(MONTH(G374)&gt;3,DATE(YEAR(G374)+1,3,31),DATE(YEAR(G374),3,31)),0)</f>
        <v>0</v>
      </c>
    </row>
    <row r="372" spans="2:31" x14ac:dyDescent="0.2">
      <c r="B372" s="141"/>
      <c r="C372" s="141"/>
      <c r="D372" s="141"/>
      <c r="E372" s="141"/>
      <c r="F372" s="141"/>
      <c r="G372" s="494" t="str">
        <f>IF(AD375&gt;0,"WARNING: Generally, you may not cross a CLBC March 31 fiscal year end, please re-check your dates.","")</f>
        <v/>
      </c>
      <c r="H372" s="141"/>
      <c r="I372" s="141"/>
      <c r="J372" s="141"/>
      <c r="K372" s="141"/>
      <c r="L372" s="216"/>
      <c r="M372" s="216"/>
      <c r="N372" s="503" t="s">
        <v>510</v>
      </c>
      <c r="O372" s="504" t="s">
        <v>510</v>
      </c>
      <c r="P372" s="503" t="s">
        <v>510</v>
      </c>
      <c r="Q372" s="504" t="s">
        <v>510</v>
      </c>
      <c r="R372" s="503" t="s">
        <v>510</v>
      </c>
      <c r="S372" s="504" t="s">
        <v>510</v>
      </c>
      <c r="T372" s="216"/>
      <c r="U372" s="141"/>
      <c r="Z372" s="994" t="s">
        <v>582</v>
      </c>
      <c r="AA372" s="1074">
        <f>IF(AA371&gt;=$L$20,$L$20,AA371)</f>
        <v>0</v>
      </c>
    </row>
    <row r="373" spans="2:31" ht="38.25" customHeight="1" x14ac:dyDescent="0.2">
      <c r="B373" s="792" t="s">
        <v>464</v>
      </c>
      <c r="C373" s="1543" t="s">
        <v>351</v>
      </c>
      <c r="D373" s="1543"/>
      <c r="E373" s="587" t="s">
        <v>481</v>
      </c>
      <c r="F373" s="587" t="s">
        <v>482</v>
      </c>
      <c r="G373" s="1522" t="s">
        <v>519</v>
      </c>
      <c r="H373" s="1523"/>
      <c r="I373" s="1522" t="s">
        <v>520</v>
      </c>
      <c r="J373" s="1523" t="s">
        <v>520</v>
      </c>
      <c r="K373" s="805" t="s">
        <v>387</v>
      </c>
      <c r="L373" s="793" t="s">
        <v>483</v>
      </c>
      <c r="M373" s="831" t="s">
        <v>388</v>
      </c>
      <c r="N373" s="1543" t="s">
        <v>389</v>
      </c>
      <c r="O373" s="1543"/>
      <c r="P373" s="1543" t="s">
        <v>390</v>
      </c>
      <c r="Q373" s="1543"/>
      <c r="R373" s="1543" t="s">
        <v>578</v>
      </c>
      <c r="S373" s="1543"/>
      <c r="T373" s="286"/>
      <c r="U373" s="140"/>
    </row>
    <row r="374" spans="2:31" x14ac:dyDescent="0.2">
      <c r="B374" s="666"/>
      <c r="C374" s="1547" t="s">
        <v>414</v>
      </c>
      <c r="D374" s="1547"/>
      <c r="E374" s="808" t="s">
        <v>484</v>
      </c>
      <c r="F374" s="808" t="str">
        <f>IF(L23="Fixed Lump Sum","Y","N")</f>
        <v>N</v>
      </c>
      <c r="G374" s="1665"/>
      <c r="H374" s="1667"/>
      <c r="I374" s="1665"/>
      <c r="J374" s="1666"/>
      <c r="K374" s="588">
        <f>IF(F374="N",IF(NOT(G374=0),$J$67,0),0)</f>
        <v>0</v>
      </c>
      <c r="L374" s="588">
        <f>IF(F374="Y",$J$67*D368,0)</f>
        <v>0</v>
      </c>
      <c r="M374" s="588">
        <f>ROUND(IF(F374="Y",L374,IF(G387="yes",G394,K374*D365+G394+I394)),2)</f>
        <v>0</v>
      </c>
      <c r="N374" s="1661" t="s">
        <v>510</v>
      </c>
      <c r="O374" s="1662"/>
      <c r="P374" s="1661" t="s">
        <v>510</v>
      </c>
      <c r="Q374" s="1662"/>
      <c r="R374" s="1661" t="s">
        <v>510</v>
      </c>
      <c r="S374" s="1662"/>
      <c r="T374" s="216"/>
      <c r="U374" s="141"/>
      <c r="AD374" s="1109" t="s">
        <v>617</v>
      </c>
      <c r="AE374" s="1109" t="s">
        <v>718</v>
      </c>
    </row>
    <row r="375" spans="2:31" hidden="1" outlineLevel="1" x14ac:dyDescent="0.2">
      <c r="B375" s="141"/>
      <c r="C375" s="803"/>
      <c r="D375" s="141"/>
      <c r="E375" s="141"/>
      <c r="F375" s="141"/>
      <c r="G375" s="141">
        <f>G381</f>
        <v>31</v>
      </c>
      <c r="H375" s="141"/>
      <c r="I375" s="141">
        <f>I381</f>
        <v>31</v>
      </c>
      <c r="J375" s="141"/>
      <c r="K375" s="803" t="s">
        <v>391</v>
      </c>
      <c r="L375" s="216"/>
      <c r="M375" s="216"/>
      <c r="N375" s="216"/>
      <c r="O375" s="216"/>
      <c r="P375" s="216"/>
      <c r="Q375" s="216"/>
      <c r="R375" s="219"/>
      <c r="S375" s="508"/>
      <c r="T375" s="216"/>
      <c r="U375" s="141"/>
      <c r="AD375" s="994">
        <f>IF(AND(G374&gt;0,I374&gt;0,I374&gt;$AA372),1,0)</f>
        <v>0</v>
      </c>
      <c r="AE375" s="994" t="s">
        <v>619</v>
      </c>
    </row>
    <row r="376" spans="2:31" hidden="1" outlineLevel="1" x14ac:dyDescent="0.2">
      <c r="B376" s="141"/>
      <c r="C376" s="803"/>
      <c r="D376" s="141"/>
      <c r="E376" s="141"/>
      <c r="F376" s="141"/>
      <c r="G376" s="141">
        <v>1</v>
      </c>
      <c r="H376" s="141"/>
      <c r="I376" s="141">
        <v>1</v>
      </c>
      <c r="J376" s="141"/>
      <c r="K376" s="803" t="s">
        <v>392</v>
      </c>
      <c r="L376" s="216"/>
      <c r="M376" s="216"/>
      <c r="N376" s="216"/>
      <c r="O376" s="216"/>
      <c r="P376" s="216"/>
      <c r="Q376" s="216"/>
      <c r="R376" s="219"/>
      <c r="S376" s="508"/>
      <c r="T376" s="216"/>
      <c r="U376" s="141"/>
    </row>
    <row r="377" spans="2:31" hidden="1" outlineLevel="1" x14ac:dyDescent="0.2">
      <c r="B377" s="141"/>
      <c r="C377" s="803"/>
      <c r="D377" s="141"/>
      <c r="E377" s="141"/>
      <c r="F377" s="141"/>
      <c r="G377" s="141">
        <f>DAY(G374)</f>
        <v>0</v>
      </c>
      <c r="H377" s="141"/>
      <c r="I377" s="141">
        <f>DAY(I374)</f>
        <v>0</v>
      </c>
      <c r="J377" s="141"/>
      <c r="K377" s="803" t="s">
        <v>393</v>
      </c>
      <c r="L377" s="216"/>
      <c r="M377" s="216"/>
      <c r="N377" s="216"/>
      <c r="O377" s="216"/>
      <c r="P377" s="216"/>
      <c r="Q377" s="216"/>
      <c r="R377" s="219"/>
      <c r="S377" s="508"/>
      <c r="T377" s="216"/>
      <c r="U377" s="141"/>
      <c r="AD377" s="1109" t="s">
        <v>617</v>
      </c>
      <c r="AE377" s="1109" t="s">
        <v>719</v>
      </c>
    </row>
    <row r="378" spans="2:31" hidden="1" outlineLevel="1" x14ac:dyDescent="0.2">
      <c r="B378" s="141"/>
      <c r="C378" s="803"/>
      <c r="D378" s="141"/>
      <c r="E378" s="141"/>
      <c r="F378" s="141"/>
      <c r="G378" s="516" t="str">
        <f>IF(G377=G376,"No","Yes")</f>
        <v>Yes</v>
      </c>
      <c r="H378" s="141"/>
      <c r="I378" s="516" t="str">
        <f>IF(I377=I375,"No","Yes")</f>
        <v>Yes</v>
      </c>
      <c r="J378" s="141"/>
      <c r="K378" s="803" t="s">
        <v>394</v>
      </c>
      <c r="L378" s="216"/>
      <c r="M378" s="216"/>
      <c r="N378" s="517"/>
      <c r="O378" s="517"/>
      <c r="P378" s="517"/>
      <c r="Q378" s="517"/>
      <c r="R378" s="219"/>
      <c r="S378" s="219"/>
      <c r="T378" s="216"/>
      <c r="U378" s="216"/>
      <c r="AD378" s="994">
        <f>IF(OR(G374&lt;$L$18,G374&gt;$L$20),1,0)</f>
        <v>0</v>
      </c>
      <c r="AE378" s="994" t="s">
        <v>618</v>
      </c>
    </row>
    <row r="379" spans="2:31" hidden="1" outlineLevel="1" x14ac:dyDescent="0.2">
      <c r="B379" s="141"/>
      <c r="C379" s="803"/>
      <c r="D379" s="141"/>
      <c r="E379" s="141"/>
      <c r="F379" s="141"/>
      <c r="G379" s="219"/>
      <c r="H379" s="141"/>
      <c r="I379" s="219"/>
      <c r="J379" s="141"/>
      <c r="K379" s="803"/>
      <c r="L379" s="216"/>
      <c r="M379" s="216"/>
      <c r="Q379" s="52"/>
      <c r="R379" s="219"/>
      <c r="S379" s="219"/>
      <c r="T379" s="216"/>
      <c r="U379" s="216"/>
      <c r="AD379" s="994">
        <f>IF(OR(I374&lt;$L$18,I374&gt;$L$20),1,0)</f>
        <v>0</v>
      </c>
      <c r="AE379" s="994" t="s">
        <v>705</v>
      </c>
    </row>
    <row r="380" spans="2:31" hidden="1" outlineLevel="1" x14ac:dyDescent="0.2">
      <c r="B380" s="141"/>
      <c r="C380" s="803"/>
      <c r="D380" s="141"/>
      <c r="E380" s="141"/>
      <c r="F380" s="141"/>
      <c r="G380" s="518">
        <f>EOMONTH(G374,0)</f>
        <v>31</v>
      </c>
      <c r="H380" s="141"/>
      <c r="I380" s="518">
        <f>EOMONTH(I374,0)</f>
        <v>31</v>
      </c>
      <c r="J380" s="141"/>
      <c r="K380" s="803" t="s">
        <v>395</v>
      </c>
      <c r="L380" s="216"/>
      <c r="M380" s="216"/>
      <c r="N380" s="519"/>
      <c r="O380" s="519"/>
      <c r="P380" s="519"/>
      <c r="Q380" s="519"/>
      <c r="R380" s="219"/>
      <c r="S380" s="219"/>
      <c r="T380" s="216"/>
      <c r="U380" s="216"/>
      <c r="AD380" s="994"/>
      <c r="AE380" s="994"/>
    </row>
    <row r="381" spans="2:31" ht="13.5" hidden="1" outlineLevel="1" thickBot="1" x14ac:dyDescent="0.25">
      <c r="B381" s="141"/>
      <c r="C381" s="803"/>
      <c r="D381" s="141"/>
      <c r="E381" s="141"/>
      <c r="F381" s="141"/>
      <c r="G381" s="141">
        <f>DAY(G380)</f>
        <v>31</v>
      </c>
      <c r="H381" s="141"/>
      <c r="I381" s="141">
        <f>DAY(I380)</f>
        <v>31</v>
      </c>
      <c r="J381" s="141"/>
      <c r="K381" s="803" t="s">
        <v>396</v>
      </c>
      <c r="L381" s="216"/>
      <c r="M381" s="216"/>
      <c r="N381" s="216"/>
      <c r="O381" s="216"/>
      <c r="P381" s="216"/>
      <c r="Q381" s="216"/>
      <c r="R381" s="219"/>
      <c r="S381" s="219"/>
      <c r="T381" s="216"/>
      <c r="U381" s="216"/>
      <c r="AD381" s="1112">
        <f>IF(AND(G374&gt;0,I374&gt;0),SUM(AD378:AD380),0)</f>
        <v>0</v>
      </c>
      <c r="AE381" s="994" t="s">
        <v>620</v>
      </c>
    </row>
    <row r="382" spans="2:31" hidden="1" outlineLevel="1" x14ac:dyDescent="0.2">
      <c r="B382" s="141"/>
      <c r="C382" s="803"/>
      <c r="D382" s="141"/>
      <c r="E382" s="141"/>
      <c r="F382" s="141"/>
      <c r="G382" s="520">
        <f>G380-G374+1</f>
        <v>32</v>
      </c>
      <c r="H382" s="141"/>
      <c r="I382" s="520">
        <f>I380-I374</f>
        <v>31</v>
      </c>
      <c r="J382" s="141"/>
      <c r="K382" s="803" t="s">
        <v>628</v>
      </c>
      <c r="L382" s="216"/>
      <c r="M382" s="216"/>
      <c r="N382" s="219"/>
      <c r="O382" s="219"/>
      <c r="P382" s="219"/>
      <c r="Q382" s="219"/>
      <c r="R382" s="219"/>
      <c r="S382" s="219"/>
      <c r="T382" s="216"/>
      <c r="U382" s="216"/>
    </row>
    <row r="383" spans="2:31" hidden="1" outlineLevel="1" x14ac:dyDescent="0.2">
      <c r="B383" s="141"/>
      <c r="C383" s="803"/>
      <c r="D383" s="141"/>
      <c r="E383" s="141"/>
      <c r="F383" s="141"/>
      <c r="G383" s="141">
        <f>G381-G382</f>
        <v>-1</v>
      </c>
      <c r="H383" s="141"/>
      <c r="I383" s="141">
        <f>I381-I382</f>
        <v>0</v>
      </c>
      <c r="J383" s="141"/>
      <c r="K383" s="803" t="s">
        <v>397</v>
      </c>
      <c r="L383" s="216"/>
      <c r="M383" s="216"/>
      <c r="N383" s="219"/>
      <c r="O383" s="219"/>
      <c r="P383" s="219"/>
      <c r="Q383" s="219"/>
      <c r="R383" s="219"/>
      <c r="S383" s="219"/>
      <c r="T383" s="216"/>
      <c r="U383" s="216"/>
    </row>
    <row r="384" spans="2:31" hidden="1" outlineLevel="1" x14ac:dyDescent="0.2">
      <c r="B384" s="141"/>
      <c r="C384" s="803"/>
      <c r="D384" s="141"/>
      <c r="E384" s="141"/>
      <c r="F384" s="141"/>
      <c r="G384" s="718">
        <f>IF(G378="Yes",ROUND(G382/G381,6),0)</f>
        <v>1.0322579999999999</v>
      </c>
      <c r="H384" s="719"/>
      <c r="I384" s="718">
        <f>IF(I378="Yes",ROUND(I383/I381,6),0)</f>
        <v>0</v>
      </c>
      <c r="J384" s="589"/>
      <c r="K384" s="803" t="s">
        <v>398</v>
      </c>
      <c r="L384" s="216"/>
      <c r="M384" s="216"/>
      <c r="N384" s="549"/>
      <c r="O384" s="549"/>
      <c r="P384" s="549"/>
      <c r="Q384" s="549"/>
      <c r="R384" s="219"/>
      <c r="S384" s="219"/>
      <c r="T384" s="216"/>
      <c r="U384" s="216"/>
    </row>
    <row r="385" spans="2:21" hidden="1" outlineLevel="1" x14ac:dyDescent="0.2">
      <c r="B385" s="141"/>
      <c r="C385" s="803"/>
      <c r="D385" s="141"/>
      <c r="E385" s="141"/>
      <c r="F385" s="141"/>
      <c r="G385" s="592">
        <f>IF(G387="Yes",0,ROUND(K374*G384,2))</f>
        <v>0</v>
      </c>
      <c r="H385" s="141"/>
      <c r="I385" s="592">
        <f>IF(G387="Yes",0,ROUND(K374*I384,2))</f>
        <v>0</v>
      </c>
      <c r="J385" s="141"/>
      <c r="K385" s="803" t="s">
        <v>409</v>
      </c>
      <c r="L385" s="216"/>
      <c r="M385" s="216"/>
      <c r="N385" s="510"/>
      <c r="O385" s="510"/>
      <c r="P385" s="510"/>
      <c r="Q385" s="510"/>
      <c r="R385" s="219"/>
      <c r="S385" s="219"/>
      <c r="T385" s="216"/>
      <c r="U385" s="216"/>
    </row>
    <row r="386" spans="2:21" hidden="1" outlineLevel="1" x14ac:dyDescent="0.2">
      <c r="B386" s="141"/>
      <c r="C386" s="803"/>
      <c r="D386" s="141"/>
      <c r="E386" s="141"/>
      <c r="F386" s="141"/>
      <c r="G386" s="141"/>
      <c r="H386" s="141"/>
      <c r="I386" s="141"/>
      <c r="J386" s="141"/>
      <c r="K386" s="803"/>
      <c r="L386" s="216"/>
      <c r="M386" s="216"/>
      <c r="N386" s="219"/>
      <c r="O386" s="219"/>
      <c r="P386" s="219"/>
      <c r="Q386" s="219"/>
      <c r="R386" s="219"/>
      <c r="S386" s="219"/>
      <c r="T386" s="216"/>
      <c r="U386" s="216"/>
    </row>
    <row r="387" spans="2:21" hidden="1" outlineLevel="1" x14ac:dyDescent="0.2">
      <c r="B387" s="141"/>
      <c r="C387" s="803"/>
      <c r="D387" s="141"/>
      <c r="E387" s="141"/>
      <c r="F387" s="141"/>
      <c r="G387" s="542" t="str">
        <f>IF(AND(YEAR(G374)=YEAR(I374),MONTH(G374)=MONTH(I374),G378="YES",I378="YES"),"YES","NO")</f>
        <v>YES</v>
      </c>
      <c r="H387" s="141"/>
      <c r="I387" s="141"/>
      <c r="J387" s="141"/>
      <c r="K387" s="803" t="s">
        <v>410</v>
      </c>
      <c r="L387" s="216"/>
      <c r="M387" s="216"/>
      <c r="N387" s="544"/>
      <c r="O387" s="510"/>
      <c r="P387" s="544"/>
      <c r="Q387" s="219"/>
      <c r="R387" s="219"/>
      <c r="S387" s="219"/>
      <c r="T387" s="216"/>
      <c r="U387" s="216"/>
    </row>
    <row r="388" spans="2:21" hidden="1" outlineLevel="1" x14ac:dyDescent="0.2">
      <c r="B388" s="141"/>
      <c r="C388" s="803"/>
      <c r="D388" s="141"/>
      <c r="E388" s="141"/>
      <c r="F388" s="141"/>
      <c r="G388" s="141">
        <f>IF(G387="yes",I374-G374+1,0)</f>
        <v>1</v>
      </c>
      <c r="H388" s="141"/>
      <c r="I388" s="141"/>
      <c r="J388" s="141"/>
      <c r="K388" s="803" t="s">
        <v>411</v>
      </c>
      <c r="L388" s="216"/>
      <c r="M388" s="216"/>
      <c r="N388" s="219"/>
      <c r="O388" s="510"/>
      <c r="P388" s="219"/>
      <c r="Q388" s="219"/>
      <c r="R388" s="219"/>
      <c r="S388" s="219"/>
      <c r="T388" s="216"/>
      <c r="U388" s="216"/>
    </row>
    <row r="389" spans="2:21" hidden="1" outlineLevel="1" x14ac:dyDescent="0.2">
      <c r="B389" s="141"/>
      <c r="C389" s="803"/>
      <c r="D389" s="141"/>
      <c r="E389" s="141"/>
      <c r="F389" s="141"/>
      <c r="G389" s="717">
        <f>ROUND(G388/G381,6)</f>
        <v>3.2258000000000002E-2</v>
      </c>
      <c r="H389" s="141"/>
      <c r="I389" s="141"/>
      <c r="J389" s="141"/>
      <c r="K389" s="803" t="s">
        <v>398</v>
      </c>
      <c r="L389" s="216"/>
      <c r="M389" s="216"/>
      <c r="N389" s="549"/>
      <c r="O389" s="510"/>
      <c r="P389" s="549"/>
      <c r="Q389" s="219"/>
      <c r="R389" s="219"/>
      <c r="S389" s="219"/>
      <c r="T389" s="216"/>
      <c r="U389" s="216"/>
    </row>
    <row r="390" spans="2:21" hidden="1" outlineLevel="1" x14ac:dyDescent="0.2">
      <c r="B390" s="141"/>
      <c r="C390" s="803"/>
      <c r="D390" s="141"/>
      <c r="E390" s="141"/>
      <c r="F390" s="141"/>
      <c r="G390" s="540">
        <f>ROUND(IF(NOT(G374=0),G389*K374,0),2)</f>
        <v>0</v>
      </c>
      <c r="H390" s="141"/>
      <c r="I390" s="141"/>
      <c r="J390" s="141"/>
      <c r="K390" s="803" t="s">
        <v>413</v>
      </c>
      <c r="L390" s="216"/>
      <c r="M390" s="216"/>
      <c r="N390" s="510"/>
      <c r="O390" s="510"/>
      <c r="P390" s="510"/>
      <c r="Q390" s="219"/>
      <c r="R390" s="219"/>
      <c r="S390" s="219"/>
      <c r="T390" s="216"/>
      <c r="U390" s="216"/>
    </row>
    <row r="391" spans="2:21" hidden="1" outlineLevel="1" x14ac:dyDescent="0.2">
      <c r="B391" s="141"/>
      <c r="C391" s="141"/>
      <c r="D391" s="141"/>
      <c r="E391" s="141"/>
      <c r="F391" s="141"/>
      <c r="G391" s="141"/>
      <c r="H391" s="141"/>
      <c r="I391" s="141"/>
      <c r="J391" s="141"/>
      <c r="K391" s="141"/>
      <c r="L391" s="216"/>
      <c r="M391" s="216"/>
      <c r="N391" s="219"/>
      <c r="O391" s="219"/>
      <c r="P391" s="219"/>
      <c r="Q391" s="219"/>
      <c r="R391" s="219"/>
      <c r="S391" s="219"/>
      <c r="T391" s="216"/>
      <c r="U391" s="216"/>
    </row>
    <row r="392" spans="2:21" hidden="1" outlineLevel="1" x14ac:dyDescent="0.2">
      <c r="B392" s="141"/>
      <c r="C392" s="141"/>
      <c r="D392" s="141"/>
      <c r="E392" s="141"/>
      <c r="F392" s="141"/>
      <c r="G392" s="716">
        <f>IF(G387="No",G384,G389)</f>
        <v>3.2258000000000002E-2</v>
      </c>
      <c r="H392" s="721"/>
      <c r="I392" s="716">
        <f>IF(G387="No",I384,0)</f>
        <v>0</v>
      </c>
      <c r="J392" s="141"/>
      <c r="K392" s="141" t="s">
        <v>492</v>
      </c>
      <c r="L392" s="216"/>
      <c r="M392" s="216"/>
      <c r="N392" s="549"/>
      <c r="O392" s="549"/>
      <c r="P392" s="549"/>
      <c r="Q392" s="549"/>
      <c r="R392" s="219"/>
      <c r="S392" s="219"/>
      <c r="T392" s="216"/>
      <c r="U392" s="216"/>
    </row>
    <row r="393" spans="2:21" hidden="1" outlineLevel="1" x14ac:dyDescent="0.2">
      <c r="B393" s="141"/>
      <c r="C393" s="141"/>
      <c r="D393" s="141"/>
      <c r="E393" s="141"/>
      <c r="F393" s="141"/>
      <c r="G393" s="603"/>
      <c r="H393" s="520"/>
      <c r="I393" s="603"/>
      <c r="J393" s="520"/>
      <c r="K393" s="141"/>
      <c r="L393" s="216"/>
      <c r="M393" s="516"/>
      <c r="N393" s="551"/>
      <c r="O393" s="551"/>
      <c r="P393" s="551"/>
      <c r="Q393" s="551"/>
      <c r="R393" s="219"/>
      <c r="S393" s="219"/>
      <c r="T393" s="216"/>
      <c r="U393" s="216"/>
    </row>
    <row r="394" spans="2:21" ht="13.5" collapsed="1" thickBot="1" x14ac:dyDescent="0.25">
      <c r="B394" s="141"/>
      <c r="C394" s="141"/>
      <c r="D394" s="141"/>
      <c r="E394" s="141"/>
      <c r="F394" s="141"/>
      <c r="G394" s="1663">
        <f>G385+G390</f>
        <v>0</v>
      </c>
      <c r="H394" s="1663"/>
      <c r="I394" s="1663">
        <f>I385+I390</f>
        <v>0</v>
      </c>
      <c r="J394" s="1663"/>
      <c r="K394" s="832" t="s">
        <v>399</v>
      </c>
      <c r="L394" s="216"/>
      <c r="M394" s="216"/>
      <c r="N394" s="202"/>
      <c r="O394" s="219"/>
      <c r="P394" s="219"/>
      <c r="Q394" s="202"/>
      <c r="R394" s="219"/>
      <c r="S394" s="219"/>
      <c r="T394" s="216"/>
      <c r="U394" s="216"/>
    </row>
    <row r="395" spans="2:21" ht="15.75" thickTop="1" x14ac:dyDescent="0.25">
      <c r="B395" s="141"/>
      <c r="C395" s="141"/>
      <c r="D395" s="141"/>
      <c r="E395" s="141"/>
      <c r="F395" s="141"/>
      <c r="G395" s="842" t="str">
        <f>IF($AD381&gt;0,"ERROR ALERT:  The date range in your service start/end dates is NOT consistent with the OTO start/end dates ('OTO Terms' above), please check your dates and re-enter.","")</f>
        <v/>
      </c>
      <c r="H395" s="801"/>
      <c r="I395" s="801"/>
      <c r="J395" s="801"/>
      <c r="K395" s="803"/>
      <c r="L395" s="216"/>
      <c r="M395" s="216"/>
      <c r="N395" s="202"/>
      <c r="O395" s="219"/>
      <c r="P395" s="219"/>
      <c r="Q395" s="202"/>
      <c r="R395" s="219"/>
      <c r="S395" s="219"/>
      <c r="T395" s="216"/>
      <c r="U395" s="216"/>
    </row>
    <row r="396" spans="2:21" ht="15" x14ac:dyDescent="0.25">
      <c r="B396" s="609" t="s">
        <v>592</v>
      </c>
      <c r="C396" s="141"/>
      <c r="D396" s="141"/>
      <c r="E396" s="141"/>
      <c r="F396" s="141"/>
      <c r="G396" s="141"/>
      <c r="H396" s="141"/>
      <c r="I396" s="141"/>
      <c r="J396" s="141"/>
      <c r="K396" s="141"/>
      <c r="L396" s="216"/>
      <c r="M396" s="478"/>
      <c r="N396" s="216"/>
      <c r="O396" s="216"/>
      <c r="P396" s="216"/>
      <c r="Q396" s="141"/>
      <c r="R396" s="216"/>
      <c r="S396" s="254"/>
      <c r="T396" s="216"/>
      <c r="U396" s="141"/>
    </row>
    <row r="397" spans="2:21" x14ac:dyDescent="0.2">
      <c r="B397" s="141"/>
      <c r="C397" s="141"/>
      <c r="D397" s="141"/>
      <c r="E397" s="141"/>
      <c r="F397" s="141"/>
      <c r="G397" s="141"/>
      <c r="H397" s="141"/>
      <c r="I397" s="141"/>
      <c r="J397" s="141"/>
      <c r="K397" s="141"/>
      <c r="L397" s="216"/>
      <c r="M397" s="478"/>
      <c r="N397" s="216"/>
      <c r="O397" s="216"/>
      <c r="P397" s="216"/>
      <c r="Q397" s="141"/>
      <c r="R397" s="1660" t="s">
        <v>547</v>
      </c>
      <c r="S397" s="1660"/>
      <c r="T397" s="216"/>
      <c r="U397" s="141"/>
    </row>
    <row r="398" spans="2:21" hidden="1" outlineLevel="1" x14ac:dyDescent="0.2">
      <c r="B398" s="141" t="s">
        <v>493</v>
      </c>
      <c r="C398" s="141"/>
      <c r="D398" s="597">
        <f>IF(NOT(G407=0),IF(G420="NO",(YEAR(I407)-YEAR(G407))*12+MONTH(I407)-MONTH(G407)+IF(G411="no",1,0)+IF(I411="yes",-1,0),0),0)</f>
        <v>0</v>
      </c>
      <c r="E398" s="141"/>
      <c r="F398" s="141"/>
      <c r="G398" s="141"/>
      <c r="H398" s="141"/>
      <c r="I398" s="141"/>
      <c r="J398" s="141"/>
      <c r="K398" s="141"/>
      <c r="L398" s="141"/>
      <c r="M398" s="499"/>
      <c r="N398" s="610"/>
      <c r="O398" s="254"/>
      <c r="P398" s="610"/>
      <c r="Q398" s="141"/>
      <c r="R398" s="219"/>
      <c r="S398" s="219"/>
      <c r="T398" s="219"/>
      <c r="U398" s="141"/>
    </row>
    <row r="399" spans="2:21" hidden="1" outlineLevel="1" x14ac:dyDescent="0.2">
      <c r="B399" s="141" t="s">
        <v>494</v>
      </c>
      <c r="C399" s="141"/>
      <c r="D399" s="598">
        <f>IF(NOT(G407=0),G425,0)</f>
        <v>0</v>
      </c>
      <c r="E399" s="141"/>
      <c r="F399" s="141"/>
      <c r="G399" s="141"/>
      <c r="H399" s="141"/>
      <c r="I399" s="141"/>
      <c r="J399" s="141"/>
      <c r="K399" s="141"/>
      <c r="L399" s="141"/>
      <c r="M399" s="499"/>
      <c r="N399" s="611"/>
      <c r="O399" s="219"/>
      <c r="P399" s="611"/>
      <c r="Q399" s="141"/>
      <c r="R399" s="219"/>
      <c r="S399" s="219"/>
      <c r="T399" s="219"/>
      <c r="U399" s="141"/>
    </row>
    <row r="400" spans="2:21" hidden="1" outlineLevel="1" x14ac:dyDescent="0.2">
      <c r="B400" s="141" t="s">
        <v>495</v>
      </c>
      <c r="C400" s="141"/>
      <c r="D400" s="599">
        <f>IF(NOT(G407=0),I425,0)</f>
        <v>0</v>
      </c>
      <c r="E400" s="141"/>
      <c r="F400" s="141"/>
      <c r="G400" s="141"/>
      <c r="H400" s="141"/>
      <c r="I400" s="141"/>
      <c r="J400" s="141"/>
      <c r="K400" s="141"/>
      <c r="L400" s="141"/>
      <c r="M400" s="499"/>
      <c r="N400" s="611"/>
      <c r="O400" s="219"/>
      <c r="P400" s="611"/>
      <c r="Q400" s="141"/>
      <c r="R400" s="219"/>
      <c r="S400" s="219"/>
      <c r="T400" s="219"/>
      <c r="U400" s="141"/>
    </row>
    <row r="401" spans="2:31" hidden="1" outlineLevel="1" x14ac:dyDescent="0.2">
      <c r="B401" s="219" t="s">
        <v>496</v>
      </c>
      <c r="C401" s="141"/>
      <c r="D401" s="597">
        <f>SUM(D398:D400)</f>
        <v>0</v>
      </c>
      <c r="E401" s="141"/>
      <c r="F401" s="141"/>
      <c r="G401" s="141"/>
      <c r="H401" s="141"/>
      <c r="I401" s="141"/>
      <c r="J401" s="141"/>
      <c r="K401" s="141"/>
      <c r="L401" s="141"/>
      <c r="M401" s="499"/>
      <c r="N401" s="610"/>
      <c r="O401" s="219"/>
      <c r="P401" s="610"/>
      <c r="Q401" s="141"/>
      <c r="R401" s="219"/>
      <c r="S401" s="219"/>
      <c r="T401" s="219"/>
      <c r="U401" s="141"/>
    </row>
    <row r="402" spans="2:31" hidden="1" outlineLevel="1" x14ac:dyDescent="0.2">
      <c r="B402" s="219"/>
      <c r="C402" s="216"/>
      <c r="D402" s="601"/>
      <c r="E402" s="216"/>
      <c r="F402" s="216"/>
      <c r="G402" s="216"/>
      <c r="H402" s="216"/>
      <c r="I402" s="216"/>
      <c r="J402" s="216"/>
      <c r="K402" s="216"/>
      <c r="L402" s="216"/>
      <c r="M402" s="499"/>
      <c r="N402" s="216"/>
      <c r="O402" s="216"/>
      <c r="P402" s="601"/>
      <c r="Q402" s="216"/>
      <c r="R402" s="219"/>
      <c r="S402" s="254"/>
      <c r="T402" s="219"/>
      <c r="U402" s="216"/>
    </row>
    <row r="403" spans="2:31" hidden="1" outlineLevel="1" x14ac:dyDescent="0.2">
      <c r="B403" s="216"/>
      <c r="C403" s="216"/>
      <c r="D403" s="216"/>
      <c r="E403" s="216"/>
      <c r="F403" s="141"/>
      <c r="G403" s="141"/>
      <c r="H403" s="141"/>
      <c r="I403" s="141"/>
      <c r="J403" s="141"/>
      <c r="K403" s="141"/>
      <c r="L403" s="141"/>
      <c r="M403" s="141"/>
      <c r="N403" s="141"/>
      <c r="O403" s="141"/>
      <c r="P403" s="141"/>
      <c r="Q403" s="141"/>
      <c r="R403" s="219"/>
      <c r="S403" s="254"/>
      <c r="T403" s="216"/>
      <c r="U403" s="141"/>
    </row>
    <row r="404" spans="2:31" collapsed="1" x14ac:dyDescent="0.2">
      <c r="B404" s="219"/>
      <c r="C404" s="216"/>
      <c r="D404" s="216"/>
      <c r="E404" s="612"/>
      <c r="F404" s="141"/>
      <c r="G404" s="1664"/>
      <c r="H404" s="1664"/>
      <c r="I404" s="141"/>
      <c r="J404" s="141"/>
      <c r="K404" s="141"/>
      <c r="L404" s="216"/>
      <c r="M404" s="216"/>
      <c r="N404" s="590" t="s">
        <v>545</v>
      </c>
      <c r="O404" s="591" t="s">
        <v>579</v>
      </c>
      <c r="P404" s="590" t="s">
        <v>545</v>
      </c>
      <c r="Q404" s="591" t="s">
        <v>579</v>
      </c>
      <c r="R404" s="590" t="s">
        <v>545</v>
      </c>
      <c r="S404" s="591" t="s">
        <v>579</v>
      </c>
      <c r="T404" s="216"/>
      <c r="U404" s="141"/>
      <c r="Z404" s="994" t="s">
        <v>581</v>
      </c>
      <c r="AA404" s="1074">
        <f>IF(G407&gt;0,IF(MONTH(G407)&gt;3,DATE(YEAR(G407)+1,3,31),DATE(YEAR(G407),3,31)),0)</f>
        <v>0</v>
      </c>
    </row>
    <row r="405" spans="2:31" x14ac:dyDescent="0.2">
      <c r="B405" s="141"/>
      <c r="C405" s="141"/>
      <c r="D405" s="141"/>
      <c r="E405" s="141"/>
      <c r="F405" s="141"/>
      <c r="G405" s="494" t="str">
        <f>IF(AD408&gt;0,"WARNING: Generally, you may not cross a CLBC March 31 fiscal year end, please re-check your dates.","")</f>
        <v/>
      </c>
      <c r="H405" s="141"/>
      <c r="I405" s="141"/>
      <c r="J405" s="141"/>
      <c r="K405" s="141"/>
      <c r="L405" s="216"/>
      <c r="M405" s="216"/>
      <c r="N405" s="503" t="s">
        <v>510</v>
      </c>
      <c r="O405" s="504" t="s">
        <v>510</v>
      </c>
      <c r="P405" s="503" t="s">
        <v>510</v>
      </c>
      <c r="Q405" s="504" t="s">
        <v>510</v>
      </c>
      <c r="R405" s="503" t="s">
        <v>510</v>
      </c>
      <c r="S405" s="504" t="s">
        <v>510</v>
      </c>
      <c r="T405" s="216"/>
      <c r="U405" s="141"/>
      <c r="Z405" s="994" t="s">
        <v>582</v>
      </c>
      <c r="AA405" s="1074">
        <f>IF(AA404&gt;=$L$20,$L$20,AA404)</f>
        <v>0</v>
      </c>
    </row>
    <row r="406" spans="2:31" ht="38.25" customHeight="1" x14ac:dyDescent="0.2">
      <c r="B406" s="792" t="s">
        <v>464</v>
      </c>
      <c r="C406" s="1543" t="s">
        <v>351</v>
      </c>
      <c r="D406" s="1543"/>
      <c r="E406" s="587" t="s">
        <v>481</v>
      </c>
      <c r="F406" s="587" t="s">
        <v>482</v>
      </c>
      <c r="G406" s="1522" t="s">
        <v>519</v>
      </c>
      <c r="H406" s="1523"/>
      <c r="I406" s="1522" t="s">
        <v>520</v>
      </c>
      <c r="J406" s="1523" t="s">
        <v>520</v>
      </c>
      <c r="K406" s="833" t="s">
        <v>387</v>
      </c>
      <c r="L406" s="831" t="s">
        <v>483</v>
      </c>
      <c r="M406" s="831" t="s">
        <v>388</v>
      </c>
      <c r="N406" s="1543" t="s">
        <v>389</v>
      </c>
      <c r="O406" s="1543"/>
      <c r="P406" s="1543" t="s">
        <v>390</v>
      </c>
      <c r="Q406" s="1543"/>
      <c r="R406" s="1543" t="s">
        <v>578</v>
      </c>
      <c r="S406" s="1543"/>
      <c r="T406" s="286"/>
      <c r="U406" s="140"/>
    </row>
    <row r="407" spans="2:31" x14ac:dyDescent="0.2">
      <c r="B407" s="666"/>
      <c r="C407" s="1547" t="s">
        <v>414</v>
      </c>
      <c r="D407" s="1547"/>
      <c r="E407" s="808" t="s">
        <v>484</v>
      </c>
      <c r="F407" s="808" t="str">
        <f>IF(L23="Fixed Lump Sum","Y","N")</f>
        <v>N</v>
      </c>
      <c r="G407" s="1665"/>
      <c r="H407" s="1667"/>
      <c r="I407" s="1665"/>
      <c r="J407" s="1666"/>
      <c r="K407" s="588">
        <f>IF(F407="N",IF(NOT(G407=0),$J$67,0),0)</f>
        <v>0</v>
      </c>
      <c r="L407" s="588">
        <f>IF(F407="Y",$J$67*D401,0)</f>
        <v>0</v>
      </c>
      <c r="M407" s="588">
        <f>ROUND(IF(F407="Y",L407,IF(G420="yes",G427,K407*D398+G427+I427)),2)</f>
        <v>0</v>
      </c>
      <c r="N407" s="1661" t="s">
        <v>510</v>
      </c>
      <c r="O407" s="1662"/>
      <c r="P407" s="1661" t="s">
        <v>510</v>
      </c>
      <c r="Q407" s="1662"/>
      <c r="R407" s="1661" t="s">
        <v>510</v>
      </c>
      <c r="S407" s="1662"/>
      <c r="T407" s="216"/>
      <c r="U407" s="141"/>
      <c r="AD407" s="1109" t="s">
        <v>617</v>
      </c>
      <c r="AE407" s="1109" t="s">
        <v>718</v>
      </c>
    </row>
    <row r="408" spans="2:31" hidden="1" outlineLevel="1" x14ac:dyDescent="0.2">
      <c r="B408" s="141"/>
      <c r="C408" s="803"/>
      <c r="D408" s="141"/>
      <c r="E408" s="141"/>
      <c r="F408" s="141"/>
      <c r="G408" s="141">
        <f>G414</f>
        <v>31</v>
      </c>
      <c r="H408" s="141"/>
      <c r="I408" s="141">
        <f>I414</f>
        <v>31</v>
      </c>
      <c r="J408" s="141"/>
      <c r="K408" s="803" t="s">
        <v>391</v>
      </c>
      <c r="L408" s="216"/>
      <c r="M408" s="216"/>
      <c r="N408" s="216"/>
      <c r="O408" s="216"/>
      <c r="P408" s="216"/>
      <c r="Q408" s="216"/>
      <c r="R408" s="219"/>
      <c r="S408" s="508"/>
      <c r="T408" s="216"/>
      <c r="U408" s="141"/>
      <c r="AD408" s="994">
        <f>IF(AND(G407&gt;0,I407&gt;0,I407&gt;$AA405),1,0)</f>
        <v>0</v>
      </c>
      <c r="AE408" s="994" t="s">
        <v>619</v>
      </c>
    </row>
    <row r="409" spans="2:31" hidden="1" outlineLevel="1" x14ac:dyDescent="0.2">
      <c r="B409" s="141"/>
      <c r="C409" s="803"/>
      <c r="D409" s="141"/>
      <c r="E409" s="141"/>
      <c r="F409" s="141"/>
      <c r="G409" s="141">
        <v>1</v>
      </c>
      <c r="H409" s="141"/>
      <c r="I409" s="141">
        <v>1</v>
      </c>
      <c r="J409" s="141"/>
      <c r="K409" s="803" t="s">
        <v>392</v>
      </c>
      <c r="L409" s="216"/>
      <c r="M409" s="216"/>
      <c r="N409" s="216"/>
      <c r="O409" s="216"/>
      <c r="P409" s="216"/>
      <c r="Q409" s="216"/>
      <c r="R409" s="219"/>
      <c r="S409" s="508"/>
      <c r="T409" s="216"/>
      <c r="U409" s="141"/>
    </row>
    <row r="410" spans="2:31" hidden="1" outlineLevel="1" x14ac:dyDescent="0.2">
      <c r="B410" s="141"/>
      <c r="C410" s="803"/>
      <c r="D410" s="141"/>
      <c r="E410" s="141"/>
      <c r="F410" s="141"/>
      <c r="G410" s="141">
        <f>DAY(G407)</f>
        <v>0</v>
      </c>
      <c r="H410" s="141"/>
      <c r="I410" s="141">
        <f>DAY(I407)</f>
        <v>0</v>
      </c>
      <c r="J410" s="141"/>
      <c r="K410" s="803" t="s">
        <v>393</v>
      </c>
      <c r="L410" s="216"/>
      <c r="M410" s="216"/>
      <c r="N410" s="216"/>
      <c r="O410" s="216"/>
      <c r="P410" s="216"/>
      <c r="Q410" s="216"/>
      <c r="R410" s="219"/>
      <c r="S410" s="508"/>
      <c r="T410" s="216"/>
      <c r="U410" s="141"/>
      <c r="AD410" s="1109" t="s">
        <v>617</v>
      </c>
      <c r="AE410" s="1109" t="s">
        <v>719</v>
      </c>
    </row>
    <row r="411" spans="2:31" hidden="1" outlineLevel="1" x14ac:dyDescent="0.2">
      <c r="B411" s="141"/>
      <c r="C411" s="803"/>
      <c r="D411" s="141"/>
      <c r="E411" s="141"/>
      <c r="F411" s="141"/>
      <c r="G411" s="516" t="str">
        <f>IF(G410=G409,"No","Yes")</f>
        <v>Yes</v>
      </c>
      <c r="H411" s="141"/>
      <c r="I411" s="516" t="str">
        <f>IF(I410=I408,"No","Yes")</f>
        <v>Yes</v>
      </c>
      <c r="J411" s="141"/>
      <c r="K411" s="803" t="s">
        <v>394</v>
      </c>
      <c r="L411" s="216"/>
      <c r="M411" s="216"/>
      <c r="N411" s="517"/>
      <c r="O411" s="517"/>
      <c r="P411" s="517"/>
      <c r="Q411" s="517"/>
      <c r="R411" s="219"/>
      <c r="S411" s="219"/>
      <c r="T411" s="216"/>
      <c r="U411" s="216"/>
      <c r="AD411" s="994">
        <f>IF(OR(G407&lt;$L$18,G407&gt;$L$20),1,0)</f>
        <v>0</v>
      </c>
      <c r="AE411" s="994" t="s">
        <v>618</v>
      </c>
    </row>
    <row r="412" spans="2:31" hidden="1" outlineLevel="1" x14ac:dyDescent="0.2">
      <c r="B412" s="141"/>
      <c r="C412" s="803"/>
      <c r="D412" s="141"/>
      <c r="E412" s="141"/>
      <c r="F412" s="141"/>
      <c r="G412" s="219"/>
      <c r="H412" s="141"/>
      <c r="I412" s="219"/>
      <c r="J412" s="141"/>
      <c r="K412" s="803"/>
      <c r="L412" s="216"/>
      <c r="M412" s="216"/>
      <c r="Q412" s="52"/>
      <c r="R412" s="219"/>
      <c r="S412" s="219"/>
      <c r="T412" s="216"/>
      <c r="U412" s="216"/>
      <c r="AD412" s="994">
        <f>IF(OR(I407&lt;$L$18,I407&gt;$L$20),1,0)</f>
        <v>0</v>
      </c>
      <c r="AE412" s="994" t="s">
        <v>705</v>
      </c>
    </row>
    <row r="413" spans="2:31" hidden="1" outlineLevel="1" x14ac:dyDescent="0.2">
      <c r="B413" s="141"/>
      <c r="C413" s="803"/>
      <c r="D413" s="141"/>
      <c r="E413" s="141"/>
      <c r="F413" s="141"/>
      <c r="G413" s="518">
        <f>EOMONTH(G407,0)</f>
        <v>31</v>
      </c>
      <c r="H413" s="141"/>
      <c r="I413" s="518">
        <f>EOMONTH(I407,0)</f>
        <v>31</v>
      </c>
      <c r="J413" s="141"/>
      <c r="K413" s="803" t="s">
        <v>395</v>
      </c>
      <c r="L413" s="216"/>
      <c r="M413" s="216"/>
      <c r="N413" s="519"/>
      <c r="O413" s="519"/>
      <c r="P413" s="519"/>
      <c r="Q413" s="519"/>
      <c r="R413" s="219"/>
      <c r="S413" s="219"/>
      <c r="T413" s="216"/>
      <c r="U413" s="216"/>
      <c r="AD413" s="994"/>
      <c r="AE413" s="994"/>
    </row>
    <row r="414" spans="2:31" ht="13.5" hidden="1" outlineLevel="1" thickBot="1" x14ac:dyDescent="0.25">
      <c r="B414" s="141"/>
      <c r="C414" s="803"/>
      <c r="D414" s="141"/>
      <c r="E414" s="141"/>
      <c r="F414" s="141"/>
      <c r="G414" s="141">
        <f>DAY(G413)</f>
        <v>31</v>
      </c>
      <c r="H414" s="141"/>
      <c r="I414" s="141">
        <f>DAY(I413)</f>
        <v>31</v>
      </c>
      <c r="J414" s="141"/>
      <c r="K414" s="803" t="s">
        <v>396</v>
      </c>
      <c r="L414" s="216"/>
      <c r="M414" s="216"/>
      <c r="N414" s="216"/>
      <c r="O414" s="216"/>
      <c r="P414" s="216"/>
      <c r="Q414" s="216"/>
      <c r="R414" s="219"/>
      <c r="S414" s="219"/>
      <c r="T414" s="216"/>
      <c r="U414" s="216"/>
      <c r="AD414" s="1112">
        <f>IF(AND(G407&gt;0,I407&gt;0),SUM(AD411:AD413),0)</f>
        <v>0</v>
      </c>
      <c r="AE414" s="994" t="s">
        <v>620</v>
      </c>
    </row>
    <row r="415" spans="2:31" hidden="1" outlineLevel="1" x14ac:dyDescent="0.2">
      <c r="B415" s="141"/>
      <c r="C415" s="803"/>
      <c r="D415" s="141"/>
      <c r="E415" s="141"/>
      <c r="F415" s="141"/>
      <c r="G415" s="520">
        <f>G413-G407+1</f>
        <v>32</v>
      </c>
      <c r="H415" s="141"/>
      <c r="I415" s="520">
        <f>I413-I407</f>
        <v>31</v>
      </c>
      <c r="J415" s="141"/>
      <c r="K415" s="803" t="s">
        <v>628</v>
      </c>
      <c r="L415" s="216"/>
      <c r="M415" s="216"/>
      <c r="N415" s="219"/>
      <c r="O415" s="219"/>
      <c r="P415" s="219"/>
      <c r="Q415" s="219"/>
      <c r="R415" s="219"/>
      <c r="S415" s="219"/>
      <c r="T415" s="216"/>
      <c r="U415" s="216"/>
    </row>
    <row r="416" spans="2:31" hidden="1" outlineLevel="1" x14ac:dyDescent="0.2">
      <c r="B416" s="141"/>
      <c r="C416" s="803"/>
      <c r="D416" s="141"/>
      <c r="E416" s="141"/>
      <c r="F416" s="141"/>
      <c r="G416" s="141">
        <f>G414-G415</f>
        <v>-1</v>
      </c>
      <c r="H416" s="141"/>
      <c r="I416" s="141">
        <f>I414-I415</f>
        <v>0</v>
      </c>
      <c r="J416" s="141"/>
      <c r="K416" s="803" t="s">
        <v>397</v>
      </c>
      <c r="L416" s="216"/>
      <c r="M416" s="216"/>
      <c r="N416" s="219"/>
      <c r="O416" s="219"/>
      <c r="P416" s="219"/>
      <c r="Q416" s="219"/>
      <c r="R416" s="219"/>
      <c r="S416" s="219"/>
      <c r="T416" s="216"/>
      <c r="U416" s="216"/>
    </row>
    <row r="417" spans="2:21" hidden="1" outlineLevel="1" x14ac:dyDescent="0.2">
      <c r="B417" s="141"/>
      <c r="C417" s="803"/>
      <c r="D417" s="141"/>
      <c r="E417" s="141"/>
      <c r="F417" s="141"/>
      <c r="G417" s="718">
        <f>IF(G411="Yes",ROUND(G415/G414,6),0)</f>
        <v>1.0322579999999999</v>
      </c>
      <c r="H417" s="719"/>
      <c r="I417" s="718">
        <f>IF(I411="Yes",ROUND(I416/I414,6),0)</f>
        <v>0</v>
      </c>
      <c r="J417" s="589"/>
      <c r="K417" s="803" t="s">
        <v>398</v>
      </c>
      <c r="L417" s="216"/>
      <c r="M417" s="216"/>
      <c r="N417" s="549"/>
      <c r="O417" s="549"/>
      <c r="P417" s="549"/>
      <c r="Q417" s="549"/>
      <c r="R417" s="219"/>
      <c r="S417" s="219"/>
      <c r="T417" s="216"/>
      <c r="U417" s="216"/>
    </row>
    <row r="418" spans="2:21" hidden="1" outlineLevel="1" x14ac:dyDescent="0.2">
      <c r="B418" s="141"/>
      <c r="C418" s="803"/>
      <c r="D418" s="141"/>
      <c r="E418" s="141"/>
      <c r="F418" s="141"/>
      <c r="G418" s="592">
        <f>IF(G420="Yes",0,ROUND(K407*G417,2))</f>
        <v>0</v>
      </c>
      <c r="H418" s="141"/>
      <c r="I418" s="592">
        <f>IF(G420="Yes",0,ROUND(K407*I417,2))</f>
        <v>0</v>
      </c>
      <c r="J418" s="141"/>
      <c r="K418" s="803" t="s">
        <v>409</v>
      </c>
      <c r="L418" s="216"/>
      <c r="M418" s="216"/>
      <c r="N418" s="510"/>
      <c r="O418" s="510"/>
      <c r="P418" s="510"/>
      <c r="Q418" s="510"/>
      <c r="R418" s="219"/>
      <c r="S418" s="219"/>
      <c r="T418" s="216"/>
      <c r="U418" s="216"/>
    </row>
    <row r="419" spans="2:21" hidden="1" outlineLevel="1" x14ac:dyDescent="0.2">
      <c r="B419" s="141"/>
      <c r="C419" s="803"/>
      <c r="D419" s="141"/>
      <c r="E419" s="141"/>
      <c r="F419" s="141"/>
      <c r="G419" s="141"/>
      <c r="H419" s="141"/>
      <c r="I419" s="141"/>
      <c r="J419" s="141"/>
      <c r="K419" s="803"/>
      <c r="L419" s="216"/>
      <c r="M419" s="216"/>
      <c r="N419" s="219"/>
      <c r="O419" s="219"/>
      <c r="P419" s="219"/>
      <c r="Q419" s="219"/>
      <c r="R419" s="219"/>
      <c r="S419" s="219"/>
      <c r="T419" s="216"/>
      <c r="U419" s="216"/>
    </row>
    <row r="420" spans="2:21" hidden="1" outlineLevel="1" x14ac:dyDescent="0.2">
      <c r="B420" s="141"/>
      <c r="C420" s="803"/>
      <c r="D420" s="141"/>
      <c r="E420" s="141"/>
      <c r="F420" s="141"/>
      <c r="G420" s="542" t="str">
        <f>IF(AND(YEAR(G407)=YEAR(I407),MONTH(G407)=MONTH(I407),G411="YES",I411="YES"),"YES","NO")</f>
        <v>YES</v>
      </c>
      <c r="H420" s="141"/>
      <c r="I420" s="141"/>
      <c r="J420" s="141"/>
      <c r="K420" s="803" t="s">
        <v>410</v>
      </c>
      <c r="L420" s="216"/>
      <c r="M420" s="216"/>
      <c r="N420" s="544"/>
      <c r="O420" s="510"/>
      <c r="P420" s="544"/>
      <c r="Q420" s="219"/>
      <c r="R420" s="219"/>
      <c r="S420" s="219"/>
      <c r="T420" s="216"/>
      <c r="U420" s="216"/>
    </row>
    <row r="421" spans="2:21" hidden="1" outlineLevel="1" x14ac:dyDescent="0.2">
      <c r="B421" s="141"/>
      <c r="C421" s="803"/>
      <c r="D421" s="141"/>
      <c r="E421" s="141"/>
      <c r="F421" s="141"/>
      <c r="G421" s="141">
        <f>IF(G420="yes",I407-G407+1,0)</f>
        <v>1</v>
      </c>
      <c r="H421" s="141"/>
      <c r="I421" s="141"/>
      <c r="J421" s="141"/>
      <c r="K421" s="803" t="s">
        <v>411</v>
      </c>
      <c r="L421" s="216"/>
      <c r="M421" s="216"/>
      <c r="N421" s="219"/>
      <c r="O421" s="510"/>
      <c r="P421" s="219"/>
      <c r="Q421" s="219"/>
      <c r="R421" s="219"/>
      <c r="S421" s="219"/>
      <c r="T421" s="216"/>
      <c r="U421" s="216"/>
    </row>
    <row r="422" spans="2:21" hidden="1" outlineLevel="1" x14ac:dyDescent="0.2">
      <c r="B422" s="141"/>
      <c r="C422" s="803"/>
      <c r="D422" s="141"/>
      <c r="E422" s="141"/>
      <c r="F422" s="141"/>
      <c r="G422" s="717">
        <f>ROUND(G421/G414,6)</f>
        <v>3.2258000000000002E-2</v>
      </c>
      <c r="H422" s="141"/>
      <c r="I422" s="141"/>
      <c r="J422" s="141"/>
      <c r="K422" s="803" t="s">
        <v>398</v>
      </c>
      <c r="L422" s="216"/>
      <c r="M422" s="216"/>
      <c r="N422" s="549"/>
      <c r="O422" s="510"/>
      <c r="P422" s="549"/>
      <c r="Q422" s="219"/>
      <c r="R422" s="219"/>
      <c r="S422" s="219"/>
      <c r="T422" s="216"/>
      <c r="U422" s="216"/>
    </row>
    <row r="423" spans="2:21" hidden="1" outlineLevel="1" x14ac:dyDescent="0.2">
      <c r="B423" s="141"/>
      <c r="C423" s="803"/>
      <c r="D423" s="141"/>
      <c r="E423" s="141"/>
      <c r="F423" s="141"/>
      <c r="G423" s="540">
        <f>ROUND(IF(NOT(G407=0),G422*K407,0),2)</f>
        <v>0</v>
      </c>
      <c r="H423" s="141"/>
      <c r="I423" s="141"/>
      <c r="J423" s="141"/>
      <c r="K423" s="803" t="s">
        <v>413</v>
      </c>
      <c r="L423" s="216"/>
      <c r="M423" s="216"/>
      <c r="N423" s="510"/>
      <c r="O423" s="510"/>
      <c r="P423" s="510"/>
      <c r="Q423" s="219"/>
      <c r="R423" s="219"/>
      <c r="S423" s="219"/>
      <c r="T423" s="216"/>
      <c r="U423" s="216"/>
    </row>
    <row r="424" spans="2:21" hidden="1" outlineLevel="1" x14ac:dyDescent="0.2">
      <c r="B424" s="141"/>
      <c r="C424" s="141"/>
      <c r="D424" s="141"/>
      <c r="E424" s="141"/>
      <c r="F424" s="141"/>
      <c r="G424" s="141"/>
      <c r="H424" s="141"/>
      <c r="I424" s="141"/>
      <c r="J424" s="141"/>
      <c r="K424" s="141"/>
      <c r="L424" s="216"/>
      <c r="M424" s="216"/>
      <c r="N424" s="219"/>
      <c r="O424" s="219"/>
      <c r="P424" s="219"/>
      <c r="Q424" s="219"/>
      <c r="R424" s="219"/>
      <c r="S424" s="219"/>
      <c r="T424" s="216"/>
      <c r="U424" s="216"/>
    </row>
    <row r="425" spans="2:21" hidden="1" outlineLevel="1" x14ac:dyDescent="0.2">
      <c r="B425" s="141"/>
      <c r="C425" s="141"/>
      <c r="D425" s="141"/>
      <c r="E425" s="141"/>
      <c r="F425" s="141"/>
      <c r="G425" s="716">
        <f>IF(G420="No",G417,G422)</f>
        <v>3.2258000000000002E-2</v>
      </c>
      <c r="H425" s="721"/>
      <c r="I425" s="716">
        <f>IF(G420="No",I417,0)</f>
        <v>0</v>
      </c>
      <c r="J425" s="141"/>
      <c r="K425" s="141" t="s">
        <v>492</v>
      </c>
      <c r="L425" s="216"/>
      <c r="M425" s="216"/>
      <c r="N425" s="549"/>
      <c r="O425" s="549"/>
      <c r="P425" s="549"/>
      <c r="Q425" s="549"/>
      <c r="R425" s="219"/>
      <c r="S425" s="219"/>
      <c r="T425" s="216"/>
      <c r="U425" s="216"/>
    </row>
    <row r="426" spans="2:21" hidden="1" outlineLevel="1" x14ac:dyDescent="0.2">
      <c r="B426" s="141"/>
      <c r="C426" s="141"/>
      <c r="D426" s="141"/>
      <c r="E426" s="141"/>
      <c r="F426" s="141"/>
      <c r="G426" s="603"/>
      <c r="H426" s="520"/>
      <c r="I426" s="603"/>
      <c r="J426" s="520"/>
      <c r="K426" s="141"/>
      <c r="L426" s="216"/>
      <c r="M426" s="516"/>
      <c r="N426" s="551"/>
      <c r="O426" s="551"/>
      <c r="P426" s="551"/>
      <c r="Q426" s="551"/>
      <c r="R426" s="219"/>
      <c r="S426" s="219"/>
      <c r="T426" s="216"/>
      <c r="U426" s="216"/>
    </row>
    <row r="427" spans="2:21" ht="13.5" collapsed="1" thickBot="1" x14ac:dyDescent="0.25">
      <c r="B427" s="141"/>
      <c r="C427" s="141"/>
      <c r="D427" s="141"/>
      <c r="E427" s="141"/>
      <c r="F427" s="141"/>
      <c r="G427" s="1663">
        <f>G418+G423</f>
        <v>0</v>
      </c>
      <c r="H427" s="1663"/>
      <c r="I427" s="1663">
        <f>I418+I423</f>
        <v>0</v>
      </c>
      <c r="J427" s="1663"/>
      <c r="K427" s="832" t="s">
        <v>399</v>
      </c>
      <c r="L427" s="216"/>
      <c r="M427" s="216"/>
      <c r="N427" s="202"/>
      <c r="O427" s="219"/>
      <c r="P427" s="219"/>
      <c r="Q427" s="202"/>
      <c r="R427" s="219"/>
      <c r="S427" s="219"/>
      <c r="T427" s="216"/>
      <c r="U427" s="216"/>
    </row>
    <row r="428" spans="2:21" ht="15.75" thickTop="1" x14ac:dyDescent="0.25">
      <c r="B428" s="141"/>
      <c r="C428" s="141"/>
      <c r="D428" s="141"/>
      <c r="E428" s="141"/>
      <c r="F428" s="141"/>
      <c r="G428" s="842" t="str">
        <f>IF($AD414&gt;0,"ERROR ALERT:  The date range in your service start/end dates is NOT consistent with the OTO start/end dates ('OTO Terms' above), please check your dates and re-enter.","")</f>
        <v/>
      </c>
      <c r="H428" s="801"/>
      <c r="I428" s="801"/>
      <c r="J428" s="801"/>
      <c r="K428" s="803"/>
      <c r="L428" s="216"/>
      <c r="M428" s="216"/>
      <c r="N428" s="202"/>
      <c r="O428" s="219"/>
      <c r="P428" s="219"/>
      <c r="Q428" s="202"/>
      <c r="R428" s="219"/>
      <c r="S428" s="219"/>
      <c r="T428" s="216"/>
      <c r="U428" s="216"/>
    </row>
    <row r="429" spans="2:21" ht="15" x14ac:dyDescent="0.25">
      <c r="B429" s="609" t="s">
        <v>678</v>
      </c>
      <c r="C429" s="141"/>
      <c r="D429" s="141"/>
      <c r="E429" s="141"/>
      <c r="F429" s="141"/>
      <c r="G429" s="141"/>
      <c r="H429" s="141"/>
      <c r="I429" s="141"/>
      <c r="J429" s="141"/>
      <c r="K429" s="141"/>
      <c r="L429" s="216"/>
      <c r="M429" s="478"/>
      <c r="N429" s="216"/>
      <c r="O429" s="216"/>
      <c r="P429" s="216"/>
      <c r="Q429" s="141"/>
      <c r="R429" s="216"/>
      <c r="S429" s="254"/>
      <c r="T429" s="216"/>
      <c r="U429" s="141"/>
    </row>
    <row r="430" spans="2:21" x14ac:dyDescent="0.2">
      <c r="B430" s="141"/>
      <c r="C430" s="141"/>
      <c r="D430" s="141"/>
      <c r="E430" s="141"/>
      <c r="F430" s="141"/>
      <c r="G430" s="141"/>
      <c r="H430" s="141"/>
      <c r="I430" s="141"/>
      <c r="J430" s="141"/>
      <c r="K430" s="141"/>
      <c r="L430" s="216"/>
      <c r="M430" s="478"/>
      <c r="N430" s="216"/>
      <c r="O430" s="216"/>
      <c r="P430" s="216"/>
      <c r="Q430" s="141"/>
      <c r="R430" s="1660" t="s">
        <v>547</v>
      </c>
      <c r="S430" s="1660"/>
      <c r="T430" s="216"/>
      <c r="U430" s="141"/>
    </row>
    <row r="431" spans="2:21" hidden="1" outlineLevel="1" x14ac:dyDescent="0.2">
      <c r="B431" s="141" t="s">
        <v>493</v>
      </c>
      <c r="C431" s="141"/>
      <c r="D431" s="597">
        <f>IF(NOT(G440=0),IF(G453="NO",(YEAR(I440)-YEAR(G440))*12+MONTH(I440)-MONTH(G440)+IF(G444="no",1,0)+IF(I444="yes",-1,0),0),0)</f>
        <v>0</v>
      </c>
      <c r="E431" s="141"/>
      <c r="F431" s="141"/>
      <c r="G431" s="141"/>
      <c r="H431" s="141"/>
      <c r="I431" s="141"/>
      <c r="J431" s="141"/>
      <c r="K431" s="141"/>
      <c r="L431" s="141"/>
      <c r="M431" s="499"/>
      <c r="N431" s="610"/>
      <c r="O431" s="254"/>
      <c r="P431" s="610"/>
      <c r="Q431" s="141"/>
      <c r="R431" s="219"/>
      <c r="S431" s="219"/>
      <c r="T431" s="219"/>
      <c r="U431" s="141"/>
    </row>
    <row r="432" spans="2:21" hidden="1" outlineLevel="1" x14ac:dyDescent="0.2">
      <c r="B432" s="141" t="s">
        <v>494</v>
      </c>
      <c r="C432" s="141"/>
      <c r="D432" s="598">
        <f>IF(NOT(G440=0),G458,0)</f>
        <v>0</v>
      </c>
      <c r="E432" s="141"/>
      <c r="F432" s="141"/>
      <c r="G432" s="141"/>
      <c r="H432" s="141"/>
      <c r="I432" s="141"/>
      <c r="J432" s="141"/>
      <c r="K432" s="141"/>
      <c r="L432" s="141"/>
      <c r="M432" s="499"/>
      <c r="N432" s="611"/>
      <c r="O432" s="219"/>
      <c r="P432" s="611"/>
      <c r="Q432" s="141"/>
      <c r="R432" s="219"/>
      <c r="S432" s="219"/>
      <c r="T432" s="219"/>
      <c r="U432" s="141"/>
    </row>
    <row r="433" spans="2:31" hidden="1" outlineLevel="1" x14ac:dyDescent="0.2">
      <c r="B433" s="141" t="s">
        <v>495</v>
      </c>
      <c r="C433" s="141"/>
      <c r="D433" s="599">
        <f>IF(NOT(G440=0),I458,0)</f>
        <v>0</v>
      </c>
      <c r="E433" s="141"/>
      <c r="F433" s="141"/>
      <c r="G433" s="141"/>
      <c r="H433" s="141"/>
      <c r="I433" s="141"/>
      <c r="J433" s="141"/>
      <c r="K433" s="141"/>
      <c r="L433" s="141"/>
      <c r="M433" s="499"/>
      <c r="N433" s="611"/>
      <c r="O433" s="219"/>
      <c r="P433" s="611"/>
      <c r="Q433" s="141"/>
      <c r="R433" s="219"/>
      <c r="S433" s="219"/>
      <c r="T433" s="219"/>
      <c r="U433" s="141"/>
    </row>
    <row r="434" spans="2:31" hidden="1" outlineLevel="1" x14ac:dyDescent="0.2">
      <c r="B434" s="219" t="s">
        <v>496</v>
      </c>
      <c r="C434" s="141"/>
      <c r="D434" s="597">
        <f>SUM(D431:D433)</f>
        <v>0</v>
      </c>
      <c r="E434" s="141"/>
      <c r="F434" s="141"/>
      <c r="G434" s="141"/>
      <c r="H434" s="141"/>
      <c r="I434" s="141"/>
      <c r="J434" s="141"/>
      <c r="K434" s="141"/>
      <c r="L434" s="141"/>
      <c r="M434" s="499"/>
      <c r="N434" s="610"/>
      <c r="O434" s="219"/>
      <c r="P434" s="610"/>
      <c r="Q434" s="141"/>
      <c r="R434" s="219"/>
      <c r="S434" s="219"/>
      <c r="T434" s="219"/>
      <c r="U434" s="141"/>
    </row>
    <row r="435" spans="2:31" hidden="1" outlineLevel="1" x14ac:dyDescent="0.2">
      <c r="B435" s="219"/>
      <c r="C435" s="216"/>
      <c r="D435" s="601"/>
      <c r="E435" s="216"/>
      <c r="F435" s="216"/>
      <c r="G435" s="216"/>
      <c r="H435" s="216"/>
      <c r="I435" s="216"/>
      <c r="J435" s="216"/>
      <c r="K435" s="216"/>
      <c r="L435" s="216"/>
      <c r="M435" s="499"/>
      <c r="N435" s="216"/>
      <c r="O435" s="216"/>
      <c r="P435" s="601"/>
      <c r="Q435" s="216"/>
      <c r="R435" s="219"/>
      <c r="S435" s="254"/>
      <c r="T435" s="219"/>
      <c r="U435" s="216"/>
    </row>
    <row r="436" spans="2:31" hidden="1" outlineLevel="1" x14ac:dyDescent="0.2">
      <c r="B436" s="216"/>
      <c r="C436" s="216"/>
      <c r="D436" s="216"/>
      <c r="E436" s="216"/>
      <c r="F436" s="141"/>
      <c r="G436" s="141"/>
      <c r="H436" s="141"/>
      <c r="I436" s="141"/>
      <c r="J436" s="141"/>
      <c r="K436" s="141"/>
      <c r="L436" s="141"/>
      <c r="M436" s="141"/>
      <c r="N436" s="141"/>
      <c r="O436" s="141"/>
      <c r="P436" s="141"/>
      <c r="Q436" s="141"/>
      <c r="R436" s="219"/>
      <c r="S436" s="254"/>
      <c r="T436" s="216"/>
      <c r="U436" s="141"/>
    </row>
    <row r="437" spans="2:31" collapsed="1" x14ac:dyDescent="0.2">
      <c r="B437" s="219"/>
      <c r="C437" s="216"/>
      <c r="D437" s="216"/>
      <c r="E437" s="612"/>
      <c r="F437" s="141"/>
      <c r="G437" s="1664"/>
      <c r="H437" s="1664"/>
      <c r="I437" s="141"/>
      <c r="J437" s="141"/>
      <c r="K437" s="141"/>
      <c r="L437" s="216"/>
      <c r="M437" s="216"/>
      <c r="N437" s="590" t="s">
        <v>545</v>
      </c>
      <c r="O437" s="591" t="s">
        <v>579</v>
      </c>
      <c r="P437" s="590" t="s">
        <v>545</v>
      </c>
      <c r="Q437" s="591" t="s">
        <v>579</v>
      </c>
      <c r="R437" s="590" t="s">
        <v>545</v>
      </c>
      <c r="S437" s="591" t="s">
        <v>579</v>
      </c>
      <c r="T437" s="216"/>
      <c r="U437" s="141"/>
      <c r="Z437" s="994" t="s">
        <v>581</v>
      </c>
      <c r="AA437" s="1074">
        <f>IF(G440&gt;0,IF(MONTH(G440)&gt;3,DATE(YEAR(G440)+1,3,31),DATE(YEAR(G440),3,31)),0)</f>
        <v>0</v>
      </c>
    </row>
    <row r="438" spans="2:31" x14ac:dyDescent="0.2">
      <c r="B438" s="141"/>
      <c r="C438" s="141"/>
      <c r="D438" s="141"/>
      <c r="E438" s="141"/>
      <c r="F438" s="141"/>
      <c r="G438" s="494" t="str">
        <f>IF(AD441&gt;0,"WARNING: Generally, you may not cross a CLBC March 31 fiscal year end, please re-check your dates.","")</f>
        <v/>
      </c>
      <c r="H438" s="141"/>
      <c r="I438" s="141"/>
      <c r="J438" s="141"/>
      <c r="K438" s="141"/>
      <c r="L438" s="216"/>
      <c r="M438" s="216"/>
      <c r="N438" s="503" t="s">
        <v>510</v>
      </c>
      <c r="O438" s="504" t="s">
        <v>510</v>
      </c>
      <c r="P438" s="503" t="s">
        <v>510</v>
      </c>
      <c r="Q438" s="504" t="s">
        <v>510</v>
      </c>
      <c r="R438" s="503" t="s">
        <v>510</v>
      </c>
      <c r="S438" s="504" t="s">
        <v>510</v>
      </c>
      <c r="T438" s="216"/>
      <c r="U438" s="141"/>
      <c r="Z438" s="994" t="s">
        <v>582</v>
      </c>
      <c r="AA438" s="1074">
        <f>IF(AA437&gt;=$L$20,$L$20,AA437)</f>
        <v>0</v>
      </c>
    </row>
    <row r="439" spans="2:31" ht="38.25" customHeight="1" x14ac:dyDescent="0.2">
      <c r="B439" s="792" t="s">
        <v>464</v>
      </c>
      <c r="C439" s="1543" t="s">
        <v>351</v>
      </c>
      <c r="D439" s="1543"/>
      <c r="E439" s="587" t="s">
        <v>481</v>
      </c>
      <c r="F439" s="587" t="s">
        <v>482</v>
      </c>
      <c r="G439" s="1522" t="s">
        <v>519</v>
      </c>
      <c r="H439" s="1523"/>
      <c r="I439" s="1522" t="s">
        <v>520</v>
      </c>
      <c r="J439" s="1523" t="s">
        <v>520</v>
      </c>
      <c r="K439" s="833" t="s">
        <v>387</v>
      </c>
      <c r="L439" s="831" t="s">
        <v>483</v>
      </c>
      <c r="M439" s="831" t="s">
        <v>388</v>
      </c>
      <c r="N439" s="1543" t="s">
        <v>389</v>
      </c>
      <c r="O439" s="1543"/>
      <c r="P439" s="1543" t="s">
        <v>390</v>
      </c>
      <c r="Q439" s="1543"/>
      <c r="R439" s="1543" t="s">
        <v>578</v>
      </c>
      <c r="S439" s="1543"/>
      <c r="T439" s="286"/>
      <c r="U439" s="140"/>
    </row>
    <row r="440" spans="2:31" x14ac:dyDescent="0.2">
      <c r="B440" s="666"/>
      <c r="C440" s="1547" t="s">
        <v>414</v>
      </c>
      <c r="D440" s="1547"/>
      <c r="E440" s="808" t="s">
        <v>484</v>
      </c>
      <c r="F440" s="808" t="str">
        <f>IF(L56="Fixed Lump Sum","Y","N")</f>
        <v>N</v>
      </c>
      <c r="G440" s="1665"/>
      <c r="H440" s="1667"/>
      <c r="I440" s="1665"/>
      <c r="J440" s="1666"/>
      <c r="K440" s="588">
        <f>IF(F440="N",IF(NOT(G440=0),$J$67,0),0)</f>
        <v>0</v>
      </c>
      <c r="L440" s="588">
        <f>IF(F440="Y",$J$67*D434,0)</f>
        <v>0</v>
      </c>
      <c r="M440" s="588">
        <f>ROUND(IF(F440="Y",L440,IF(G453="yes",G460,K440*D431+G460+I460)),2)</f>
        <v>0</v>
      </c>
      <c r="N440" s="1661" t="s">
        <v>510</v>
      </c>
      <c r="O440" s="1662"/>
      <c r="P440" s="1661" t="s">
        <v>510</v>
      </c>
      <c r="Q440" s="1662"/>
      <c r="R440" s="1661" t="s">
        <v>510</v>
      </c>
      <c r="S440" s="1662"/>
      <c r="T440" s="216"/>
      <c r="U440" s="141"/>
      <c r="AD440" s="1109" t="s">
        <v>617</v>
      </c>
      <c r="AE440" s="1109" t="s">
        <v>718</v>
      </c>
    </row>
    <row r="441" spans="2:31" hidden="1" outlineLevel="1" x14ac:dyDescent="0.2">
      <c r="B441" s="141"/>
      <c r="C441" s="803"/>
      <c r="D441" s="141"/>
      <c r="E441" s="141"/>
      <c r="F441" s="141"/>
      <c r="G441" s="141">
        <f>G447</f>
        <v>31</v>
      </c>
      <c r="H441" s="141"/>
      <c r="I441" s="141">
        <f>I447</f>
        <v>31</v>
      </c>
      <c r="J441" s="141"/>
      <c r="K441" s="803" t="s">
        <v>391</v>
      </c>
      <c r="L441" s="216"/>
      <c r="M441" s="216"/>
      <c r="N441" s="216"/>
      <c r="O441" s="216"/>
      <c r="P441" s="216"/>
      <c r="Q441" s="216"/>
      <c r="R441" s="219"/>
      <c r="S441" s="508"/>
      <c r="T441" s="216"/>
      <c r="U441" s="141"/>
      <c r="AD441" s="994">
        <f>IF(AND(G440&gt;0,I440&gt;0,I440&gt;$AA438),1,0)</f>
        <v>0</v>
      </c>
      <c r="AE441" s="994" t="s">
        <v>619</v>
      </c>
    </row>
    <row r="442" spans="2:31" hidden="1" outlineLevel="1" x14ac:dyDescent="0.2">
      <c r="B442" s="141"/>
      <c r="C442" s="803"/>
      <c r="D442" s="141"/>
      <c r="E442" s="141"/>
      <c r="F442" s="141"/>
      <c r="G442" s="141">
        <v>1</v>
      </c>
      <c r="H442" s="141"/>
      <c r="I442" s="141">
        <v>1</v>
      </c>
      <c r="J442" s="141"/>
      <c r="K442" s="803" t="s">
        <v>392</v>
      </c>
      <c r="L442" s="216"/>
      <c r="M442" s="216"/>
      <c r="N442" s="216"/>
      <c r="O442" s="216"/>
      <c r="P442" s="216"/>
      <c r="Q442" s="216"/>
      <c r="R442" s="219"/>
      <c r="S442" s="508"/>
      <c r="T442" s="216"/>
      <c r="U442" s="141"/>
    </row>
    <row r="443" spans="2:31" hidden="1" outlineLevel="1" x14ac:dyDescent="0.2">
      <c r="B443" s="141"/>
      <c r="C443" s="803"/>
      <c r="D443" s="141"/>
      <c r="E443" s="141"/>
      <c r="F443" s="141"/>
      <c r="G443" s="141">
        <f>DAY(G440)</f>
        <v>0</v>
      </c>
      <c r="H443" s="141"/>
      <c r="I443" s="141">
        <f>DAY(I440)</f>
        <v>0</v>
      </c>
      <c r="J443" s="141"/>
      <c r="K443" s="803" t="s">
        <v>393</v>
      </c>
      <c r="L443" s="216"/>
      <c r="M443" s="216"/>
      <c r="N443" s="216"/>
      <c r="O443" s="216"/>
      <c r="P443" s="216"/>
      <c r="Q443" s="216"/>
      <c r="R443" s="219"/>
      <c r="S443" s="508"/>
      <c r="T443" s="216"/>
      <c r="U443" s="141"/>
      <c r="AD443" s="1109" t="s">
        <v>617</v>
      </c>
      <c r="AE443" s="1109" t="s">
        <v>719</v>
      </c>
    </row>
    <row r="444" spans="2:31" hidden="1" outlineLevel="1" x14ac:dyDescent="0.2">
      <c r="B444" s="141"/>
      <c r="C444" s="803"/>
      <c r="D444" s="141"/>
      <c r="E444" s="141"/>
      <c r="F444" s="141"/>
      <c r="G444" s="516" t="str">
        <f>IF(G443=G442,"No","Yes")</f>
        <v>Yes</v>
      </c>
      <c r="H444" s="141"/>
      <c r="I444" s="516" t="str">
        <f>IF(I443=I441,"No","Yes")</f>
        <v>Yes</v>
      </c>
      <c r="J444" s="141"/>
      <c r="K444" s="803" t="s">
        <v>394</v>
      </c>
      <c r="L444" s="216"/>
      <c r="M444" s="216"/>
      <c r="N444" s="517"/>
      <c r="O444" s="517"/>
      <c r="P444" s="517"/>
      <c r="Q444" s="517"/>
      <c r="R444" s="219"/>
      <c r="S444" s="219"/>
      <c r="T444" s="216"/>
      <c r="U444" s="216"/>
      <c r="AD444" s="994">
        <f>IF(OR(G440&lt;$L$18,G440&gt;$L$20),1,0)</f>
        <v>0</v>
      </c>
      <c r="AE444" s="994" t="s">
        <v>618</v>
      </c>
    </row>
    <row r="445" spans="2:31" hidden="1" outlineLevel="1" x14ac:dyDescent="0.2">
      <c r="B445" s="141"/>
      <c r="C445" s="803"/>
      <c r="D445" s="141"/>
      <c r="E445" s="141"/>
      <c r="F445" s="141"/>
      <c r="G445" s="219"/>
      <c r="H445" s="141"/>
      <c r="I445" s="219"/>
      <c r="J445" s="141"/>
      <c r="K445" s="803"/>
      <c r="L445" s="216"/>
      <c r="M445" s="216"/>
      <c r="Q445" s="52"/>
      <c r="R445" s="219"/>
      <c r="S445" s="219"/>
      <c r="T445" s="216"/>
      <c r="U445" s="216"/>
      <c r="AD445" s="994">
        <f>IF(OR(I440&lt;$L$18,I440&gt;$L$20),1,0)</f>
        <v>0</v>
      </c>
      <c r="AE445" s="994" t="s">
        <v>705</v>
      </c>
    </row>
    <row r="446" spans="2:31" hidden="1" outlineLevel="1" x14ac:dyDescent="0.2">
      <c r="B446" s="141"/>
      <c r="C446" s="803"/>
      <c r="D446" s="141"/>
      <c r="E446" s="141"/>
      <c r="F446" s="141"/>
      <c r="G446" s="518">
        <f>EOMONTH(G440,0)</f>
        <v>31</v>
      </c>
      <c r="H446" s="141"/>
      <c r="I446" s="518">
        <f>EOMONTH(I440,0)</f>
        <v>31</v>
      </c>
      <c r="J446" s="141"/>
      <c r="K446" s="803" t="s">
        <v>395</v>
      </c>
      <c r="L446" s="216"/>
      <c r="M446" s="216"/>
      <c r="N446" s="519"/>
      <c r="O446" s="519"/>
      <c r="P446" s="519"/>
      <c r="Q446" s="519"/>
      <c r="R446" s="219"/>
      <c r="S446" s="219"/>
      <c r="T446" s="216"/>
      <c r="U446" s="216"/>
      <c r="AD446" s="994"/>
      <c r="AE446" s="994"/>
    </row>
    <row r="447" spans="2:31" ht="13.5" hidden="1" outlineLevel="1" thickBot="1" x14ac:dyDescent="0.25">
      <c r="B447" s="141"/>
      <c r="C447" s="803"/>
      <c r="D447" s="141"/>
      <c r="E447" s="141"/>
      <c r="F447" s="141"/>
      <c r="G447" s="141">
        <f>DAY(G446)</f>
        <v>31</v>
      </c>
      <c r="H447" s="141"/>
      <c r="I447" s="141">
        <f>DAY(I446)</f>
        <v>31</v>
      </c>
      <c r="J447" s="141"/>
      <c r="K447" s="803" t="s">
        <v>396</v>
      </c>
      <c r="L447" s="216"/>
      <c r="M447" s="216"/>
      <c r="N447" s="216"/>
      <c r="O447" s="216"/>
      <c r="P447" s="216"/>
      <c r="Q447" s="216"/>
      <c r="R447" s="219"/>
      <c r="S447" s="219"/>
      <c r="T447" s="216"/>
      <c r="U447" s="216"/>
      <c r="AD447" s="1112">
        <f>IF(AND(G440&gt;0,I440&gt;0),SUM(AD444:AD446),0)</f>
        <v>0</v>
      </c>
      <c r="AE447" s="994" t="s">
        <v>620</v>
      </c>
    </row>
    <row r="448" spans="2:31" hidden="1" outlineLevel="1" x14ac:dyDescent="0.2">
      <c r="B448" s="141"/>
      <c r="C448" s="803"/>
      <c r="D448" s="141"/>
      <c r="E448" s="141"/>
      <c r="F448" s="141"/>
      <c r="G448" s="520">
        <f>G446-G440+1</f>
        <v>32</v>
      </c>
      <c r="H448" s="141"/>
      <c r="I448" s="520">
        <f>I446-I440</f>
        <v>31</v>
      </c>
      <c r="J448" s="141"/>
      <c r="K448" s="803" t="s">
        <v>628</v>
      </c>
      <c r="L448" s="216"/>
      <c r="M448" s="216"/>
      <c r="N448" s="219"/>
      <c r="O448" s="219"/>
      <c r="P448" s="219"/>
      <c r="Q448" s="219"/>
      <c r="R448" s="219"/>
      <c r="S448" s="219"/>
      <c r="T448" s="216"/>
      <c r="U448" s="216"/>
    </row>
    <row r="449" spans="2:21" hidden="1" outlineLevel="1" x14ac:dyDescent="0.2">
      <c r="B449" s="141"/>
      <c r="C449" s="803"/>
      <c r="D449" s="141"/>
      <c r="E449" s="141"/>
      <c r="F449" s="141"/>
      <c r="G449" s="141">
        <f>G447-G448</f>
        <v>-1</v>
      </c>
      <c r="H449" s="141"/>
      <c r="I449" s="141">
        <f>I447-I448</f>
        <v>0</v>
      </c>
      <c r="J449" s="141"/>
      <c r="K449" s="803" t="s">
        <v>397</v>
      </c>
      <c r="L449" s="216"/>
      <c r="M449" s="216"/>
      <c r="N449" s="219"/>
      <c r="O449" s="219"/>
      <c r="P449" s="219"/>
      <c r="Q449" s="219"/>
      <c r="R449" s="219"/>
      <c r="S449" s="219"/>
      <c r="T449" s="216"/>
      <c r="U449" s="216"/>
    </row>
    <row r="450" spans="2:21" hidden="1" outlineLevel="1" x14ac:dyDescent="0.2">
      <c r="B450" s="141"/>
      <c r="C450" s="803"/>
      <c r="D450" s="141"/>
      <c r="E450" s="141"/>
      <c r="F450" s="141"/>
      <c r="G450" s="718">
        <f>IF(G444="Yes",ROUND(G448/G447,6),0)</f>
        <v>1.0322579999999999</v>
      </c>
      <c r="H450" s="719"/>
      <c r="I450" s="718">
        <f>IF(I444="Yes",ROUND(I449/I447,6),0)</f>
        <v>0</v>
      </c>
      <c r="J450" s="589"/>
      <c r="K450" s="803" t="s">
        <v>398</v>
      </c>
      <c r="L450" s="216"/>
      <c r="M450" s="216"/>
      <c r="N450" s="549"/>
      <c r="O450" s="549"/>
      <c r="P450" s="549"/>
      <c r="Q450" s="549"/>
      <c r="R450" s="219"/>
      <c r="S450" s="219"/>
      <c r="T450" s="216"/>
      <c r="U450" s="216"/>
    </row>
    <row r="451" spans="2:21" hidden="1" outlineLevel="1" x14ac:dyDescent="0.2">
      <c r="B451" s="141"/>
      <c r="C451" s="803"/>
      <c r="D451" s="141"/>
      <c r="E451" s="141"/>
      <c r="F451" s="141"/>
      <c r="G451" s="592">
        <f>IF(G453="Yes",0,ROUND(K440*G450,2))</f>
        <v>0</v>
      </c>
      <c r="H451" s="141"/>
      <c r="I451" s="592">
        <f>IF(G453="Yes",0,ROUND(K440*I450,2))</f>
        <v>0</v>
      </c>
      <c r="J451" s="141"/>
      <c r="K451" s="803" t="s">
        <v>409</v>
      </c>
      <c r="L451" s="216"/>
      <c r="M451" s="216"/>
      <c r="N451" s="510"/>
      <c r="O451" s="510"/>
      <c r="P451" s="510"/>
      <c r="Q451" s="510"/>
      <c r="R451" s="219"/>
      <c r="S451" s="219"/>
      <c r="T451" s="216"/>
      <c r="U451" s="216"/>
    </row>
    <row r="452" spans="2:21" hidden="1" outlineLevel="1" x14ac:dyDescent="0.2">
      <c r="B452" s="141"/>
      <c r="C452" s="803"/>
      <c r="D452" s="141"/>
      <c r="E452" s="141"/>
      <c r="F452" s="141"/>
      <c r="G452" s="141"/>
      <c r="H452" s="141"/>
      <c r="I452" s="141"/>
      <c r="J452" s="141"/>
      <c r="K452" s="803"/>
      <c r="L452" s="216"/>
      <c r="M452" s="216"/>
      <c r="N452" s="219"/>
      <c r="O452" s="219"/>
      <c r="P452" s="219"/>
      <c r="Q452" s="219"/>
      <c r="R452" s="219"/>
      <c r="S452" s="219"/>
      <c r="T452" s="216"/>
      <c r="U452" s="216"/>
    </row>
    <row r="453" spans="2:21" hidden="1" outlineLevel="1" x14ac:dyDescent="0.2">
      <c r="B453" s="141"/>
      <c r="C453" s="803"/>
      <c r="D453" s="141"/>
      <c r="E453" s="141"/>
      <c r="F453" s="141"/>
      <c r="G453" s="542" t="str">
        <f>IF(AND(YEAR(G440)=YEAR(I440),MONTH(G440)=MONTH(I440),G444="YES",I444="YES"),"YES","NO")</f>
        <v>YES</v>
      </c>
      <c r="H453" s="141"/>
      <c r="I453" s="141"/>
      <c r="J453" s="141"/>
      <c r="K453" s="803" t="s">
        <v>410</v>
      </c>
      <c r="L453" s="216"/>
      <c r="M453" s="216"/>
      <c r="N453" s="544"/>
      <c r="O453" s="510"/>
      <c r="P453" s="544"/>
      <c r="Q453" s="219"/>
      <c r="R453" s="219"/>
      <c r="S453" s="219"/>
      <c r="T453" s="216"/>
      <c r="U453" s="216"/>
    </row>
    <row r="454" spans="2:21" hidden="1" outlineLevel="1" x14ac:dyDescent="0.2">
      <c r="B454" s="141"/>
      <c r="C454" s="803"/>
      <c r="D454" s="141"/>
      <c r="E454" s="141"/>
      <c r="F454" s="141"/>
      <c r="G454" s="141">
        <f>IF(G453="yes",I440-G440+1,0)</f>
        <v>1</v>
      </c>
      <c r="H454" s="141"/>
      <c r="I454" s="141"/>
      <c r="J454" s="141"/>
      <c r="K454" s="803" t="s">
        <v>411</v>
      </c>
      <c r="L454" s="216"/>
      <c r="M454" s="216"/>
      <c r="N454" s="219"/>
      <c r="O454" s="510"/>
      <c r="P454" s="219"/>
      <c r="Q454" s="219"/>
      <c r="R454" s="219"/>
      <c r="S454" s="219"/>
      <c r="T454" s="216"/>
      <c r="U454" s="216"/>
    </row>
    <row r="455" spans="2:21" hidden="1" outlineLevel="1" x14ac:dyDescent="0.2">
      <c r="B455" s="141"/>
      <c r="C455" s="803"/>
      <c r="D455" s="141"/>
      <c r="E455" s="141"/>
      <c r="F455" s="141"/>
      <c r="G455" s="717">
        <f>ROUND(G454/G447,6)</f>
        <v>3.2258000000000002E-2</v>
      </c>
      <c r="H455" s="141"/>
      <c r="I455" s="141"/>
      <c r="J455" s="141"/>
      <c r="K455" s="803" t="s">
        <v>398</v>
      </c>
      <c r="L455" s="216"/>
      <c r="M455" s="216"/>
      <c r="N455" s="549"/>
      <c r="O455" s="510"/>
      <c r="P455" s="549"/>
      <c r="Q455" s="219"/>
      <c r="R455" s="219"/>
      <c r="S455" s="219"/>
      <c r="T455" s="216"/>
      <c r="U455" s="216"/>
    </row>
    <row r="456" spans="2:21" hidden="1" outlineLevel="1" x14ac:dyDescent="0.2">
      <c r="B456" s="141"/>
      <c r="C456" s="803"/>
      <c r="D456" s="141"/>
      <c r="E456" s="141"/>
      <c r="F456" s="141"/>
      <c r="G456" s="540">
        <f>ROUND(IF(NOT(G440=0),G455*K440,0),2)</f>
        <v>0</v>
      </c>
      <c r="H456" s="141"/>
      <c r="I456" s="141"/>
      <c r="J456" s="141"/>
      <c r="K456" s="803" t="s">
        <v>413</v>
      </c>
      <c r="L456" s="216"/>
      <c r="M456" s="216"/>
      <c r="N456" s="510"/>
      <c r="O456" s="510"/>
      <c r="P456" s="510"/>
      <c r="Q456" s="219"/>
      <c r="R456" s="219"/>
      <c r="S456" s="219"/>
      <c r="T456" s="216"/>
      <c r="U456" s="216"/>
    </row>
    <row r="457" spans="2:21" hidden="1" outlineLevel="1" x14ac:dyDescent="0.2">
      <c r="B457" s="141"/>
      <c r="C457" s="141"/>
      <c r="D457" s="141"/>
      <c r="E457" s="141"/>
      <c r="F457" s="141"/>
      <c r="G457" s="141"/>
      <c r="H457" s="141"/>
      <c r="I457" s="141"/>
      <c r="J457" s="141"/>
      <c r="K457" s="141"/>
      <c r="L457" s="216"/>
      <c r="M457" s="216"/>
      <c r="N457" s="219"/>
      <c r="O457" s="219"/>
      <c r="P457" s="219"/>
      <c r="Q457" s="219"/>
      <c r="R457" s="219"/>
      <c r="S457" s="219"/>
      <c r="T457" s="216"/>
      <c r="U457" s="216"/>
    </row>
    <row r="458" spans="2:21" hidden="1" outlineLevel="1" x14ac:dyDescent="0.2">
      <c r="B458" s="141"/>
      <c r="C458" s="141"/>
      <c r="D458" s="141"/>
      <c r="E458" s="141"/>
      <c r="F458" s="141"/>
      <c r="G458" s="716">
        <f>IF(G453="No",G450,G455)</f>
        <v>3.2258000000000002E-2</v>
      </c>
      <c r="H458" s="721"/>
      <c r="I458" s="716">
        <f>IF(G453="No",I450,0)</f>
        <v>0</v>
      </c>
      <c r="J458" s="141"/>
      <c r="K458" s="141" t="s">
        <v>492</v>
      </c>
      <c r="L458" s="216"/>
      <c r="M458" s="216"/>
      <c r="N458" s="549"/>
      <c r="O458" s="549"/>
      <c r="P458" s="549"/>
      <c r="Q458" s="549"/>
      <c r="R458" s="219"/>
      <c r="S458" s="219"/>
      <c r="T458" s="216"/>
      <c r="U458" s="216"/>
    </row>
    <row r="459" spans="2:21" hidden="1" outlineLevel="1" x14ac:dyDescent="0.2">
      <c r="B459" s="141"/>
      <c r="C459" s="141"/>
      <c r="D459" s="141"/>
      <c r="E459" s="141"/>
      <c r="F459" s="141"/>
      <c r="G459" s="603"/>
      <c r="H459" s="520"/>
      <c r="I459" s="603"/>
      <c r="J459" s="520"/>
      <c r="K459" s="141"/>
      <c r="L459" s="216"/>
      <c r="M459" s="516"/>
      <c r="N459" s="551"/>
      <c r="O459" s="551"/>
      <c r="P459" s="551"/>
      <c r="Q459" s="551"/>
      <c r="R459" s="219"/>
      <c r="S459" s="219"/>
      <c r="T459" s="216"/>
      <c r="U459" s="216"/>
    </row>
    <row r="460" spans="2:21" ht="13.5" collapsed="1" thickBot="1" x14ac:dyDescent="0.25">
      <c r="B460" s="141"/>
      <c r="C460" s="141"/>
      <c r="D460" s="141"/>
      <c r="E460" s="141"/>
      <c r="F460" s="141"/>
      <c r="G460" s="1663">
        <f>G451+G456</f>
        <v>0</v>
      </c>
      <c r="H460" s="1663"/>
      <c r="I460" s="1663">
        <f>I451+I456</f>
        <v>0</v>
      </c>
      <c r="J460" s="1663"/>
      <c r="K460" s="832" t="s">
        <v>399</v>
      </c>
      <c r="L460" s="216"/>
      <c r="M460" s="216"/>
      <c r="N460" s="202"/>
      <c r="O460" s="219"/>
      <c r="P460" s="219"/>
      <c r="Q460" s="202"/>
      <c r="R460" s="219"/>
      <c r="S460" s="219"/>
      <c r="T460" s="216"/>
      <c r="U460" s="216"/>
    </row>
    <row r="461" spans="2:21" ht="15.75" thickTop="1" x14ac:dyDescent="0.25">
      <c r="B461" s="141"/>
      <c r="C461" s="141"/>
      <c r="D461" s="141"/>
      <c r="E461" s="141"/>
      <c r="F461" s="141"/>
      <c r="G461" s="842" t="str">
        <f>IF($AD447&gt;0,"ERROR ALERT:  The date range in your service start/end dates is NOT consistent with the OTO start/end dates ('OTO Terms' above), please check your dates and re-enter.","")</f>
        <v/>
      </c>
      <c r="H461" s="801"/>
      <c r="I461" s="801"/>
      <c r="J461" s="801"/>
      <c r="K461" s="803"/>
      <c r="L461" s="216"/>
      <c r="M461" s="216"/>
      <c r="N461" s="202"/>
      <c r="O461" s="219"/>
      <c r="P461" s="219"/>
      <c r="Q461" s="202"/>
      <c r="R461" s="219"/>
      <c r="S461" s="219"/>
      <c r="T461" s="216"/>
      <c r="U461" s="216"/>
    </row>
    <row r="462" spans="2:21" ht="15" x14ac:dyDescent="0.25">
      <c r="B462" s="609" t="s">
        <v>679</v>
      </c>
      <c r="C462" s="141"/>
      <c r="D462" s="141"/>
      <c r="E462" s="141"/>
      <c r="F462" s="141"/>
      <c r="G462" s="141"/>
      <c r="H462" s="141"/>
      <c r="I462" s="141"/>
      <c r="J462" s="141"/>
      <c r="K462" s="141"/>
      <c r="L462" s="216"/>
      <c r="M462" s="478"/>
      <c r="N462" s="216"/>
      <c r="O462" s="216"/>
      <c r="P462" s="216"/>
      <c r="Q462" s="141"/>
      <c r="R462" s="216"/>
      <c r="S462" s="254"/>
      <c r="T462" s="216"/>
      <c r="U462" s="141"/>
    </row>
    <row r="463" spans="2:21" x14ac:dyDescent="0.2">
      <c r="B463" s="141"/>
      <c r="C463" s="141"/>
      <c r="D463" s="141"/>
      <c r="E463" s="141"/>
      <c r="F463" s="141"/>
      <c r="G463" s="141"/>
      <c r="H463" s="141"/>
      <c r="I463" s="141"/>
      <c r="J463" s="141"/>
      <c r="K463" s="141"/>
      <c r="L463" s="216"/>
      <c r="M463" s="478"/>
      <c r="N463" s="216"/>
      <c r="O463" s="216"/>
      <c r="P463" s="216"/>
      <c r="Q463" s="141"/>
      <c r="R463" s="1660" t="s">
        <v>547</v>
      </c>
      <c r="S463" s="1660"/>
      <c r="T463" s="216"/>
      <c r="U463" s="141"/>
    </row>
    <row r="464" spans="2:21" hidden="1" outlineLevel="1" x14ac:dyDescent="0.2">
      <c r="B464" s="141" t="s">
        <v>493</v>
      </c>
      <c r="C464" s="141"/>
      <c r="D464" s="597">
        <f>IF(NOT(G473=0),IF(G486="NO",(YEAR(I473)-YEAR(G473))*12+MONTH(I473)-MONTH(G473)+IF(G477="no",1,0)+IF(I477="yes",-1,0),0),0)</f>
        <v>0</v>
      </c>
      <c r="E464" s="141"/>
      <c r="F464" s="141"/>
      <c r="G464" s="141"/>
      <c r="H464" s="141"/>
      <c r="I464" s="141"/>
      <c r="J464" s="141"/>
      <c r="K464" s="141"/>
      <c r="L464" s="141"/>
      <c r="M464" s="499"/>
      <c r="N464" s="610"/>
      <c r="O464" s="254"/>
      <c r="P464" s="610"/>
      <c r="Q464" s="141"/>
      <c r="R464" s="219"/>
      <c r="S464" s="219"/>
      <c r="T464" s="219"/>
      <c r="U464" s="141"/>
    </row>
    <row r="465" spans="2:31" hidden="1" outlineLevel="1" x14ac:dyDescent="0.2">
      <c r="B465" s="141" t="s">
        <v>494</v>
      </c>
      <c r="C465" s="141"/>
      <c r="D465" s="598">
        <f>IF(NOT(G473=0),G491,0)</f>
        <v>0</v>
      </c>
      <c r="E465" s="141"/>
      <c r="F465" s="141"/>
      <c r="G465" s="141"/>
      <c r="H465" s="141"/>
      <c r="I465" s="141"/>
      <c r="J465" s="141"/>
      <c r="K465" s="141"/>
      <c r="L465" s="141"/>
      <c r="M465" s="499"/>
      <c r="N465" s="611"/>
      <c r="O465" s="219"/>
      <c r="P465" s="611"/>
      <c r="Q465" s="141"/>
      <c r="R465" s="219"/>
      <c r="S465" s="219"/>
      <c r="T465" s="219"/>
      <c r="U465" s="141"/>
    </row>
    <row r="466" spans="2:31" hidden="1" outlineLevel="1" x14ac:dyDescent="0.2">
      <c r="B466" s="141" t="s">
        <v>495</v>
      </c>
      <c r="C466" s="141"/>
      <c r="D466" s="599">
        <f>IF(NOT(G473=0),I491,0)</f>
        <v>0</v>
      </c>
      <c r="E466" s="141"/>
      <c r="F466" s="141"/>
      <c r="G466" s="141"/>
      <c r="H466" s="141"/>
      <c r="I466" s="141"/>
      <c r="J466" s="141"/>
      <c r="K466" s="141"/>
      <c r="L466" s="141"/>
      <c r="M466" s="499"/>
      <c r="N466" s="611"/>
      <c r="O466" s="219"/>
      <c r="P466" s="611"/>
      <c r="Q466" s="141"/>
      <c r="R466" s="219"/>
      <c r="S466" s="219"/>
      <c r="T466" s="219"/>
      <c r="U466" s="141"/>
    </row>
    <row r="467" spans="2:31" hidden="1" outlineLevel="1" x14ac:dyDescent="0.2">
      <c r="B467" s="219" t="s">
        <v>496</v>
      </c>
      <c r="C467" s="141"/>
      <c r="D467" s="597">
        <f>SUM(D464:D466)</f>
        <v>0</v>
      </c>
      <c r="E467" s="141"/>
      <c r="F467" s="141"/>
      <c r="G467" s="141"/>
      <c r="H467" s="141"/>
      <c r="I467" s="141"/>
      <c r="J467" s="141"/>
      <c r="K467" s="141"/>
      <c r="L467" s="141"/>
      <c r="M467" s="499"/>
      <c r="N467" s="610"/>
      <c r="O467" s="219"/>
      <c r="P467" s="610"/>
      <c r="Q467" s="141"/>
      <c r="R467" s="219"/>
      <c r="S467" s="219"/>
      <c r="T467" s="219"/>
      <c r="U467" s="141"/>
    </row>
    <row r="468" spans="2:31" hidden="1" outlineLevel="1" x14ac:dyDescent="0.2">
      <c r="B468" s="219"/>
      <c r="C468" s="216"/>
      <c r="D468" s="601"/>
      <c r="E468" s="216"/>
      <c r="F468" s="216"/>
      <c r="G468" s="216"/>
      <c r="H468" s="216"/>
      <c r="I468" s="216"/>
      <c r="J468" s="216"/>
      <c r="K468" s="216"/>
      <c r="L468" s="216"/>
      <c r="M468" s="499"/>
      <c r="N468" s="216"/>
      <c r="O468" s="216"/>
      <c r="P468" s="601"/>
      <c r="Q468" s="216"/>
      <c r="R468" s="219"/>
      <c r="S468" s="254"/>
      <c r="T468" s="219"/>
      <c r="U468" s="216"/>
    </row>
    <row r="469" spans="2:31" hidden="1" outlineLevel="1" x14ac:dyDescent="0.2">
      <c r="B469" s="216"/>
      <c r="C469" s="216"/>
      <c r="D469" s="216"/>
      <c r="E469" s="216"/>
      <c r="F469" s="141"/>
      <c r="G469" s="141"/>
      <c r="H469" s="141"/>
      <c r="I469" s="141"/>
      <c r="J469" s="141"/>
      <c r="K469" s="141"/>
      <c r="L469" s="141"/>
      <c r="M469" s="141"/>
      <c r="N469" s="141"/>
      <c r="O469" s="141"/>
      <c r="P469" s="141"/>
      <c r="Q469" s="141"/>
      <c r="R469" s="219"/>
      <c r="S469" s="254"/>
      <c r="T469" s="216"/>
      <c r="U469" s="141"/>
    </row>
    <row r="470" spans="2:31" collapsed="1" x14ac:dyDescent="0.2">
      <c r="B470" s="219"/>
      <c r="C470" s="216"/>
      <c r="D470" s="216"/>
      <c r="E470" s="612"/>
      <c r="F470" s="141"/>
      <c r="G470" s="1664"/>
      <c r="H470" s="1664"/>
      <c r="I470" s="141"/>
      <c r="J470" s="141"/>
      <c r="K470" s="141"/>
      <c r="L470" s="216"/>
      <c r="M470" s="216"/>
      <c r="N470" s="590" t="s">
        <v>545</v>
      </c>
      <c r="O470" s="591" t="s">
        <v>579</v>
      </c>
      <c r="P470" s="590" t="s">
        <v>545</v>
      </c>
      <c r="Q470" s="591" t="s">
        <v>579</v>
      </c>
      <c r="R470" s="590" t="s">
        <v>545</v>
      </c>
      <c r="S470" s="591" t="s">
        <v>579</v>
      </c>
      <c r="T470" s="216"/>
      <c r="U470" s="141"/>
      <c r="Z470" s="994" t="s">
        <v>581</v>
      </c>
      <c r="AA470" s="1074">
        <f>IF(G473&gt;0,IF(MONTH(G473)&gt;3,DATE(YEAR(G473)+1,3,31),DATE(YEAR(G473),3,31)),0)</f>
        <v>0</v>
      </c>
    </row>
    <row r="471" spans="2:31" x14ac:dyDescent="0.2">
      <c r="B471" s="141"/>
      <c r="C471" s="141"/>
      <c r="D471" s="141"/>
      <c r="E471" s="141"/>
      <c r="F471" s="141"/>
      <c r="G471" s="494" t="str">
        <f>IF(AD474&gt;0,"WARNING: Generally, you may not cross a CLBC March 31 fiscal year end, please re-check your dates.","")</f>
        <v/>
      </c>
      <c r="H471" s="141"/>
      <c r="I471" s="141"/>
      <c r="J471" s="141"/>
      <c r="K471" s="141"/>
      <c r="L471" s="216"/>
      <c r="M471" s="216"/>
      <c r="N471" s="503" t="s">
        <v>510</v>
      </c>
      <c r="O471" s="504" t="s">
        <v>510</v>
      </c>
      <c r="P471" s="503" t="s">
        <v>510</v>
      </c>
      <c r="Q471" s="504" t="s">
        <v>510</v>
      </c>
      <c r="R471" s="503" t="s">
        <v>510</v>
      </c>
      <c r="S471" s="504" t="s">
        <v>510</v>
      </c>
      <c r="T471" s="216"/>
      <c r="U471" s="141"/>
      <c r="Z471" s="994" t="s">
        <v>582</v>
      </c>
      <c r="AA471" s="1074">
        <f>IF(AA470&gt;=$L$20,$L$20,AA470)</f>
        <v>0</v>
      </c>
    </row>
    <row r="472" spans="2:31" ht="38.25" customHeight="1" x14ac:dyDescent="0.2">
      <c r="B472" s="792" t="s">
        <v>464</v>
      </c>
      <c r="C472" s="1543" t="s">
        <v>351</v>
      </c>
      <c r="D472" s="1543"/>
      <c r="E472" s="587" t="s">
        <v>481</v>
      </c>
      <c r="F472" s="587" t="s">
        <v>482</v>
      </c>
      <c r="G472" s="1522" t="s">
        <v>519</v>
      </c>
      <c r="H472" s="1523"/>
      <c r="I472" s="1522" t="s">
        <v>520</v>
      </c>
      <c r="J472" s="1523" t="s">
        <v>520</v>
      </c>
      <c r="K472" s="833" t="s">
        <v>387</v>
      </c>
      <c r="L472" s="831" t="s">
        <v>483</v>
      </c>
      <c r="M472" s="831" t="s">
        <v>388</v>
      </c>
      <c r="N472" s="1543" t="s">
        <v>389</v>
      </c>
      <c r="O472" s="1543"/>
      <c r="P472" s="1543" t="s">
        <v>390</v>
      </c>
      <c r="Q472" s="1543"/>
      <c r="R472" s="1543" t="s">
        <v>578</v>
      </c>
      <c r="S472" s="1543"/>
      <c r="T472" s="286"/>
      <c r="U472" s="140"/>
    </row>
    <row r="473" spans="2:31" x14ac:dyDescent="0.2">
      <c r="B473" s="666"/>
      <c r="C473" s="1547" t="s">
        <v>414</v>
      </c>
      <c r="D473" s="1547"/>
      <c r="E473" s="808" t="s">
        <v>484</v>
      </c>
      <c r="F473" s="808" t="str">
        <f>IF(L90="Fixed Lump Sum","Y","N")</f>
        <v>N</v>
      </c>
      <c r="G473" s="1665"/>
      <c r="H473" s="1667"/>
      <c r="I473" s="1665"/>
      <c r="J473" s="1666"/>
      <c r="K473" s="588">
        <f>IF(F473="N",IF(NOT(G473=0),$J$67,0),0)</f>
        <v>0</v>
      </c>
      <c r="L473" s="588">
        <f>IF(F473="Y",$J$67*D467,0)</f>
        <v>0</v>
      </c>
      <c r="M473" s="588">
        <f>ROUND(IF(F473="Y",L473,IF(G486="yes",G493,K473*D464+G493+I493)),2)</f>
        <v>0</v>
      </c>
      <c r="N473" s="1661" t="s">
        <v>510</v>
      </c>
      <c r="O473" s="1662"/>
      <c r="P473" s="1661" t="s">
        <v>510</v>
      </c>
      <c r="Q473" s="1662"/>
      <c r="R473" s="1661" t="s">
        <v>510</v>
      </c>
      <c r="S473" s="1662"/>
      <c r="T473" s="216"/>
      <c r="U473" s="141"/>
      <c r="AD473" s="1109" t="s">
        <v>617</v>
      </c>
      <c r="AE473" s="1109" t="s">
        <v>718</v>
      </c>
    </row>
    <row r="474" spans="2:31" hidden="1" outlineLevel="1" x14ac:dyDescent="0.2">
      <c r="B474" s="141"/>
      <c r="C474" s="803"/>
      <c r="D474" s="141"/>
      <c r="E474" s="141"/>
      <c r="F474" s="141"/>
      <c r="G474" s="141">
        <f>G480</f>
        <v>31</v>
      </c>
      <c r="H474" s="141"/>
      <c r="I474" s="141">
        <f>I480</f>
        <v>31</v>
      </c>
      <c r="J474" s="141"/>
      <c r="K474" s="803" t="s">
        <v>391</v>
      </c>
      <c r="L474" s="216"/>
      <c r="M474" s="216"/>
      <c r="N474" s="216"/>
      <c r="O474" s="216"/>
      <c r="P474" s="216"/>
      <c r="Q474" s="216"/>
      <c r="R474" s="219"/>
      <c r="S474" s="508"/>
      <c r="T474" s="216"/>
      <c r="U474" s="141"/>
      <c r="AD474" s="994">
        <f>IF(AND(G473&gt;0,I473&gt;0,I473&gt;$AA471),1,0)</f>
        <v>0</v>
      </c>
      <c r="AE474" s="994" t="s">
        <v>619</v>
      </c>
    </row>
    <row r="475" spans="2:31" hidden="1" outlineLevel="1" x14ac:dyDescent="0.2">
      <c r="B475" s="141"/>
      <c r="C475" s="803"/>
      <c r="D475" s="141"/>
      <c r="E475" s="141"/>
      <c r="F475" s="141"/>
      <c r="G475" s="141">
        <v>1</v>
      </c>
      <c r="H475" s="141"/>
      <c r="I475" s="141">
        <v>1</v>
      </c>
      <c r="J475" s="141"/>
      <c r="K475" s="803" t="s">
        <v>392</v>
      </c>
      <c r="L475" s="216"/>
      <c r="M475" s="216"/>
      <c r="N475" s="216"/>
      <c r="O475" s="216"/>
      <c r="P475" s="216"/>
      <c r="Q475" s="216"/>
      <c r="R475" s="219"/>
      <c r="S475" s="508"/>
      <c r="T475" s="216"/>
      <c r="U475" s="141"/>
    </row>
    <row r="476" spans="2:31" hidden="1" outlineLevel="1" x14ac:dyDescent="0.2">
      <c r="B476" s="141"/>
      <c r="C476" s="803"/>
      <c r="D476" s="141"/>
      <c r="E476" s="141"/>
      <c r="F476" s="141"/>
      <c r="G476" s="141">
        <f>DAY(G473)</f>
        <v>0</v>
      </c>
      <c r="H476" s="141"/>
      <c r="I476" s="141">
        <f>DAY(I473)</f>
        <v>0</v>
      </c>
      <c r="J476" s="141"/>
      <c r="K476" s="803" t="s">
        <v>393</v>
      </c>
      <c r="L476" s="216"/>
      <c r="M476" s="216"/>
      <c r="N476" s="216"/>
      <c r="O476" s="216"/>
      <c r="P476" s="216"/>
      <c r="Q476" s="216"/>
      <c r="R476" s="219"/>
      <c r="S476" s="508"/>
      <c r="T476" s="216"/>
      <c r="U476" s="141"/>
      <c r="AD476" s="1109" t="s">
        <v>617</v>
      </c>
      <c r="AE476" s="1109" t="s">
        <v>719</v>
      </c>
    </row>
    <row r="477" spans="2:31" hidden="1" outlineLevel="1" x14ac:dyDescent="0.2">
      <c r="B477" s="141"/>
      <c r="C477" s="803"/>
      <c r="D477" s="141"/>
      <c r="E477" s="141"/>
      <c r="F477" s="141"/>
      <c r="G477" s="516" t="str">
        <f>IF(G476=G475,"No","Yes")</f>
        <v>Yes</v>
      </c>
      <c r="H477" s="141"/>
      <c r="I477" s="516" t="str">
        <f>IF(I476=I474,"No","Yes")</f>
        <v>Yes</v>
      </c>
      <c r="J477" s="141"/>
      <c r="K477" s="803" t="s">
        <v>394</v>
      </c>
      <c r="L477" s="216"/>
      <c r="M477" s="216"/>
      <c r="N477" s="517"/>
      <c r="O477" s="517"/>
      <c r="P477" s="517"/>
      <c r="Q477" s="517"/>
      <c r="R477" s="219"/>
      <c r="S477" s="219"/>
      <c r="T477" s="216"/>
      <c r="U477" s="216"/>
      <c r="AD477" s="994">
        <f>IF(OR(G473&lt;$L$18,G473&gt;$L$20),1,0)</f>
        <v>0</v>
      </c>
      <c r="AE477" s="994" t="s">
        <v>618</v>
      </c>
    </row>
    <row r="478" spans="2:31" hidden="1" outlineLevel="1" x14ac:dyDescent="0.2">
      <c r="B478" s="141"/>
      <c r="C478" s="803"/>
      <c r="D478" s="141"/>
      <c r="E478" s="141"/>
      <c r="F478" s="141"/>
      <c r="G478" s="219"/>
      <c r="H478" s="141"/>
      <c r="I478" s="219"/>
      <c r="J478" s="141"/>
      <c r="K478" s="803"/>
      <c r="L478" s="216"/>
      <c r="M478" s="216"/>
      <c r="Q478" s="52"/>
      <c r="R478" s="219"/>
      <c r="S478" s="219"/>
      <c r="T478" s="216"/>
      <c r="U478" s="216"/>
      <c r="AD478" s="994">
        <f>IF(OR(I473&lt;$L$18,I473&gt;$L$20),1,0)</f>
        <v>0</v>
      </c>
      <c r="AE478" s="994" t="s">
        <v>705</v>
      </c>
    </row>
    <row r="479" spans="2:31" hidden="1" outlineLevel="1" x14ac:dyDescent="0.2">
      <c r="B479" s="141"/>
      <c r="C479" s="803"/>
      <c r="D479" s="141"/>
      <c r="E479" s="141"/>
      <c r="F479" s="141"/>
      <c r="G479" s="518">
        <f>EOMONTH(G473,0)</f>
        <v>31</v>
      </c>
      <c r="H479" s="141"/>
      <c r="I479" s="518">
        <f>EOMONTH(I473,0)</f>
        <v>31</v>
      </c>
      <c r="J479" s="141"/>
      <c r="K479" s="803" t="s">
        <v>395</v>
      </c>
      <c r="L479" s="216"/>
      <c r="M479" s="216"/>
      <c r="N479" s="519"/>
      <c r="O479" s="519"/>
      <c r="P479" s="519"/>
      <c r="Q479" s="519"/>
      <c r="R479" s="219"/>
      <c r="S479" s="219"/>
      <c r="T479" s="216"/>
      <c r="U479" s="216"/>
      <c r="AD479" s="994"/>
      <c r="AE479" s="994"/>
    </row>
    <row r="480" spans="2:31" ht="13.5" hidden="1" outlineLevel="1" thickBot="1" x14ac:dyDescent="0.25">
      <c r="B480" s="141"/>
      <c r="C480" s="803"/>
      <c r="D480" s="141"/>
      <c r="E480" s="141"/>
      <c r="F480" s="141"/>
      <c r="G480" s="141">
        <f>DAY(G479)</f>
        <v>31</v>
      </c>
      <c r="H480" s="141"/>
      <c r="I480" s="141">
        <f>DAY(I479)</f>
        <v>31</v>
      </c>
      <c r="J480" s="141"/>
      <c r="K480" s="803" t="s">
        <v>396</v>
      </c>
      <c r="L480" s="216"/>
      <c r="M480" s="216"/>
      <c r="N480" s="216"/>
      <c r="O480" s="216"/>
      <c r="P480" s="216"/>
      <c r="Q480" s="216"/>
      <c r="R480" s="219"/>
      <c r="S480" s="219"/>
      <c r="T480" s="216"/>
      <c r="U480" s="216"/>
      <c r="AD480" s="1112">
        <f>IF(AND(G473&gt;0,I473&gt;0),SUM(AD477:AD479),0)</f>
        <v>0</v>
      </c>
      <c r="AE480" s="994" t="s">
        <v>620</v>
      </c>
    </row>
    <row r="481" spans="2:21" hidden="1" outlineLevel="1" x14ac:dyDescent="0.2">
      <c r="B481" s="141"/>
      <c r="C481" s="803"/>
      <c r="D481" s="141"/>
      <c r="E481" s="141"/>
      <c r="F481" s="141"/>
      <c r="G481" s="520">
        <f>G479-G473+1</f>
        <v>32</v>
      </c>
      <c r="H481" s="141"/>
      <c r="I481" s="520">
        <f>I479-I473</f>
        <v>31</v>
      </c>
      <c r="J481" s="141"/>
      <c r="K481" s="803" t="s">
        <v>628</v>
      </c>
      <c r="L481" s="216"/>
      <c r="M481" s="216"/>
      <c r="N481" s="219"/>
      <c r="O481" s="219"/>
      <c r="P481" s="219"/>
      <c r="Q481" s="219"/>
      <c r="R481" s="219"/>
      <c r="S481" s="219"/>
      <c r="T481" s="216"/>
      <c r="U481" s="216"/>
    </row>
    <row r="482" spans="2:21" hidden="1" outlineLevel="1" x14ac:dyDescent="0.2">
      <c r="B482" s="141"/>
      <c r="C482" s="803"/>
      <c r="D482" s="141"/>
      <c r="E482" s="141"/>
      <c r="F482" s="141"/>
      <c r="G482" s="141">
        <f>G480-G481</f>
        <v>-1</v>
      </c>
      <c r="H482" s="141"/>
      <c r="I482" s="141">
        <f>I480-I481</f>
        <v>0</v>
      </c>
      <c r="J482" s="141"/>
      <c r="K482" s="803" t="s">
        <v>397</v>
      </c>
      <c r="L482" s="216"/>
      <c r="M482" s="216"/>
      <c r="N482" s="219"/>
      <c r="O482" s="219"/>
      <c r="P482" s="219"/>
      <c r="Q482" s="219"/>
      <c r="R482" s="219"/>
      <c r="S482" s="219"/>
      <c r="T482" s="216"/>
      <c r="U482" s="216"/>
    </row>
    <row r="483" spans="2:21" hidden="1" outlineLevel="1" x14ac:dyDescent="0.2">
      <c r="B483" s="141"/>
      <c r="C483" s="803"/>
      <c r="D483" s="141"/>
      <c r="E483" s="141"/>
      <c r="F483" s="141"/>
      <c r="G483" s="718">
        <f>IF(G477="Yes",ROUND(G481/G480,6),0)</f>
        <v>1.0322579999999999</v>
      </c>
      <c r="H483" s="719"/>
      <c r="I483" s="718">
        <f>IF(I477="Yes",ROUND(I482/I480,6),0)</f>
        <v>0</v>
      </c>
      <c r="J483" s="589"/>
      <c r="K483" s="803" t="s">
        <v>398</v>
      </c>
      <c r="L483" s="216"/>
      <c r="M483" s="216"/>
      <c r="N483" s="549"/>
      <c r="O483" s="549"/>
      <c r="P483" s="549"/>
      <c r="Q483" s="549"/>
      <c r="R483" s="219"/>
      <c r="S483" s="219"/>
      <c r="T483" s="216"/>
      <c r="U483" s="216"/>
    </row>
    <row r="484" spans="2:21" hidden="1" outlineLevel="1" x14ac:dyDescent="0.2">
      <c r="B484" s="141"/>
      <c r="C484" s="803"/>
      <c r="D484" s="141"/>
      <c r="E484" s="141"/>
      <c r="F484" s="141"/>
      <c r="G484" s="592">
        <f>IF(G486="Yes",0,ROUND(K473*G483,2))</f>
        <v>0</v>
      </c>
      <c r="H484" s="141"/>
      <c r="I484" s="592">
        <f>IF(G486="Yes",0,ROUND(K473*I483,2))</f>
        <v>0</v>
      </c>
      <c r="J484" s="141"/>
      <c r="K484" s="803" t="s">
        <v>409</v>
      </c>
      <c r="L484" s="216"/>
      <c r="M484" s="216"/>
      <c r="N484" s="510"/>
      <c r="O484" s="510"/>
      <c r="P484" s="510"/>
      <c r="Q484" s="510"/>
      <c r="R484" s="219"/>
      <c r="S484" s="219"/>
      <c r="T484" s="216"/>
      <c r="U484" s="216"/>
    </row>
    <row r="485" spans="2:21" hidden="1" outlineLevel="1" x14ac:dyDescent="0.2">
      <c r="B485" s="141"/>
      <c r="C485" s="803"/>
      <c r="D485" s="141"/>
      <c r="E485" s="141"/>
      <c r="F485" s="141"/>
      <c r="G485" s="141"/>
      <c r="H485" s="141"/>
      <c r="I485" s="141"/>
      <c r="J485" s="141"/>
      <c r="K485" s="803"/>
      <c r="L485" s="216"/>
      <c r="M485" s="216"/>
      <c r="N485" s="219"/>
      <c r="O485" s="219"/>
      <c r="P485" s="219"/>
      <c r="Q485" s="219"/>
      <c r="R485" s="219"/>
      <c r="S485" s="219"/>
      <c r="T485" s="216"/>
      <c r="U485" s="216"/>
    </row>
    <row r="486" spans="2:21" hidden="1" outlineLevel="1" x14ac:dyDescent="0.2">
      <c r="B486" s="141"/>
      <c r="C486" s="803"/>
      <c r="D486" s="141"/>
      <c r="E486" s="141"/>
      <c r="F486" s="141"/>
      <c r="G486" s="542" t="str">
        <f>IF(AND(YEAR(G473)=YEAR(I473),MONTH(G473)=MONTH(I473),G477="YES",I477="YES"),"YES","NO")</f>
        <v>YES</v>
      </c>
      <c r="H486" s="141"/>
      <c r="I486" s="141"/>
      <c r="J486" s="141"/>
      <c r="K486" s="803" t="s">
        <v>410</v>
      </c>
      <c r="L486" s="216"/>
      <c r="M486" s="216"/>
      <c r="N486" s="544"/>
      <c r="O486" s="510"/>
      <c r="P486" s="544"/>
      <c r="Q486" s="219"/>
      <c r="R486" s="219"/>
      <c r="S486" s="219"/>
      <c r="T486" s="216"/>
      <c r="U486" s="216"/>
    </row>
    <row r="487" spans="2:21" hidden="1" outlineLevel="1" x14ac:dyDescent="0.2">
      <c r="B487" s="141"/>
      <c r="C487" s="803"/>
      <c r="D487" s="141"/>
      <c r="E487" s="141"/>
      <c r="F487" s="141"/>
      <c r="G487" s="141">
        <f>IF(G486="yes",I473-G473+1,0)</f>
        <v>1</v>
      </c>
      <c r="H487" s="141"/>
      <c r="I487" s="141"/>
      <c r="J487" s="141"/>
      <c r="K487" s="803" t="s">
        <v>411</v>
      </c>
      <c r="L487" s="216"/>
      <c r="M487" s="216"/>
      <c r="N487" s="219"/>
      <c r="O487" s="510"/>
      <c r="P487" s="219"/>
      <c r="Q487" s="219"/>
      <c r="R487" s="219"/>
      <c r="S487" s="219"/>
      <c r="T487" s="216"/>
      <c r="U487" s="216"/>
    </row>
    <row r="488" spans="2:21" hidden="1" outlineLevel="1" x14ac:dyDescent="0.2">
      <c r="B488" s="141"/>
      <c r="C488" s="803"/>
      <c r="D488" s="141"/>
      <c r="E488" s="141"/>
      <c r="F488" s="141"/>
      <c r="G488" s="717">
        <f>ROUND(G487/G480,6)</f>
        <v>3.2258000000000002E-2</v>
      </c>
      <c r="H488" s="141"/>
      <c r="I488" s="141"/>
      <c r="J488" s="141"/>
      <c r="K488" s="803" t="s">
        <v>398</v>
      </c>
      <c r="L488" s="216"/>
      <c r="M488" s="216"/>
      <c r="N488" s="549"/>
      <c r="O488" s="510"/>
      <c r="P488" s="549"/>
      <c r="Q488" s="219"/>
      <c r="R488" s="219"/>
      <c r="S488" s="219"/>
      <c r="T488" s="216"/>
      <c r="U488" s="216"/>
    </row>
    <row r="489" spans="2:21" hidden="1" outlineLevel="1" x14ac:dyDescent="0.2">
      <c r="B489" s="141"/>
      <c r="C489" s="803"/>
      <c r="D489" s="141"/>
      <c r="E489" s="141"/>
      <c r="F489" s="141"/>
      <c r="G489" s="540">
        <f>ROUND(IF(NOT(G473=0),G488*K473,0),2)</f>
        <v>0</v>
      </c>
      <c r="H489" s="141"/>
      <c r="I489" s="141"/>
      <c r="J489" s="141"/>
      <c r="K489" s="803" t="s">
        <v>413</v>
      </c>
      <c r="L489" s="216"/>
      <c r="M489" s="216"/>
      <c r="N489" s="510"/>
      <c r="O489" s="510"/>
      <c r="P489" s="510"/>
      <c r="Q489" s="219"/>
      <c r="R489" s="219"/>
      <c r="S489" s="219"/>
      <c r="T489" s="216"/>
      <c r="U489" s="216"/>
    </row>
    <row r="490" spans="2:21" hidden="1" outlineLevel="1" x14ac:dyDescent="0.2">
      <c r="B490" s="141"/>
      <c r="C490" s="141"/>
      <c r="D490" s="141"/>
      <c r="E490" s="141"/>
      <c r="F490" s="141"/>
      <c r="G490" s="141"/>
      <c r="H490" s="141"/>
      <c r="I490" s="141"/>
      <c r="J490" s="141"/>
      <c r="K490" s="141"/>
      <c r="L490" s="216"/>
      <c r="M490" s="216"/>
      <c r="N490" s="219"/>
      <c r="O490" s="219"/>
      <c r="P490" s="219"/>
      <c r="Q490" s="219"/>
      <c r="R490" s="219"/>
      <c r="S490" s="219"/>
      <c r="T490" s="216"/>
      <c r="U490" s="216"/>
    </row>
    <row r="491" spans="2:21" hidden="1" outlineLevel="1" x14ac:dyDescent="0.2">
      <c r="B491" s="141"/>
      <c r="C491" s="141"/>
      <c r="D491" s="141"/>
      <c r="E491" s="141"/>
      <c r="F491" s="141"/>
      <c r="G491" s="716">
        <f>IF(G486="No",G483,G488)</f>
        <v>3.2258000000000002E-2</v>
      </c>
      <c r="H491" s="721"/>
      <c r="I491" s="716">
        <f>IF(G486="No",I483,0)</f>
        <v>0</v>
      </c>
      <c r="J491" s="141"/>
      <c r="K491" s="141" t="s">
        <v>492</v>
      </c>
      <c r="L491" s="216"/>
      <c r="M491" s="216"/>
      <c r="N491" s="549"/>
      <c r="O491" s="549"/>
      <c r="P491" s="549"/>
      <c r="Q491" s="549"/>
      <c r="R491" s="219"/>
      <c r="S491" s="219"/>
      <c r="T491" s="216"/>
      <c r="U491" s="216"/>
    </row>
    <row r="492" spans="2:21" hidden="1" outlineLevel="1" x14ac:dyDescent="0.2">
      <c r="B492" s="141"/>
      <c r="C492" s="141"/>
      <c r="D492" s="141"/>
      <c r="E492" s="141"/>
      <c r="F492" s="141"/>
      <c r="G492" s="603"/>
      <c r="H492" s="520"/>
      <c r="I492" s="603"/>
      <c r="J492" s="520"/>
      <c r="K492" s="141"/>
      <c r="L492" s="216"/>
      <c r="M492" s="516"/>
      <c r="N492" s="551"/>
      <c r="O492" s="551"/>
      <c r="P492" s="551"/>
      <c r="Q492" s="551"/>
      <c r="R492" s="219"/>
      <c r="S492" s="219"/>
      <c r="T492" s="216"/>
      <c r="U492" s="216"/>
    </row>
    <row r="493" spans="2:21" ht="13.5" collapsed="1" thickBot="1" x14ac:dyDescent="0.25">
      <c r="B493" s="141"/>
      <c r="C493" s="141"/>
      <c r="D493" s="141"/>
      <c r="E493" s="141"/>
      <c r="F493" s="141"/>
      <c r="G493" s="1663">
        <f>G484+G489</f>
        <v>0</v>
      </c>
      <c r="H493" s="1663"/>
      <c r="I493" s="1663">
        <f>I484+I489</f>
        <v>0</v>
      </c>
      <c r="J493" s="1663"/>
      <c r="K493" s="832" t="s">
        <v>399</v>
      </c>
      <c r="L493" s="216"/>
      <c r="M493" s="216"/>
      <c r="N493" s="202"/>
      <c r="O493" s="219"/>
      <c r="P493" s="219"/>
      <c r="Q493" s="202"/>
      <c r="R493" s="219"/>
      <c r="S493" s="219"/>
      <c r="T493" s="216"/>
      <c r="U493" s="216"/>
    </row>
    <row r="494" spans="2:21" ht="15.75" thickTop="1" x14ac:dyDescent="0.25">
      <c r="B494" s="141"/>
      <c r="C494" s="141"/>
      <c r="D494" s="141"/>
      <c r="E494" s="141"/>
      <c r="F494" s="141"/>
      <c r="G494" s="842" t="str">
        <f>IF($AD480&gt;0,"ERROR ALERT:  The date range in your service start/end dates is NOT consistent with the OTO start/end dates ('OTO Terms' above), please check your dates and re-enter.","")</f>
        <v/>
      </c>
      <c r="H494" s="801"/>
      <c r="I494" s="801"/>
      <c r="J494" s="801"/>
      <c r="K494" s="803"/>
      <c r="L494" s="216"/>
      <c r="M494" s="216"/>
      <c r="N494" s="202"/>
      <c r="O494" s="219"/>
      <c r="P494" s="219"/>
      <c r="Q494" s="202"/>
      <c r="R494" s="219"/>
      <c r="S494" s="219"/>
      <c r="T494" s="216"/>
      <c r="U494" s="216"/>
    </row>
    <row r="495" spans="2:21" ht="15" x14ac:dyDescent="0.25">
      <c r="B495" s="210" t="s">
        <v>593</v>
      </c>
      <c r="R495" s="254"/>
      <c r="S495" s="254"/>
    </row>
    <row r="496" spans="2:21" x14ac:dyDescent="0.2">
      <c r="R496" s="1660" t="s">
        <v>547</v>
      </c>
      <c r="S496" s="1660"/>
    </row>
    <row r="497" spans="1:31" hidden="1" outlineLevel="1" x14ac:dyDescent="0.2">
      <c r="A497" s="141"/>
      <c r="B497" s="141" t="s">
        <v>493</v>
      </c>
      <c r="C497" s="141"/>
      <c r="D497" s="597">
        <f>IF(NOT(G506=0),IF(G519="NO",(YEAR(I506)-YEAR(G506))*12+MONTH(I506)-MONTH(G506)+IF(G510="no",1,0)+IF(I510="yes",-1,0),0),0)</f>
        <v>0</v>
      </c>
      <c r="E497" s="141"/>
      <c r="F497" s="141"/>
      <c r="G497" s="141"/>
      <c r="H497" s="141"/>
      <c r="I497" s="141"/>
      <c r="J497" s="141"/>
      <c r="K497" s="141"/>
      <c r="L497" s="141"/>
      <c r="M497" s="499"/>
      <c r="N497" s="610"/>
      <c r="O497" s="254"/>
      <c r="P497" s="610"/>
      <c r="Q497" s="219"/>
      <c r="R497" s="219"/>
      <c r="S497" s="219"/>
      <c r="T497" s="216"/>
      <c r="U497" s="141"/>
      <c r="V497" s="216"/>
      <c r="W497" s="216"/>
      <c r="X497" s="994"/>
      <c r="Y497" s="992"/>
    </row>
    <row r="498" spans="1:31" hidden="1" outlineLevel="1" x14ac:dyDescent="0.2">
      <c r="A498" s="141"/>
      <c r="B498" s="141" t="s">
        <v>494</v>
      </c>
      <c r="C498" s="141"/>
      <c r="D498" s="598">
        <f>IF(NOT(G506=0),G524,0)</f>
        <v>0</v>
      </c>
      <c r="E498" s="141"/>
      <c r="F498" s="141"/>
      <c r="G498" s="141"/>
      <c r="H498" s="141"/>
      <c r="I498" s="141"/>
      <c r="J498" s="141"/>
      <c r="K498" s="141"/>
      <c r="L498" s="141"/>
      <c r="M498" s="499"/>
      <c r="N498" s="611"/>
      <c r="O498" s="219"/>
      <c r="P498" s="611"/>
      <c r="Q498" s="219"/>
      <c r="R498" s="219"/>
      <c r="S498" s="219"/>
      <c r="T498" s="216"/>
      <c r="U498" s="141"/>
      <c r="V498" s="216"/>
      <c r="W498" s="216"/>
      <c r="X498" s="994"/>
      <c r="Y498" s="992"/>
    </row>
    <row r="499" spans="1:31" hidden="1" outlineLevel="1" x14ac:dyDescent="0.2">
      <c r="A499" s="141"/>
      <c r="B499" s="141" t="s">
        <v>495</v>
      </c>
      <c r="C499" s="141"/>
      <c r="D499" s="599">
        <f>IF(NOT(G506=0),I524,0)</f>
        <v>0</v>
      </c>
      <c r="E499" s="141"/>
      <c r="F499" s="141"/>
      <c r="G499" s="141"/>
      <c r="H499" s="141"/>
      <c r="I499" s="141"/>
      <c r="J499" s="141"/>
      <c r="K499" s="141"/>
      <c r="L499" s="141"/>
      <c r="M499" s="499"/>
      <c r="N499" s="611"/>
      <c r="O499" s="219"/>
      <c r="P499" s="611"/>
      <c r="Q499" s="219"/>
      <c r="R499" s="219"/>
      <c r="S499" s="219"/>
      <c r="T499" s="216"/>
      <c r="U499" s="141"/>
      <c r="V499" s="216"/>
      <c r="W499" s="216"/>
      <c r="X499" s="994"/>
      <c r="Y499" s="992"/>
    </row>
    <row r="500" spans="1:31" hidden="1" outlineLevel="1" x14ac:dyDescent="0.2">
      <c r="A500" s="141"/>
      <c r="B500" s="219" t="s">
        <v>496</v>
      </c>
      <c r="C500" s="141"/>
      <c r="D500" s="597">
        <f>SUM(D497:D499)</f>
        <v>0</v>
      </c>
      <c r="E500" s="141"/>
      <c r="F500" s="141"/>
      <c r="G500" s="141"/>
      <c r="H500" s="141"/>
      <c r="I500" s="141"/>
      <c r="J500" s="141"/>
      <c r="K500" s="141"/>
      <c r="L500" s="141"/>
      <c r="M500" s="499"/>
      <c r="N500" s="610"/>
      <c r="O500" s="219"/>
      <c r="P500" s="610"/>
      <c r="Q500" s="219"/>
      <c r="R500" s="219"/>
      <c r="S500" s="219"/>
      <c r="T500" s="216"/>
      <c r="U500" s="141"/>
      <c r="V500" s="216"/>
      <c r="W500" s="216"/>
      <c r="X500" s="994"/>
      <c r="Y500" s="992"/>
    </row>
    <row r="501" spans="1:31" hidden="1" outlineLevel="1" x14ac:dyDescent="0.2">
      <c r="A501" s="216"/>
      <c r="B501" s="219"/>
      <c r="C501" s="216"/>
      <c r="D501" s="601"/>
      <c r="E501" s="216"/>
      <c r="F501" s="216"/>
      <c r="G501" s="216"/>
      <c r="H501" s="216"/>
      <c r="I501" s="216"/>
      <c r="J501" s="216"/>
      <c r="K501" s="216"/>
      <c r="L501" s="216"/>
      <c r="M501" s="499"/>
      <c r="N501" s="216"/>
      <c r="O501" s="216"/>
      <c r="P501" s="601"/>
      <c r="Q501" s="216"/>
      <c r="R501" s="219"/>
      <c r="S501" s="254"/>
      <c r="T501" s="216"/>
      <c r="U501" s="216"/>
      <c r="V501" s="216"/>
      <c r="W501" s="216"/>
      <c r="X501" s="994"/>
      <c r="Y501" s="992"/>
    </row>
    <row r="502" spans="1:31" hidden="1" outlineLevel="1" x14ac:dyDescent="0.2">
      <c r="A502" s="141"/>
      <c r="B502" s="141"/>
      <c r="C502" s="141"/>
      <c r="D502" s="141"/>
      <c r="E502" s="216"/>
      <c r="F502" s="216"/>
      <c r="G502" s="141"/>
      <c r="H502" s="141"/>
      <c r="I502" s="141"/>
      <c r="J502" s="141"/>
      <c r="K502" s="141"/>
      <c r="L502" s="141"/>
      <c r="M502" s="141"/>
      <c r="N502" s="141"/>
      <c r="O502" s="141"/>
      <c r="P502" s="141"/>
      <c r="Q502" s="141"/>
      <c r="R502" s="219"/>
      <c r="S502" s="254"/>
      <c r="T502" s="216"/>
      <c r="U502" s="141"/>
      <c r="V502" s="216"/>
      <c r="W502" s="216"/>
      <c r="X502" s="994"/>
      <c r="Y502" s="992"/>
    </row>
    <row r="503" spans="1:31" collapsed="1" x14ac:dyDescent="0.2">
      <c r="A503" s="141"/>
      <c r="B503" s="219"/>
      <c r="C503" s="141"/>
      <c r="D503" s="216"/>
      <c r="E503" s="612"/>
      <c r="F503" s="216"/>
      <c r="G503" s="1664"/>
      <c r="H503" s="1664"/>
      <c r="I503" s="141"/>
      <c r="J503" s="141"/>
      <c r="K503" s="141"/>
      <c r="L503" s="216"/>
      <c r="M503" s="216"/>
      <c r="N503" s="590" t="s">
        <v>545</v>
      </c>
      <c r="O503" s="591" t="s">
        <v>579</v>
      </c>
      <c r="P503" s="590" t="s">
        <v>545</v>
      </c>
      <c r="Q503" s="591" t="s">
        <v>579</v>
      </c>
      <c r="R503" s="590" t="s">
        <v>545</v>
      </c>
      <c r="S503" s="591" t="s">
        <v>579</v>
      </c>
      <c r="T503" s="216"/>
      <c r="U503" s="141"/>
      <c r="V503" s="216"/>
      <c r="W503" s="216"/>
      <c r="X503" s="994"/>
      <c r="Y503" s="992"/>
      <c r="Z503" s="994" t="s">
        <v>581</v>
      </c>
      <c r="AA503" s="1074">
        <f>IF(G506&gt;0,IF(MONTH(G506)&gt;3,DATE(YEAR(G506)+1,3,31),DATE(YEAR(G506),3,31)),0)</f>
        <v>0</v>
      </c>
    </row>
    <row r="504" spans="1:31" x14ac:dyDescent="0.2">
      <c r="A504" s="141"/>
      <c r="B504" s="141"/>
      <c r="C504" s="141"/>
      <c r="D504" s="141"/>
      <c r="E504" s="141"/>
      <c r="F504" s="141"/>
      <c r="G504" s="494" t="str">
        <f>IF(AD507&gt;0,"WARNING: Generally, you may not cross a CLBC March 31 fiscal year end, please re-check your dates.","")</f>
        <v/>
      </c>
      <c r="H504" s="141"/>
      <c r="I504" s="141"/>
      <c r="J504" s="141"/>
      <c r="K504" s="141"/>
      <c r="L504" s="216"/>
      <c r="M504" s="216"/>
      <c r="N504" s="503" t="s">
        <v>510</v>
      </c>
      <c r="O504" s="504" t="s">
        <v>510</v>
      </c>
      <c r="P504" s="503" t="s">
        <v>510</v>
      </c>
      <c r="Q504" s="504" t="s">
        <v>510</v>
      </c>
      <c r="R504" s="503" t="s">
        <v>510</v>
      </c>
      <c r="S504" s="504" t="s">
        <v>510</v>
      </c>
      <c r="T504" s="216"/>
      <c r="U504" s="141"/>
      <c r="V504" s="216"/>
      <c r="W504" s="216"/>
      <c r="X504" s="994"/>
      <c r="Y504" s="992"/>
      <c r="Z504" s="994" t="s">
        <v>582</v>
      </c>
      <c r="AA504" s="1074">
        <f>IF(AA503&gt;=$L$20,$L$20,AA503)</f>
        <v>0</v>
      </c>
    </row>
    <row r="505" spans="1:31" ht="38.25" customHeight="1" x14ac:dyDescent="0.2">
      <c r="A505" s="140"/>
      <c r="B505" s="792" t="s">
        <v>464</v>
      </c>
      <c r="C505" s="1543" t="s">
        <v>351</v>
      </c>
      <c r="D505" s="1543"/>
      <c r="E505" s="587" t="s">
        <v>481</v>
      </c>
      <c r="F505" s="587" t="s">
        <v>482</v>
      </c>
      <c r="G505" s="1522" t="s">
        <v>519</v>
      </c>
      <c r="H505" s="1523"/>
      <c r="I505" s="1522" t="s">
        <v>520</v>
      </c>
      <c r="J505" s="1523" t="s">
        <v>520</v>
      </c>
      <c r="K505" s="833" t="s">
        <v>387</v>
      </c>
      <c r="L505" s="831" t="s">
        <v>483</v>
      </c>
      <c r="M505" s="831" t="s">
        <v>388</v>
      </c>
      <c r="N505" s="1543" t="s">
        <v>389</v>
      </c>
      <c r="O505" s="1543"/>
      <c r="P505" s="1543" t="s">
        <v>390</v>
      </c>
      <c r="Q505" s="1543"/>
      <c r="R505" s="1543" t="s">
        <v>578</v>
      </c>
      <c r="S505" s="1543"/>
      <c r="T505" s="286"/>
      <c r="U505" s="140"/>
      <c r="V505" s="286"/>
      <c r="W505" s="286"/>
      <c r="X505" s="1002"/>
      <c r="Y505" s="1105"/>
    </row>
    <row r="506" spans="1:31" x14ac:dyDescent="0.2">
      <c r="A506" s="141"/>
      <c r="B506" s="666"/>
      <c r="C506" s="1547" t="s">
        <v>414</v>
      </c>
      <c r="D506" s="1547"/>
      <c r="E506" s="808" t="s">
        <v>484</v>
      </c>
      <c r="F506" s="670"/>
      <c r="G506" s="1665"/>
      <c r="H506" s="1667"/>
      <c r="I506" s="1665"/>
      <c r="J506" s="1666"/>
      <c r="K506" s="671"/>
      <c r="L506" s="671"/>
      <c r="M506" s="588">
        <f>ROUND(IF(F506="Y",L506,IF(G519="yes",G526,ROUND(K506,2)*D497+G526+I526)),2)</f>
        <v>0</v>
      </c>
      <c r="N506" s="1661" t="s">
        <v>510</v>
      </c>
      <c r="O506" s="1662"/>
      <c r="P506" s="1661" t="s">
        <v>510</v>
      </c>
      <c r="Q506" s="1662"/>
      <c r="R506" s="1661" t="s">
        <v>510</v>
      </c>
      <c r="S506" s="1662"/>
      <c r="T506" s="216"/>
      <c r="U506" s="141"/>
      <c r="V506" s="216"/>
      <c r="W506" s="216"/>
      <c r="X506" s="994"/>
      <c r="Y506" s="992"/>
      <c r="AD506" s="1109" t="s">
        <v>617</v>
      </c>
      <c r="AE506" s="1109" t="s">
        <v>718</v>
      </c>
    </row>
    <row r="507" spans="1:31" hidden="1" outlineLevel="1" x14ac:dyDescent="0.2">
      <c r="A507" s="141"/>
      <c r="B507" s="141"/>
      <c r="C507" s="803"/>
      <c r="D507" s="141"/>
      <c r="E507" s="141"/>
      <c r="F507" s="141"/>
      <c r="G507" s="141">
        <f>G513</f>
        <v>31</v>
      </c>
      <c r="H507" s="141"/>
      <c r="I507" s="141">
        <f>I513</f>
        <v>31</v>
      </c>
      <c r="J507" s="141"/>
      <c r="K507" s="803" t="s">
        <v>391</v>
      </c>
      <c r="L507" s="216"/>
      <c r="M507" s="216"/>
      <c r="N507" s="141"/>
      <c r="O507" s="141"/>
      <c r="P507" s="141"/>
      <c r="Q507" s="141"/>
      <c r="R507" s="219"/>
      <c r="S507" s="508"/>
      <c r="T507" s="216"/>
      <c r="U507" s="141"/>
      <c r="V507" s="216"/>
      <c r="W507" s="216"/>
      <c r="X507" s="994"/>
      <c r="Y507" s="992"/>
      <c r="AD507" s="994">
        <f>IF(AND(G506&gt;0,I506&gt;0,I506&gt;$AA504),1,0)</f>
        <v>0</v>
      </c>
      <c r="AE507" s="994" t="s">
        <v>619</v>
      </c>
    </row>
    <row r="508" spans="1:31" hidden="1" outlineLevel="1" x14ac:dyDescent="0.2">
      <c r="A508" s="141"/>
      <c r="B508" s="141"/>
      <c r="C508" s="803"/>
      <c r="D508" s="141"/>
      <c r="E508" s="141"/>
      <c r="F508" s="141"/>
      <c r="G508" s="141">
        <v>1</v>
      </c>
      <c r="H508" s="141"/>
      <c r="I508" s="141">
        <v>1</v>
      </c>
      <c r="J508" s="141"/>
      <c r="K508" s="803" t="s">
        <v>392</v>
      </c>
      <c r="L508" s="216"/>
      <c r="M508" s="216"/>
      <c r="N508" s="141"/>
      <c r="O508" s="141"/>
      <c r="P508" s="141"/>
      <c r="Q508" s="141"/>
      <c r="R508" s="219"/>
      <c r="S508" s="508"/>
      <c r="T508" s="216"/>
      <c r="U508" s="141"/>
      <c r="V508" s="216"/>
      <c r="W508" s="216"/>
      <c r="X508" s="994"/>
      <c r="Y508" s="992"/>
    </row>
    <row r="509" spans="1:31" hidden="1" outlineLevel="1" x14ac:dyDescent="0.2">
      <c r="A509" s="141"/>
      <c r="B509" s="141"/>
      <c r="C509" s="803"/>
      <c r="D509" s="141"/>
      <c r="E509" s="141"/>
      <c r="F509" s="141"/>
      <c r="G509" s="141">
        <f>DAY(G506)</f>
        <v>0</v>
      </c>
      <c r="H509" s="141"/>
      <c r="I509" s="141">
        <f>DAY(I506)</f>
        <v>0</v>
      </c>
      <c r="J509" s="141"/>
      <c r="K509" s="803" t="s">
        <v>393</v>
      </c>
      <c r="L509" s="216"/>
      <c r="M509" s="216"/>
      <c r="N509" s="141"/>
      <c r="O509" s="141"/>
      <c r="P509" s="141"/>
      <c r="Q509" s="141"/>
      <c r="R509" s="219"/>
      <c r="S509" s="508"/>
      <c r="T509" s="216"/>
      <c r="U509" s="141"/>
      <c r="V509" s="216"/>
      <c r="W509" s="216"/>
      <c r="X509" s="994"/>
      <c r="Y509" s="992"/>
      <c r="AD509" s="1109" t="s">
        <v>617</v>
      </c>
      <c r="AE509" s="1109" t="s">
        <v>719</v>
      </c>
    </row>
    <row r="510" spans="1:31" hidden="1" outlineLevel="1" x14ac:dyDescent="0.2">
      <c r="A510" s="141"/>
      <c r="B510" s="141"/>
      <c r="C510" s="803"/>
      <c r="D510" s="141"/>
      <c r="E510" s="141"/>
      <c r="F510" s="141"/>
      <c r="G510" s="516" t="str">
        <f>IF(G509=G508,"No","Yes")</f>
        <v>Yes</v>
      </c>
      <c r="H510" s="141"/>
      <c r="I510" s="516" t="str">
        <f>IF(I509=I507,"No","Yes")</f>
        <v>Yes</v>
      </c>
      <c r="J510" s="141"/>
      <c r="K510" s="803" t="s">
        <v>394</v>
      </c>
      <c r="L510" s="216"/>
      <c r="M510" s="216"/>
      <c r="N510" s="516"/>
      <c r="O510" s="516"/>
      <c r="P510" s="516"/>
      <c r="Q510" s="516"/>
      <c r="R510" s="219"/>
      <c r="S510" s="219"/>
      <c r="T510" s="216"/>
      <c r="U510" s="216"/>
      <c r="V510" s="216"/>
      <c r="W510" s="216"/>
      <c r="X510" s="994"/>
      <c r="Y510" s="992"/>
      <c r="AD510" s="994">
        <f>IF(OR(G506&lt;$L$18,G506&gt;$L$20),1,0)</f>
        <v>0</v>
      </c>
      <c r="AE510" s="994" t="s">
        <v>618</v>
      </c>
    </row>
    <row r="511" spans="1:31" hidden="1" outlineLevel="1" x14ac:dyDescent="0.2">
      <c r="A511" s="141"/>
      <c r="B511" s="141"/>
      <c r="C511" s="803"/>
      <c r="D511" s="141"/>
      <c r="E511" s="141"/>
      <c r="F511" s="141"/>
      <c r="G511" s="219"/>
      <c r="H511" s="141"/>
      <c r="I511" s="219"/>
      <c r="J511" s="141"/>
      <c r="K511" s="803"/>
      <c r="L511" s="216"/>
      <c r="M511" s="216"/>
      <c r="N511" s="34"/>
      <c r="O511" s="34"/>
      <c r="P511" s="34"/>
      <c r="R511" s="219"/>
      <c r="S511" s="219"/>
      <c r="T511" s="216"/>
      <c r="U511" s="216"/>
      <c r="V511" s="216"/>
      <c r="W511" s="216"/>
      <c r="X511" s="994"/>
      <c r="Y511" s="992"/>
      <c r="AD511" s="994">
        <f>IF(OR(I506&lt;$L$18,I506&gt;$L$20),1,0)</f>
        <v>0</v>
      </c>
      <c r="AE511" s="994" t="s">
        <v>705</v>
      </c>
    </row>
    <row r="512" spans="1:31" hidden="1" outlineLevel="1" x14ac:dyDescent="0.2">
      <c r="A512" s="141"/>
      <c r="B512" s="141"/>
      <c r="C512" s="803"/>
      <c r="D512" s="141"/>
      <c r="E512" s="141"/>
      <c r="F512" s="141"/>
      <c r="G512" s="518">
        <f>EOMONTH(G506,0)</f>
        <v>31</v>
      </c>
      <c r="H512" s="141"/>
      <c r="I512" s="518">
        <f>EOMONTH(I506,0)</f>
        <v>31</v>
      </c>
      <c r="J512" s="141"/>
      <c r="K512" s="803" t="s">
        <v>395</v>
      </c>
      <c r="L512" s="216"/>
      <c r="M512" s="216"/>
      <c r="N512" s="518"/>
      <c r="O512" s="518"/>
      <c r="P512" s="518"/>
      <c r="Q512" s="518"/>
      <c r="R512" s="219"/>
      <c r="S512" s="219"/>
      <c r="T512" s="216"/>
      <c r="U512" s="216"/>
      <c r="V512" s="216"/>
      <c r="W512" s="216"/>
      <c r="X512" s="994"/>
      <c r="Y512" s="992"/>
      <c r="AD512" s="994"/>
      <c r="AE512" s="994"/>
    </row>
    <row r="513" spans="1:31" ht="13.5" hidden="1" outlineLevel="1" thickBot="1" x14ac:dyDescent="0.25">
      <c r="A513" s="141"/>
      <c r="B513" s="141"/>
      <c r="C513" s="803"/>
      <c r="D513" s="141"/>
      <c r="E513" s="141"/>
      <c r="F513" s="141"/>
      <c r="G513" s="141">
        <f>DAY(G512)</f>
        <v>31</v>
      </c>
      <c r="H513" s="141"/>
      <c r="I513" s="141">
        <f>DAY(I512)</f>
        <v>31</v>
      </c>
      <c r="J513" s="141"/>
      <c r="K513" s="803" t="s">
        <v>396</v>
      </c>
      <c r="L513" s="216"/>
      <c r="M513" s="216"/>
      <c r="N513" s="141"/>
      <c r="O513" s="141"/>
      <c r="P513" s="141"/>
      <c r="Q513" s="141"/>
      <c r="R513" s="219"/>
      <c r="S513" s="219"/>
      <c r="T513" s="216"/>
      <c r="U513" s="216"/>
      <c r="V513" s="216"/>
      <c r="W513" s="216"/>
      <c r="X513" s="994"/>
      <c r="Y513" s="992"/>
      <c r="AD513" s="1112">
        <f>IF(AND(G506&gt;0,I506&gt;0),SUM(AD510:AD512),0)</f>
        <v>0</v>
      </c>
      <c r="AE513" s="994" t="s">
        <v>620</v>
      </c>
    </row>
    <row r="514" spans="1:31" hidden="1" outlineLevel="1" x14ac:dyDescent="0.2">
      <c r="A514" s="141"/>
      <c r="B514" s="141"/>
      <c r="C514" s="803"/>
      <c r="D514" s="141"/>
      <c r="E514" s="141"/>
      <c r="F514" s="141"/>
      <c r="G514" s="520">
        <f>G512-G506+1</f>
        <v>32</v>
      </c>
      <c r="H514" s="141"/>
      <c r="I514" s="520">
        <f>I512-I506</f>
        <v>31</v>
      </c>
      <c r="J514" s="141"/>
      <c r="K514" s="803" t="s">
        <v>628</v>
      </c>
      <c r="L514" s="216"/>
      <c r="M514" s="216"/>
      <c r="N514" s="202"/>
      <c r="O514" s="202"/>
      <c r="P514" s="202"/>
      <c r="Q514" s="202"/>
      <c r="R514" s="219"/>
      <c r="S514" s="219"/>
      <c r="T514" s="216"/>
      <c r="U514" s="216"/>
      <c r="V514" s="216"/>
      <c r="W514" s="216"/>
      <c r="X514" s="994"/>
      <c r="Y514" s="992"/>
    </row>
    <row r="515" spans="1:31" hidden="1" outlineLevel="1" x14ac:dyDescent="0.2">
      <c r="A515" s="141"/>
      <c r="B515" s="141"/>
      <c r="C515" s="803"/>
      <c r="D515" s="141"/>
      <c r="E515" s="141"/>
      <c r="F515" s="141"/>
      <c r="G515" s="141">
        <f>G513-G514</f>
        <v>-1</v>
      </c>
      <c r="H515" s="141"/>
      <c r="I515" s="141">
        <f>I513-I514</f>
        <v>0</v>
      </c>
      <c r="J515" s="141"/>
      <c r="K515" s="803" t="s">
        <v>397</v>
      </c>
      <c r="L515" s="216"/>
      <c r="M515" s="216"/>
      <c r="N515" s="202"/>
      <c r="O515" s="202"/>
      <c r="P515" s="202"/>
      <c r="Q515" s="202"/>
      <c r="R515" s="219"/>
      <c r="S515" s="219"/>
      <c r="T515" s="216"/>
      <c r="U515" s="216"/>
      <c r="V515" s="216"/>
      <c r="W515" s="216"/>
      <c r="X515" s="994"/>
      <c r="Y515" s="992"/>
    </row>
    <row r="516" spans="1:31" hidden="1" outlineLevel="1" x14ac:dyDescent="0.2">
      <c r="A516" s="141"/>
      <c r="B516" s="141"/>
      <c r="C516" s="803"/>
      <c r="D516" s="141"/>
      <c r="E516" s="141"/>
      <c r="F516" s="141"/>
      <c r="G516" s="718">
        <f>IF(G510="Yes",ROUND(G514/G513,6),0)</f>
        <v>1.0322579999999999</v>
      </c>
      <c r="H516" s="719"/>
      <c r="I516" s="718">
        <f>IF(I510="Yes",ROUND(I515/I513,6),0)</f>
        <v>0</v>
      </c>
      <c r="J516" s="589"/>
      <c r="K516" s="803" t="s">
        <v>398</v>
      </c>
      <c r="L516" s="216"/>
      <c r="M516" s="216"/>
      <c r="N516" s="613"/>
      <c r="O516" s="613"/>
      <c r="P516" s="613"/>
      <c r="Q516" s="613"/>
      <c r="R516" s="219"/>
      <c r="S516" s="219"/>
      <c r="T516" s="216"/>
      <c r="U516" s="216"/>
      <c r="V516" s="216"/>
      <c r="W516" s="216"/>
      <c r="X516" s="994"/>
      <c r="Y516" s="992"/>
    </row>
    <row r="517" spans="1:31" hidden="1" outlineLevel="1" x14ac:dyDescent="0.2">
      <c r="A517" s="141"/>
      <c r="B517" s="141"/>
      <c r="C517" s="803"/>
      <c r="D517" s="141"/>
      <c r="E517" s="141"/>
      <c r="F517" s="141"/>
      <c r="G517" s="592">
        <f>IF(G519="Yes",0,ROUND(ROUND(K506,2)*G516,2))</f>
        <v>0</v>
      </c>
      <c r="H517" s="141"/>
      <c r="I517" s="592">
        <f>IF(G519="Yes",0,ROUND(ROUND(K506,2)*I516,2))</f>
        <v>0</v>
      </c>
      <c r="J517" s="141"/>
      <c r="K517" s="803" t="s">
        <v>409</v>
      </c>
      <c r="L517" s="216"/>
      <c r="M517" s="216"/>
      <c r="N517" s="510"/>
      <c r="O517" s="510"/>
      <c r="P517" s="510"/>
      <c r="Q517" s="510"/>
      <c r="R517" s="219"/>
      <c r="S517" s="219"/>
      <c r="T517" s="216"/>
      <c r="U517" s="216"/>
      <c r="V517" s="216"/>
      <c r="W517" s="216"/>
      <c r="X517" s="994"/>
      <c r="Y517" s="992"/>
    </row>
    <row r="518" spans="1:31" hidden="1" outlineLevel="1" x14ac:dyDescent="0.2">
      <c r="A518" s="141"/>
      <c r="B518" s="141"/>
      <c r="C518" s="803"/>
      <c r="D518" s="141"/>
      <c r="E518" s="141"/>
      <c r="F518" s="141"/>
      <c r="G518" s="141"/>
      <c r="H518" s="141"/>
      <c r="I518" s="141"/>
      <c r="J518" s="141"/>
      <c r="K518" s="803"/>
      <c r="L518" s="216"/>
      <c r="M518" s="216"/>
      <c r="N518" s="219"/>
      <c r="O518" s="219"/>
      <c r="P518" s="219"/>
      <c r="Q518" s="202"/>
      <c r="R518" s="219"/>
      <c r="S518" s="219"/>
      <c r="T518" s="216"/>
      <c r="U518" s="216"/>
      <c r="V518" s="216"/>
      <c r="W518" s="216"/>
      <c r="X518" s="994"/>
      <c r="Y518" s="992"/>
    </row>
    <row r="519" spans="1:31" hidden="1" outlineLevel="1" x14ac:dyDescent="0.2">
      <c r="A519" s="141"/>
      <c r="B519" s="141"/>
      <c r="C519" s="803"/>
      <c r="D519" s="141"/>
      <c r="E519" s="141"/>
      <c r="F519" s="141"/>
      <c r="G519" s="542" t="str">
        <f>IF(AND(YEAR(G506)=YEAR(I506),MONTH(G506)=MONTH(I506),G510="YES",I510="YES"),"YES","NO")</f>
        <v>YES</v>
      </c>
      <c r="H519" s="141"/>
      <c r="I519" s="141"/>
      <c r="J519" s="141"/>
      <c r="K519" s="803" t="s">
        <v>410</v>
      </c>
      <c r="L519" s="216"/>
      <c r="M519" s="216"/>
      <c r="N519" s="544"/>
      <c r="O519" s="510"/>
      <c r="P519" s="544"/>
      <c r="Q519" s="202"/>
      <c r="R519" s="219"/>
      <c r="S519" s="219"/>
      <c r="T519" s="216"/>
      <c r="U519" s="216"/>
      <c r="V519" s="216"/>
      <c r="W519" s="216"/>
      <c r="X519" s="994"/>
      <c r="Y519" s="992"/>
    </row>
    <row r="520" spans="1:31" hidden="1" outlineLevel="1" x14ac:dyDescent="0.2">
      <c r="A520" s="141"/>
      <c r="B520" s="141"/>
      <c r="C520" s="803"/>
      <c r="D520" s="141"/>
      <c r="E520" s="141"/>
      <c r="F520" s="141"/>
      <c r="G520" s="141">
        <f>IF(G519="yes",I506-G506+1,0)</f>
        <v>1</v>
      </c>
      <c r="H520" s="141"/>
      <c r="I520" s="141"/>
      <c r="J520" s="141"/>
      <c r="K520" s="803" t="s">
        <v>411</v>
      </c>
      <c r="L520" s="216"/>
      <c r="M520" s="216"/>
      <c r="N520" s="202"/>
      <c r="O520" s="510"/>
      <c r="P520" s="202"/>
      <c r="Q520" s="202"/>
      <c r="R520" s="219"/>
      <c r="S520" s="219"/>
      <c r="T520" s="216"/>
      <c r="U520" s="216"/>
      <c r="V520" s="216"/>
      <c r="W520" s="216"/>
      <c r="X520" s="994"/>
      <c r="Y520" s="992"/>
    </row>
    <row r="521" spans="1:31" hidden="1" outlineLevel="1" x14ac:dyDescent="0.2">
      <c r="A521" s="141"/>
      <c r="B521" s="141"/>
      <c r="C521" s="803"/>
      <c r="D521" s="141"/>
      <c r="E521" s="141"/>
      <c r="F521" s="141"/>
      <c r="G521" s="717">
        <f>ROUND(G520/G513,6)</f>
        <v>3.2258000000000002E-2</v>
      </c>
      <c r="H521" s="141"/>
      <c r="I521" s="141"/>
      <c r="J521" s="141"/>
      <c r="K521" s="803" t="s">
        <v>398</v>
      </c>
      <c r="L521" s="216"/>
      <c r="M521" s="216"/>
      <c r="N521" s="549"/>
      <c r="O521" s="510"/>
      <c r="P521" s="549"/>
      <c r="Q521" s="202"/>
      <c r="R521" s="219"/>
      <c r="S521" s="219"/>
      <c r="T521" s="216"/>
      <c r="U521" s="216"/>
      <c r="V521" s="216"/>
      <c r="W521" s="216"/>
      <c r="X521" s="994"/>
      <c r="Y521" s="992"/>
    </row>
    <row r="522" spans="1:31" hidden="1" outlineLevel="1" x14ac:dyDescent="0.2">
      <c r="A522" s="141"/>
      <c r="B522" s="141"/>
      <c r="C522" s="803"/>
      <c r="D522" s="141"/>
      <c r="E522" s="141"/>
      <c r="F522" s="141"/>
      <c r="G522" s="540">
        <f>ROUND(IF(NOT(G506=0),G521*ROUND(K506,2),0),2)</f>
        <v>0</v>
      </c>
      <c r="H522" s="141"/>
      <c r="I522" s="141"/>
      <c r="J522" s="141"/>
      <c r="K522" s="803" t="s">
        <v>413</v>
      </c>
      <c r="L522" s="216"/>
      <c r="M522" s="216"/>
      <c r="N522" s="510"/>
      <c r="O522" s="510"/>
      <c r="P522" s="510"/>
      <c r="Q522" s="202"/>
      <c r="R522" s="219"/>
      <c r="S522" s="219"/>
      <c r="T522" s="216"/>
      <c r="U522" s="216"/>
      <c r="V522" s="216"/>
      <c r="W522" s="216"/>
      <c r="X522" s="994"/>
      <c r="Y522" s="992"/>
    </row>
    <row r="523" spans="1:31" hidden="1" outlineLevel="1" x14ac:dyDescent="0.2">
      <c r="A523" s="141"/>
      <c r="B523" s="141"/>
      <c r="C523" s="141"/>
      <c r="D523" s="141"/>
      <c r="E523" s="141"/>
      <c r="F523" s="141"/>
      <c r="G523" s="141"/>
      <c r="H523" s="141"/>
      <c r="I523" s="141"/>
      <c r="J523" s="141"/>
      <c r="K523" s="141"/>
      <c r="L523" s="216"/>
      <c r="M523" s="216"/>
      <c r="N523" s="219"/>
      <c r="O523" s="219"/>
      <c r="P523" s="219"/>
      <c r="Q523" s="202"/>
      <c r="R523" s="219"/>
      <c r="S523" s="219"/>
      <c r="T523" s="216"/>
      <c r="U523" s="216"/>
      <c r="V523" s="216"/>
      <c r="W523" s="216"/>
      <c r="X523" s="994"/>
      <c r="Y523" s="992"/>
    </row>
    <row r="524" spans="1:31" hidden="1" outlineLevel="1" x14ac:dyDescent="0.2">
      <c r="A524" s="141"/>
      <c r="B524" s="141"/>
      <c r="C524" s="141"/>
      <c r="D524" s="141"/>
      <c r="E524" s="141"/>
      <c r="F524" s="141"/>
      <c r="G524" s="716">
        <f>IF(G519="No",G516,G521)</f>
        <v>3.2258000000000002E-2</v>
      </c>
      <c r="H524" s="721"/>
      <c r="I524" s="716">
        <f>IF(G519="No",I516,0)</f>
        <v>0</v>
      </c>
      <c r="J524" s="721"/>
      <c r="K524" s="141" t="s">
        <v>492</v>
      </c>
      <c r="L524" s="216"/>
      <c r="M524" s="216"/>
      <c r="N524" s="613"/>
      <c r="O524" s="549"/>
      <c r="P524" s="613"/>
      <c r="Q524" s="549"/>
      <c r="R524" s="219"/>
      <c r="S524" s="219"/>
      <c r="T524" s="216"/>
      <c r="U524" s="216"/>
      <c r="V524" s="216"/>
      <c r="W524" s="216"/>
      <c r="X524" s="994"/>
      <c r="Y524" s="992"/>
    </row>
    <row r="525" spans="1:31" hidden="1" outlineLevel="1" x14ac:dyDescent="0.2">
      <c r="A525" s="141"/>
      <c r="B525" s="141"/>
      <c r="C525" s="141"/>
      <c r="D525" s="141"/>
      <c r="E525" s="141"/>
      <c r="F525" s="141"/>
      <c r="G525" s="603"/>
      <c r="H525" s="520"/>
      <c r="I525" s="603"/>
      <c r="J525" s="520"/>
      <c r="K525" s="141"/>
      <c r="L525" s="216"/>
      <c r="M525" s="516"/>
      <c r="N525" s="551"/>
      <c r="O525" s="551"/>
      <c r="P525" s="551"/>
      <c r="Q525" s="551"/>
      <c r="R525" s="219"/>
      <c r="S525" s="219"/>
      <c r="T525" s="216"/>
      <c r="U525" s="216"/>
      <c r="V525" s="216"/>
      <c r="W525" s="216"/>
      <c r="X525" s="994"/>
      <c r="Y525" s="992"/>
    </row>
    <row r="526" spans="1:31" ht="13.5" collapsed="1" thickBot="1" x14ac:dyDescent="0.25">
      <c r="A526" s="141"/>
      <c r="B526" s="141"/>
      <c r="C526" s="141"/>
      <c r="D526" s="141"/>
      <c r="E526" s="141"/>
      <c r="F526" s="141"/>
      <c r="G526" s="1663">
        <f>G517+G522</f>
        <v>0</v>
      </c>
      <c r="H526" s="1663"/>
      <c r="I526" s="1663">
        <f>I517+I522</f>
        <v>0</v>
      </c>
      <c r="J526" s="1663"/>
      <c r="K526" s="832" t="s">
        <v>399</v>
      </c>
      <c r="L526" s="216"/>
      <c r="M526" s="216"/>
      <c r="N526" s="141"/>
      <c r="O526" s="216"/>
      <c r="P526" s="216"/>
      <c r="Q526" s="141"/>
      <c r="R526" s="219"/>
      <c r="S526" s="219"/>
      <c r="T526" s="216"/>
      <c r="U526" s="216"/>
      <c r="V526" s="216"/>
      <c r="W526" s="216"/>
      <c r="X526" s="994"/>
      <c r="Y526" s="992"/>
    </row>
    <row r="527" spans="1:31" ht="15.75" thickTop="1" x14ac:dyDescent="0.25">
      <c r="G527" s="842" t="str">
        <f>IF($AD513&gt;0,"ERROR ALERT:  The date range in your service start/end dates is NOT consistent with the OTO start/end dates ('OTO Terms' above), please check your dates and re-enter.","")</f>
        <v/>
      </c>
      <c r="R527" s="254"/>
      <c r="S527" s="254"/>
    </row>
    <row r="528" spans="1:31" ht="15" x14ac:dyDescent="0.25">
      <c r="B528" s="210" t="s">
        <v>594</v>
      </c>
      <c r="R528" s="254"/>
      <c r="S528" s="254"/>
    </row>
    <row r="529" spans="1:31" x14ac:dyDescent="0.2">
      <c r="R529" s="1660" t="s">
        <v>547</v>
      </c>
      <c r="S529" s="1660"/>
    </row>
    <row r="530" spans="1:31" hidden="1" outlineLevel="1" x14ac:dyDescent="0.2">
      <c r="A530" s="141"/>
      <c r="B530" s="141" t="s">
        <v>493</v>
      </c>
      <c r="C530" s="141"/>
      <c r="D530" s="597">
        <f>IF(NOT(G539=0),IF(G552="NO",(YEAR(I539)-YEAR(G539))*12+MONTH(I539)-MONTH(G539)+IF(G543="no",1,0)+IF(I543="yes",-1,0),0),0)</f>
        <v>0</v>
      </c>
      <c r="E530" s="141"/>
      <c r="F530" s="141"/>
      <c r="G530" s="141"/>
      <c r="H530" s="141"/>
      <c r="I530" s="141"/>
      <c r="J530" s="141"/>
      <c r="K530" s="141"/>
      <c r="L530" s="141"/>
      <c r="M530" s="499"/>
      <c r="N530" s="610"/>
      <c r="O530" s="254"/>
      <c r="P530" s="610"/>
      <c r="Q530" s="219"/>
      <c r="R530" s="219"/>
      <c r="S530" s="219"/>
      <c r="T530" s="216"/>
      <c r="U530" s="141"/>
      <c r="V530" s="216"/>
      <c r="W530" s="216"/>
      <c r="X530" s="994"/>
      <c r="Y530" s="992"/>
    </row>
    <row r="531" spans="1:31" hidden="1" outlineLevel="1" x14ac:dyDescent="0.2">
      <c r="A531" s="141"/>
      <c r="B531" s="141" t="s">
        <v>494</v>
      </c>
      <c r="C531" s="141"/>
      <c r="D531" s="598">
        <f>IF(NOT(G539=0),G557,0)</f>
        <v>0</v>
      </c>
      <c r="E531" s="141"/>
      <c r="F531" s="141"/>
      <c r="G531" s="141"/>
      <c r="H531" s="141"/>
      <c r="I531" s="141"/>
      <c r="J531" s="141"/>
      <c r="K531" s="141"/>
      <c r="L531" s="141"/>
      <c r="M531" s="499"/>
      <c r="N531" s="611"/>
      <c r="O531" s="219"/>
      <c r="P531" s="611"/>
      <c r="Q531" s="219"/>
      <c r="R531" s="219"/>
      <c r="S531" s="219"/>
      <c r="T531" s="216"/>
      <c r="U531" s="141"/>
      <c r="V531" s="216"/>
      <c r="W531" s="216"/>
      <c r="X531" s="994"/>
      <c r="Y531" s="992"/>
    </row>
    <row r="532" spans="1:31" hidden="1" outlineLevel="1" x14ac:dyDescent="0.2">
      <c r="A532" s="141"/>
      <c r="B532" s="141" t="s">
        <v>495</v>
      </c>
      <c r="C532" s="141"/>
      <c r="D532" s="599">
        <f>IF(NOT(G539=0),I557,0)</f>
        <v>0</v>
      </c>
      <c r="E532" s="141"/>
      <c r="F532" s="141"/>
      <c r="G532" s="141"/>
      <c r="H532" s="141"/>
      <c r="I532" s="141"/>
      <c r="J532" s="141"/>
      <c r="K532" s="141"/>
      <c r="L532" s="141"/>
      <c r="M532" s="499"/>
      <c r="N532" s="611"/>
      <c r="O532" s="219"/>
      <c r="P532" s="611"/>
      <c r="Q532" s="219"/>
      <c r="R532" s="219"/>
      <c r="S532" s="219"/>
      <c r="T532" s="216"/>
      <c r="U532" s="141"/>
      <c r="V532" s="216"/>
      <c r="W532" s="216"/>
      <c r="X532" s="994"/>
      <c r="Y532" s="992"/>
    </row>
    <row r="533" spans="1:31" hidden="1" outlineLevel="1" x14ac:dyDescent="0.2">
      <c r="A533" s="141"/>
      <c r="B533" s="219" t="s">
        <v>496</v>
      </c>
      <c r="C533" s="141"/>
      <c r="D533" s="597">
        <f>SUM(D530:D532)</f>
        <v>0</v>
      </c>
      <c r="E533" s="141"/>
      <c r="F533" s="141"/>
      <c r="G533" s="141"/>
      <c r="H533" s="141"/>
      <c r="I533" s="141"/>
      <c r="J533" s="141"/>
      <c r="K533" s="141"/>
      <c r="L533" s="141"/>
      <c r="M533" s="499"/>
      <c r="N533" s="610"/>
      <c r="O533" s="219"/>
      <c r="P533" s="610"/>
      <c r="Q533" s="219"/>
      <c r="R533" s="219"/>
      <c r="S533" s="219"/>
      <c r="T533" s="216"/>
      <c r="U533" s="141"/>
      <c r="V533" s="216"/>
      <c r="W533" s="216"/>
      <c r="X533" s="994"/>
      <c r="Y533" s="992"/>
    </row>
    <row r="534" spans="1:31" hidden="1" outlineLevel="1" x14ac:dyDescent="0.2">
      <c r="A534" s="216"/>
      <c r="B534" s="219"/>
      <c r="C534" s="216"/>
      <c r="D534" s="601"/>
      <c r="E534" s="216"/>
      <c r="F534" s="216"/>
      <c r="G534" s="216"/>
      <c r="H534" s="216"/>
      <c r="I534" s="216"/>
      <c r="J534" s="216"/>
      <c r="K534" s="216"/>
      <c r="L534" s="216"/>
      <c r="M534" s="499"/>
      <c r="N534" s="216"/>
      <c r="O534" s="216"/>
      <c r="P534" s="601"/>
      <c r="Q534" s="216"/>
      <c r="R534" s="219"/>
      <c r="S534" s="254"/>
      <c r="T534" s="216"/>
      <c r="U534" s="216"/>
      <c r="V534" s="216"/>
      <c r="W534" s="216"/>
      <c r="X534" s="994"/>
      <c r="Y534" s="992"/>
    </row>
    <row r="535" spans="1:31" hidden="1" outlineLevel="1" x14ac:dyDescent="0.2">
      <c r="A535" s="141"/>
      <c r="B535" s="141"/>
      <c r="C535" s="141"/>
      <c r="D535" s="141"/>
      <c r="E535" s="216"/>
      <c r="F535" s="216"/>
      <c r="G535" s="141"/>
      <c r="H535" s="141"/>
      <c r="I535" s="141"/>
      <c r="J535" s="141"/>
      <c r="K535" s="141"/>
      <c r="L535" s="141"/>
      <c r="M535" s="141"/>
      <c r="N535" s="141"/>
      <c r="O535" s="141"/>
      <c r="P535" s="141"/>
      <c r="Q535" s="141"/>
      <c r="R535" s="219"/>
      <c r="S535" s="254"/>
      <c r="T535" s="216"/>
      <c r="U535" s="141"/>
      <c r="V535" s="216"/>
      <c r="W535" s="216"/>
      <c r="X535" s="994"/>
      <c r="Y535" s="992"/>
    </row>
    <row r="536" spans="1:31" collapsed="1" x14ac:dyDescent="0.2">
      <c r="A536" s="141"/>
      <c r="B536" s="219"/>
      <c r="C536" s="141"/>
      <c r="D536" s="216"/>
      <c r="E536" s="612"/>
      <c r="F536" s="216"/>
      <c r="G536" s="1664"/>
      <c r="H536" s="1664"/>
      <c r="I536" s="141"/>
      <c r="J536" s="141"/>
      <c r="K536" s="141"/>
      <c r="L536" s="216"/>
      <c r="M536" s="216"/>
      <c r="N536" s="590" t="s">
        <v>545</v>
      </c>
      <c r="O536" s="591" t="s">
        <v>579</v>
      </c>
      <c r="P536" s="590" t="s">
        <v>545</v>
      </c>
      <c r="Q536" s="591" t="s">
        <v>579</v>
      </c>
      <c r="R536" s="590" t="s">
        <v>545</v>
      </c>
      <c r="S536" s="591" t="s">
        <v>579</v>
      </c>
      <c r="T536" s="216"/>
      <c r="U536" s="141"/>
      <c r="V536" s="216"/>
      <c r="W536" s="216"/>
      <c r="X536" s="994"/>
      <c r="Y536" s="992"/>
      <c r="Z536" s="994" t="s">
        <v>581</v>
      </c>
      <c r="AA536" s="1074">
        <f>IF(G539&gt;0,IF(MONTH(G539)&gt;3,DATE(YEAR(G539)+1,3,31),DATE(YEAR(G539),3,31)),0)</f>
        <v>0</v>
      </c>
    </row>
    <row r="537" spans="1:31" x14ac:dyDescent="0.2">
      <c r="A537" s="141"/>
      <c r="B537" s="141"/>
      <c r="C537" s="141"/>
      <c r="D537" s="141"/>
      <c r="E537" s="141"/>
      <c r="F537" s="141"/>
      <c r="G537" s="494" t="str">
        <f>IF(AD540&gt;0,"WARNING: Generally, you may not cross a CLBC March 31 fiscal year end, please re-check your dates.","")</f>
        <v/>
      </c>
      <c r="H537" s="141"/>
      <c r="I537" s="141"/>
      <c r="J537" s="141"/>
      <c r="K537" s="141"/>
      <c r="L537" s="216"/>
      <c r="M537" s="216"/>
      <c r="N537" s="503" t="s">
        <v>510</v>
      </c>
      <c r="O537" s="504" t="s">
        <v>510</v>
      </c>
      <c r="P537" s="503" t="s">
        <v>510</v>
      </c>
      <c r="Q537" s="504" t="s">
        <v>510</v>
      </c>
      <c r="R537" s="503" t="s">
        <v>510</v>
      </c>
      <c r="S537" s="504" t="s">
        <v>510</v>
      </c>
      <c r="T537" s="216"/>
      <c r="U537" s="141"/>
      <c r="V537" s="216"/>
      <c r="W537" s="216"/>
      <c r="X537" s="994"/>
      <c r="Y537" s="992"/>
      <c r="Z537" s="994" t="s">
        <v>582</v>
      </c>
      <c r="AA537" s="1074">
        <f>IF(AA536&gt;=$L$20,$L$20,AA536)</f>
        <v>0</v>
      </c>
    </row>
    <row r="538" spans="1:31" ht="38.25" customHeight="1" x14ac:dyDescent="0.2">
      <c r="A538" s="140"/>
      <c r="B538" s="792" t="s">
        <v>464</v>
      </c>
      <c r="C538" s="1543" t="s">
        <v>351</v>
      </c>
      <c r="D538" s="1543"/>
      <c r="E538" s="587" t="s">
        <v>481</v>
      </c>
      <c r="F538" s="587" t="s">
        <v>482</v>
      </c>
      <c r="G538" s="1522" t="s">
        <v>519</v>
      </c>
      <c r="H538" s="1523"/>
      <c r="I538" s="1522" t="s">
        <v>520</v>
      </c>
      <c r="J538" s="1523" t="s">
        <v>520</v>
      </c>
      <c r="K538" s="833" t="s">
        <v>387</v>
      </c>
      <c r="L538" s="831" t="s">
        <v>483</v>
      </c>
      <c r="M538" s="831" t="s">
        <v>388</v>
      </c>
      <c r="N538" s="1543" t="s">
        <v>389</v>
      </c>
      <c r="O538" s="1543"/>
      <c r="P538" s="1543" t="s">
        <v>390</v>
      </c>
      <c r="Q538" s="1543"/>
      <c r="R538" s="1543" t="s">
        <v>578</v>
      </c>
      <c r="S538" s="1543"/>
      <c r="T538" s="286"/>
      <c r="U538" s="140"/>
      <c r="V538" s="286"/>
      <c r="W538" s="286"/>
      <c r="X538" s="1002"/>
      <c r="Y538" s="1105"/>
    </row>
    <row r="539" spans="1:31" x14ac:dyDescent="0.2">
      <c r="A539" s="141"/>
      <c r="B539" s="666"/>
      <c r="C539" s="1547" t="s">
        <v>414</v>
      </c>
      <c r="D539" s="1547"/>
      <c r="E539" s="808" t="s">
        <v>484</v>
      </c>
      <c r="F539" s="670"/>
      <c r="G539" s="1665"/>
      <c r="H539" s="1667"/>
      <c r="I539" s="1665"/>
      <c r="J539" s="1666"/>
      <c r="K539" s="671"/>
      <c r="L539" s="671"/>
      <c r="M539" s="588">
        <f>ROUND(IF(F539="Y",L539,IF(G552="yes",G559,ROUND(K539,2)*D530+G559+I559)),2)</f>
        <v>0</v>
      </c>
      <c r="N539" s="1661" t="s">
        <v>510</v>
      </c>
      <c r="O539" s="1662"/>
      <c r="P539" s="1661" t="s">
        <v>510</v>
      </c>
      <c r="Q539" s="1662"/>
      <c r="R539" s="1661" t="s">
        <v>510</v>
      </c>
      <c r="S539" s="1662"/>
      <c r="T539" s="216"/>
      <c r="U539" s="141"/>
      <c r="V539" s="216"/>
      <c r="W539" s="216"/>
      <c r="X539" s="994"/>
      <c r="Y539" s="992"/>
      <c r="AD539" s="1109" t="s">
        <v>617</v>
      </c>
      <c r="AE539" s="1109" t="s">
        <v>718</v>
      </c>
    </row>
    <row r="540" spans="1:31" hidden="1" outlineLevel="1" x14ac:dyDescent="0.2">
      <c r="A540" s="141"/>
      <c r="B540" s="141"/>
      <c r="C540" s="803"/>
      <c r="D540" s="141"/>
      <c r="E540" s="141"/>
      <c r="F540" s="141"/>
      <c r="G540" s="141">
        <f>G546</f>
        <v>31</v>
      </c>
      <c r="H540" s="141"/>
      <c r="I540" s="141">
        <f>I546</f>
        <v>31</v>
      </c>
      <c r="J540" s="141"/>
      <c r="K540" s="803" t="s">
        <v>391</v>
      </c>
      <c r="L540" s="216"/>
      <c r="M540" s="216"/>
      <c r="N540" s="141"/>
      <c r="O540" s="141"/>
      <c r="P540" s="141"/>
      <c r="Q540" s="141"/>
      <c r="R540" s="219"/>
      <c r="S540" s="508"/>
      <c r="T540" s="216"/>
      <c r="U540" s="141"/>
      <c r="V540" s="216"/>
      <c r="W540" s="216"/>
      <c r="X540" s="994"/>
      <c r="Y540" s="992"/>
      <c r="AD540" s="994">
        <f>IF(AND(G539&gt;0,I539&gt;0,I539&gt;$AA537),1,0)</f>
        <v>0</v>
      </c>
      <c r="AE540" s="994" t="s">
        <v>619</v>
      </c>
    </row>
    <row r="541" spans="1:31" hidden="1" outlineLevel="1" x14ac:dyDescent="0.2">
      <c r="A541" s="141"/>
      <c r="B541" s="141"/>
      <c r="C541" s="803"/>
      <c r="D541" s="141"/>
      <c r="E541" s="141"/>
      <c r="F541" s="141"/>
      <c r="G541" s="141">
        <v>1</v>
      </c>
      <c r="H541" s="141"/>
      <c r="I541" s="141">
        <v>1</v>
      </c>
      <c r="J541" s="141"/>
      <c r="K541" s="803" t="s">
        <v>392</v>
      </c>
      <c r="L541" s="216"/>
      <c r="M541" s="216"/>
      <c r="N541" s="141"/>
      <c r="O541" s="141"/>
      <c r="P541" s="141"/>
      <c r="Q541" s="141"/>
      <c r="R541" s="219"/>
      <c r="S541" s="508"/>
      <c r="T541" s="216"/>
      <c r="U541" s="141"/>
      <c r="V541" s="216"/>
      <c r="W541" s="216"/>
      <c r="X541" s="994"/>
      <c r="Y541" s="992"/>
    </row>
    <row r="542" spans="1:31" hidden="1" outlineLevel="1" x14ac:dyDescent="0.2">
      <c r="A542" s="141"/>
      <c r="B542" s="141"/>
      <c r="C542" s="803"/>
      <c r="D542" s="141"/>
      <c r="E542" s="141"/>
      <c r="F542" s="141"/>
      <c r="G542" s="141">
        <f>DAY(G539)</f>
        <v>0</v>
      </c>
      <c r="H542" s="141"/>
      <c r="I542" s="141">
        <f>DAY(I539)</f>
        <v>0</v>
      </c>
      <c r="J542" s="141"/>
      <c r="K542" s="803" t="s">
        <v>393</v>
      </c>
      <c r="L542" s="216"/>
      <c r="M542" s="216"/>
      <c r="N542" s="141"/>
      <c r="O542" s="141"/>
      <c r="P542" s="141"/>
      <c r="Q542" s="141"/>
      <c r="R542" s="219"/>
      <c r="S542" s="508"/>
      <c r="T542" s="216"/>
      <c r="U542" s="141"/>
      <c r="V542" s="216"/>
      <c r="W542" s="216"/>
      <c r="X542" s="994"/>
      <c r="Y542" s="992"/>
      <c r="AD542" s="1109" t="s">
        <v>617</v>
      </c>
      <c r="AE542" s="1109" t="s">
        <v>719</v>
      </c>
    </row>
    <row r="543" spans="1:31" hidden="1" outlineLevel="1" x14ac:dyDescent="0.2">
      <c r="A543" s="141"/>
      <c r="B543" s="141"/>
      <c r="C543" s="803"/>
      <c r="D543" s="141"/>
      <c r="E543" s="141"/>
      <c r="F543" s="141"/>
      <c r="G543" s="516" t="str">
        <f>IF(G542=G541,"No","Yes")</f>
        <v>Yes</v>
      </c>
      <c r="H543" s="141"/>
      <c r="I543" s="516" t="str">
        <f>IF(I542=I540,"No","Yes")</f>
        <v>Yes</v>
      </c>
      <c r="J543" s="141"/>
      <c r="K543" s="803" t="s">
        <v>394</v>
      </c>
      <c r="L543" s="216"/>
      <c r="M543" s="216"/>
      <c r="N543" s="516"/>
      <c r="O543" s="516"/>
      <c r="P543" s="516"/>
      <c r="Q543" s="516"/>
      <c r="R543" s="219"/>
      <c r="S543" s="219"/>
      <c r="T543" s="216"/>
      <c r="U543" s="216"/>
      <c r="V543" s="216"/>
      <c r="W543" s="216"/>
      <c r="X543" s="994"/>
      <c r="Y543" s="992"/>
      <c r="AD543" s="994">
        <f>IF(OR(G539&lt;$L$18,G539&gt;$L$20),1,0)</f>
        <v>0</v>
      </c>
      <c r="AE543" s="994" t="s">
        <v>618</v>
      </c>
    </row>
    <row r="544" spans="1:31" hidden="1" outlineLevel="1" x14ac:dyDescent="0.2">
      <c r="A544" s="141"/>
      <c r="B544" s="141"/>
      <c r="C544" s="803"/>
      <c r="D544" s="141"/>
      <c r="E544" s="141"/>
      <c r="F544" s="141"/>
      <c r="G544" s="219"/>
      <c r="H544" s="141"/>
      <c r="I544" s="219"/>
      <c r="J544" s="141"/>
      <c r="K544" s="803"/>
      <c r="L544" s="216"/>
      <c r="M544" s="216"/>
      <c r="N544" s="34"/>
      <c r="O544" s="34"/>
      <c r="P544" s="34"/>
      <c r="R544" s="219"/>
      <c r="S544" s="219"/>
      <c r="T544" s="216"/>
      <c r="U544" s="216"/>
      <c r="V544" s="216"/>
      <c r="W544" s="216"/>
      <c r="X544" s="994"/>
      <c r="Y544" s="992"/>
      <c r="AD544" s="994">
        <f>IF(OR(I539&lt;$L$18,I539&gt;$L$20),1,0)</f>
        <v>0</v>
      </c>
      <c r="AE544" s="994" t="s">
        <v>705</v>
      </c>
    </row>
    <row r="545" spans="1:31" hidden="1" outlineLevel="1" x14ac:dyDescent="0.2">
      <c r="A545" s="141"/>
      <c r="B545" s="141"/>
      <c r="C545" s="803"/>
      <c r="D545" s="141"/>
      <c r="E545" s="141"/>
      <c r="F545" s="141"/>
      <c r="G545" s="518">
        <f>EOMONTH(G539,0)</f>
        <v>31</v>
      </c>
      <c r="H545" s="141"/>
      <c r="I545" s="518">
        <f>EOMONTH(I539,0)</f>
        <v>31</v>
      </c>
      <c r="J545" s="141"/>
      <c r="K545" s="803" t="s">
        <v>395</v>
      </c>
      <c r="L545" s="216"/>
      <c r="M545" s="216"/>
      <c r="N545" s="518"/>
      <c r="O545" s="518"/>
      <c r="P545" s="518"/>
      <c r="Q545" s="518"/>
      <c r="R545" s="219"/>
      <c r="S545" s="219"/>
      <c r="T545" s="216"/>
      <c r="U545" s="216"/>
      <c r="V545" s="216"/>
      <c r="W545" s="216"/>
      <c r="X545" s="994"/>
      <c r="Y545" s="992"/>
      <c r="AD545" s="994"/>
      <c r="AE545" s="994"/>
    </row>
    <row r="546" spans="1:31" ht="13.5" hidden="1" outlineLevel="1" thickBot="1" x14ac:dyDescent="0.25">
      <c r="A546" s="141"/>
      <c r="B546" s="141"/>
      <c r="C546" s="803"/>
      <c r="D546" s="141"/>
      <c r="E546" s="141"/>
      <c r="F546" s="141"/>
      <c r="G546" s="141">
        <f>DAY(G545)</f>
        <v>31</v>
      </c>
      <c r="H546" s="141"/>
      <c r="I546" s="141">
        <f>DAY(I545)</f>
        <v>31</v>
      </c>
      <c r="J546" s="141"/>
      <c r="K546" s="803" t="s">
        <v>396</v>
      </c>
      <c r="L546" s="216"/>
      <c r="M546" s="216"/>
      <c r="N546" s="141"/>
      <c r="O546" s="141"/>
      <c r="P546" s="141"/>
      <c r="Q546" s="141"/>
      <c r="R546" s="219"/>
      <c r="S546" s="219"/>
      <c r="T546" s="216"/>
      <c r="U546" s="216"/>
      <c r="V546" s="216"/>
      <c r="W546" s="216"/>
      <c r="X546" s="994"/>
      <c r="Y546" s="992"/>
      <c r="AD546" s="1112">
        <f>IF(AND(G539&gt;0,I539&gt;0),SUM(AD543:AD545),0)</f>
        <v>0</v>
      </c>
      <c r="AE546" s="994" t="s">
        <v>620</v>
      </c>
    </row>
    <row r="547" spans="1:31" hidden="1" outlineLevel="1" x14ac:dyDescent="0.2">
      <c r="A547" s="141"/>
      <c r="B547" s="141"/>
      <c r="C547" s="803"/>
      <c r="D547" s="141"/>
      <c r="E547" s="141"/>
      <c r="F547" s="141"/>
      <c r="G547" s="520">
        <f>G545-G539+1</f>
        <v>32</v>
      </c>
      <c r="H547" s="141"/>
      <c r="I547" s="520">
        <f>I545-I539</f>
        <v>31</v>
      </c>
      <c r="J547" s="141"/>
      <c r="K547" s="803" t="s">
        <v>628</v>
      </c>
      <c r="L547" s="216"/>
      <c r="M547" s="216"/>
      <c r="N547" s="202"/>
      <c r="O547" s="202"/>
      <c r="P547" s="202"/>
      <c r="Q547" s="202"/>
      <c r="R547" s="219"/>
      <c r="S547" s="219"/>
      <c r="T547" s="216"/>
      <c r="U547" s="216"/>
      <c r="V547" s="216"/>
      <c r="W547" s="216"/>
      <c r="X547" s="994"/>
      <c r="Y547" s="992"/>
    </row>
    <row r="548" spans="1:31" hidden="1" outlineLevel="1" x14ac:dyDescent="0.2">
      <c r="A548" s="141"/>
      <c r="B548" s="141"/>
      <c r="C548" s="803"/>
      <c r="D548" s="141"/>
      <c r="E548" s="141"/>
      <c r="F548" s="141"/>
      <c r="G548" s="141">
        <f>G546-G547</f>
        <v>-1</v>
      </c>
      <c r="H548" s="141"/>
      <c r="I548" s="141">
        <f>I546-I547</f>
        <v>0</v>
      </c>
      <c r="J548" s="141"/>
      <c r="K548" s="803" t="s">
        <v>397</v>
      </c>
      <c r="L548" s="216"/>
      <c r="M548" s="216"/>
      <c r="N548" s="202"/>
      <c r="O548" s="202"/>
      <c r="P548" s="202"/>
      <c r="Q548" s="202"/>
      <c r="R548" s="219"/>
      <c r="S548" s="219"/>
      <c r="T548" s="216"/>
      <c r="U548" s="216"/>
      <c r="V548" s="216"/>
      <c r="W548" s="216"/>
      <c r="X548" s="994"/>
      <c r="Y548" s="992"/>
    </row>
    <row r="549" spans="1:31" hidden="1" outlineLevel="1" x14ac:dyDescent="0.2">
      <c r="A549" s="141"/>
      <c r="B549" s="141"/>
      <c r="C549" s="803"/>
      <c r="D549" s="141"/>
      <c r="E549" s="141"/>
      <c r="F549" s="141"/>
      <c r="G549" s="718">
        <f>IF(G543="Yes",ROUND(G547/G546,6),0)</f>
        <v>1.0322579999999999</v>
      </c>
      <c r="H549" s="719"/>
      <c r="I549" s="718">
        <f>IF(I543="Yes",ROUND(I548/I546,6),0)</f>
        <v>0</v>
      </c>
      <c r="J549" s="589"/>
      <c r="K549" s="803" t="s">
        <v>398</v>
      </c>
      <c r="L549" s="216"/>
      <c r="M549" s="216"/>
      <c r="N549" s="613"/>
      <c r="O549" s="613"/>
      <c r="P549" s="613"/>
      <c r="Q549" s="613"/>
      <c r="R549" s="219"/>
      <c r="S549" s="219"/>
      <c r="T549" s="216"/>
      <c r="U549" s="216"/>
      <c r="V549" s="216"/>
      <c r="W549" s="216"/>
      <c r="X549" s="994"/>
      <c r="Y549" s="992"/>
    </row>
    <row r="550" spans="1:31" hidden="1" outlineLevel="1" x14ac:dyDescent="0.2">
      <c r="A550" s="141"/>
      <c r="B550" s="141"/>
      <c r="C550" s="803"/>
      <c r="D550" s="141"/>
      <c r="E550" s="141"/>
      <c r="F550" s="141"/>
      <c r="G550" s="592">
        <f>IF(G552="Yes",0,ROUND(ROUND(K539,2)*G549,2))</f>
        <v>0</v>
      </c>
      <c r="H550" s="141"/>
      <c r="I550" s="592">
        <f>IF(G552="Yes",0,ROUND(ROUND(K539,2)*I549,2))</f>
        <v>0</v>
      </c>
      <c r="J550" s="141"/>
      <c r="K550" s="803" t="s">
        <v>409</v>
      </c>
      <c r="L550" s="216"/>
      <c r="M550" s="216"/>
      <c r="N550" s="510"/>
      <c r="O550" s="510"/>
      <c r="P550" s="510"/>
      <c r="Q550" s="510"/>
      <c r="R550" s="219"/>
      <c r="S550" s="219"/>
      <c r="T550" s="216"/>
      <c r="U550" s="216"/>
      <c r="V550" s="216"/>
      <c r="W550" s="216"/>
      <c r="X550" s="994"/>
      <c r="Y550" s="992"/>
    </row>
    <row r="551" spans="1:31" hidden="1" outlineLevel="1" x14ac:dyDescent="0.2">
      <c r="A551" s="141"/>
      <c r="B551" s="141"/>
      <c r="C551" s="803"/>
      <c r="D551" s="141"/>
      <c r="E551" s="141"/>
      <c r="F551" s="141"/>
      <c r="G551" s="141"/>
      <c r="H551" s="141"/>
      <c r="I551" s="141"/>
      <c r="J551" s="141"/>
      <c r="K551" s="803"/>
      <c r="L551" s="216"/>
      <c r="M551" s="216"/>
      <c r="N551" s="219"/>
      <c r="O551" s="219"/>
      <c r="P551" s="219"/>
      <c r="Q551" s="202"/>
      <c r="R551" s="219"/>
      <c r="S551" s="219"/>
      <c r="T551" s="216"/>
      <c r="U551" s="216"/>
      <c r="V551" s="216"/>
      <c r="W551" s="216"/>
      <c r="X551" s="994"/>
      <c r="Y551" s="992"/>
    </row>
    <row r="552" spans="1:31" hidden="1" outlineLevel="1" x14ac:dyDescent="0.2">
      <c r="A552" s="141"/>
      <c r="B552" s="141"/>
      <c r="C552" s="803"/>
      <c r="D552" s="141"/>
      <c r="E552" s="141"/>
      <c r="F552" s="141"/>
      <c r="G552" s="542" t="str">
        <f>IF(AND(YEAR(G539)=YEAR(I539),MONTH(G539)=MONTH(I539),G543="YES",I543="YES"),"YES","NO")</f>
        <v>YES</v>
      </c>
      <c r="H552" s="141"/>
      <c r="I552" s="141"/>
      <c r="J552" s="141"/>
      <c r="K552" s="803" t="s">
        <v>410</v>
      </c>
      <c r="L552" s="216"/>
      <c r="M552" s="216"/>
      <c r="N552" s="544"/>
      <c r="O552" s="510"/>
      <c r="P552" s="544"/>
      <c r="Q552" s="202"/>
      <c r="R552" s="219"/>
      <c r="S552" s="219"/>
      <c r="T552" s="216"/>
      <c r="U552" s="216"/>
      <c r="V552" s="216"/>
      <c r="W552" s="216"/>
      <c r="X552" s="994"/>
      <c r="Y552" s="992"/>
    </row>
    <row r="553" spans="1:31" hidden="1" outlineLevel="1" x14ac:dyDescent="0.2">
      <c r="A553" s="141"/>
      <c r="B553" s="141"/>
      <c r="C553" s="803"/>
      <c r="D553" s="141"/>
      <c r="E553" s="141"/>
      <c r="F553" s="141"/>
      <c r="G553" s="141">
        <f>IF(G552="yes",I539-G539+1,0)</f>
        <v>1</v>
      </c>
      <c r="H553" s="141"/>
      <c r="I553" s="141"/>
      <c r="J553" s="141"/>
      <c r="K553" s="803" t="s">
        <v>411</v>
      </c>
      <c r="L553" s="216"/>
      <c r="M553" s="216"/>
      <c r="N553" s="202"/>
      <c r="O553" s="510"/>
      <c r="P553" s="202"/>
      <c r="Q553" s="202"/>
      <c r="R553" s="219"/>
      <c r="S553" s="219"/>
      <c r="T553" s="216"/>
      <c r="U553" s="216"/>
      <c r="V553" s="216"/>
      <c r="W553" s="216"/>
      <c r="X553" s="994"/>
      <c r="Y553" s="992"/>
    </row>
    <row r="554" spans="1:31" hidden="1" outlineLevel="1" x14ac:dyDescent="0.2">
      <c r="A554" s="141"/>
      <c r="B554" s="141"/>
      <c r="C554" s="803"/>
      <c r="D554" s="141"/>
      <c r="E554" s="141"/>
      <c r="F554" s="141"/>
      <c r="G554" s="717">
        <f>ROUND(G553/G546,6)</f>
        <v>3.2258000000000002E-2</v>
      </c>
      <c r="H554" s="141"/>
      <c r="I554" s="141"/>
      <c r="J554" s="141"/>
      <c r="K554" s="803" t="s">
        <v>398</v>
      </c>
      <c r="L554" s="216"/>
      <c r="M554" s="216"/>
      <c r="N554" s="549"/>
      <c r="O554" s="510"/>
      <c r="P554" s="549"/>
      <c r="Q554" s="202"/>
      <c r="R554" s="219"/>
      <c r="S554" s="219"/>
      <c r="T554" s="216"/>
      <c r="U554" s="216"/>
      <c r="V554" s="216"/>
      <c r="W554" s="216"/>
      <c r="X554" s="994"/>
      <c r="Y554" s="992"/>
    </row>
    <row r="555" spans="1:31" hidden="1" outlineLevel="1" x14ac:dyDescent="0.2">
      <c r="A555" s="141"/>
      <c r="B555" s="141"/>
      <c r="C555" s="803"/>
      <c r="D555" s="141"/>
      <c r="E555" s="141"/>
      <c r="F555" s="141"/>
      <c r="G555" s="540">
        <f>ROUND(IF(NOT(G539=0),G554*ROUND(K539,2),0),2)</f>
        <v>0</v>
      </c>
      <c r="H555" s="141"/>
      <c r="I555" s="141"/>
      <c r="J555" s="141"/>
      <c r="K555" s="803" t="s">
        <v>413</v>
      </c>
      <c r="L555" s="216"/>
      <c r="M555" s="216"/>
      <c r="N555" s="510"/>
      <c r="O555" s="510"/>
      <c r="P555" s="510"/>
      <c r="Q555" s="202"/>
      <c r="R555" s="219"/>
      <c r="S555" s="219"/>
      <c r="T555" s="216"/>
      <c r="U555" s="216"/>
      <c r="V555" s="216"/>
      <c r="W555" s="216"/>
      <c r="X555" s="994"/>
      <c r="Y555" s="992"/>
    </row>
    <row r="556" spans="1:31" hidden="1" outlineLevel="1" x14ac:dyDescent="0.2">
      <c r="A556" s="141"/>
      <c r="B556" s="141"/>
      <c r="C556" s="141"/>
      <c r="D556" s="141"/>
      <c r="E556" s="141"/>
      <c r="F556" s="141"/>
      <c r="G556" s="141"/>
      <c r="H556" s="141"/>
      <c r="I556" s="141"/>
      <c r="J556" s="141"/>
      <c r="K556" s="141"/>
      <c r="L556" s="216"/>
      <c r="M556" s="216"/>
      <c r="N556" s="219"/>
      <c r="O556" s="219"/>
      <c r="P556" s="219"/>
      <c r="Q556" s="202"/>
      <c r="R556" s="219"/>
      <c r="S556" s="219"/>
      <c r="T556" s="216"/>
      <c r="U556" s="216"/>
      <c r="V556" s="216"/>
      <c r="W556" s="216"/>
      <c r="X556" s="994"/>
      <c r="Y556" s="992"/>
    </row>
    <row r="557" spans="1:31" hidden="1" outlineLevel="1" x14ac:dyDescent="0.2">
      <c r="A557" s="141"/>
      <c r="B557" s="141"/>
      <c r="C557" s="141"/>
      <c r="D557" s="141"/>
      <c r="E557" s="141"/>
      <c r="F557" s="141"/>
      <c r="G557" s="716">
        <f>IF(G552="No",G549,G554)</f>
        <v>3.2258000000000002E-2</v>
      </c>
      <c r="H557" s="721"/>
      <c r="I557" s="716">
        <f>IF(G552="No",I549,0)</f>
        <v>0</v>
      </c>
      <c r="J557" s="141"/>
      <c r="K557" s="141" t="s">
        <v>492</v>
      </c>
      <c r="L557" s="216"/>
      <c r="M557" s="216"/>
      <c r="N557" s="613"/>
      <c r="O557" s="549"/>
      <c r="P557" s="613"/>
      <c r="Q557" s="549"/>
      <c r="R557" s="219"/>
      <c r="S557" s="219"/>
      <c r="T557" s="216"/>
      <c r="U557" s="216"/>
      <c r="V557" s="216"/>
      <c r="W557" s="216"/>
      <c r="X557" s="994"/>
      <c r="Y557" s="992"/>
    </row>
    <row r="558" spans="1:31" hidden="1" outlineLevel="1" x14ac:dyDescent="0.2">
      <c r="A558" s="141"/>
      <c r="B558" s="141"/>
      <c r="C558" s="141"/>
      <c r="D558" s="141"/>
      <c r="E558" s="141"/>
      <c r="F558" s="141"/>
      <c r="G558" s="603"/>
      <c r="H558" s="520"/>
      <c r="I558" s="603"/>
      <c r="J558" s="520"/>
      <c r="K558" s="141"/>
      <c r="L558" s="216"/>
      <c r="M558" s="516"/>
      <c r="N558" s="551"/>
      <c r="O558" s="551"/>
      <c r="P558" s="551"/>
      <c r="Q558" s="551"/>
      <c r="R558" s="219"/>
      <c r="S558" s="219"/>
      <c r="T558" s="216"/>
      <c r="U558" s="216"/>
      <c r="V558" s="216"/>
      <c r="W558" s="216"/>
      <c r="X558" s="994"/>
      <c r="Y558" s="992"/>
    </row>
    <row r="559" spans="1:31" ht="13.5" collapsed="1" thickBot="1" x14ac:dyDescent="0.25">
      <c r="A559" s="141"/>
      <c r="B559" s="141"/>
      <c r="C559" s="141"/>
      <c r="D559" s="141"/>
      <c r="E559" s="141"/>
      <c r="F559" s="141"/>
      <c r="G559" s="1663">
        <f>G550+G555</f>
        <v>0</v>
      </c>
      <c r="H559" s="1663"/>
      <c r="I559" s="1663">
        <f>I550+I555</f>
        <v>0</v>
      </c>
      <c r="J559" s="1663"/>
      <c r="K559" s="832" t="s">
        <v>399</v>
      </c>
      <c r="L559" s="216"/>
      <c r="M559" s="216"/>
      <c r="N559" s="141"/>
      <c r="O559" s="216"/>
      <c r="P559" s="216"/>
      <c r="Q559" s="141"/>
      <c r="R559" s="219"/>
      <c r="S559" s="219"/>
      <c r="T559" s="216"/>
      <c r="U559" s="216"/>
      <c r="V559" s="216"/>
      <c r="W559" s="216"/>
      <c r="X559" s="994"/>
      <c r="Y559" s="992"/>
    </row>
    <row r="560" spans="1:31" ht="15.75" thickTop="1" x14ac:dyDescent="0.25">
      <c r="G560" s="842" t="str">
        <f>IF($AD546&gt;0,"ERROR ALERT:  The date range in your service start/end dates is NOT consistent with the OTO start/end dates ('OTO Terms' above), please check your dates and re-enter.","")</f>
        <v/>
      </c>
      <c r="R560" s="254"/>
      <c r="S560" s="254"/>
    </row>
    <row r="561" spans="1:31" ht="15" x14ac:dyDescent="0.25">
      <c r="B561" s="210" t="s">
        <v>680</v>
      </c>
      <c r="R561" s="254"/>
      <c r="S561" s="254"/>
    </row>
    <row r="562" spans="1:31" x14ac:dyDescent="0.2">
      <c r="R562" s="1660" t="s">
        <v>547</v>
      </c>
      <c r="S562" s="1660"/>
    </row>
    <row r="563" spans="1:31" hidden="1" outlineLevel="1" x14ac:dyDescent="0.2">
      <c r="A563" s="141"/>
      <c r="B563" s="141" t="s">
        <v>493</v>
      </c>
      <c r="C563" s="141"/>
      <c r="D563" s="597">
        <f>IF(NOT(G572=0),IF(G585="NO",(YEAR(I572)-YEAR(G572))*12+MONTH(I572)-MONTH(G572)+IF(G576="no",1,0)+IF(I576="yes",-1,0),0),0)</f>
        <v>0</v>
      </c>
      <c r="E563" s="141"/>
      <c r="F563" s="141"/>
      <c r="G563" s="141"/>
      <c r="H563" s="141"/>
      <c r="I563" s="141"/>
      <c r="J563" s="141"/>
      <c r="K563" s="141"/>
      <c r="L563" s="141"/>
      <c r="M563" s="499"/>
      <c r="N563" s="610"/>
      <c r="O563" s="254"/>
      <c r="P563" s="610"/>
      <c r="Q563" s="219"/>
      <c r="R563" s="219"/>
      <c r="S563" s="219"/>
      <c r="T563" s="216"/>
      <c r="U563" s="141"/>
      <c r="V563" s="216"/>
      <c r="W563" s="216"/>
      <c r="X563" s="994"/>
      <c r="Y563" s="992"/>
    </row>
    <row r="564" spans="1:31" hidden="1" outlineLevel="1" x14ac:dyDescent="0.2">
      <c r="A564" s="141"/>
      <c r="B564" s="141" t="s">
        <v>494</v>
      </c>
      <c r="C564" s="141"/>
      <c r="D564" s="598">
        <f>IF(NOT(G572=0),G590,0)</f>
        <v>0</v>
      </c>
      <c r="E564" s="141"/>
      <c r="F564" s="141"/>
      <c r="G564" s="141"/>
      <c r="H564" s="141"/>
      <c r="I564" s="141"/>
      <c r="J564" s="141"/>
      <c r="K564" s="141"/>
      <c r="L564" s="141"/>
      <c r="M564" s="499"/>
      <c r="N564" s="611"/>
      <c r="O564" s="219"/>
      <c r="P564" s="611"/>
      <c r="Q564" s="219"/>
      <c r="R564" s="219"/>
      <c r="S564" s="219"/>
      <c r="T564" s="216"/>
      <c r="U564" s="141"/>
      <c r="V564" s="216"/>
      <c r="W564" s="216"/>
      <c r="X564" s="994"/>
      <c r="Y564" s="992"/>
    </row>
    <row r="565" spans="1:31" hidden="1" outlineLevel="1" x14ac:dyDescent="0.2">
      <c r="A565" s="141"/>
      <c r="B565" s="141" t="s">
        <v>495</v>
      </c>
      <c r="C565" s="141"/>
      <c r="D565" s="599">
        <f>IF(NOT(G572=0),I590,0)</f>
        <v>0</v>
      </c>
      <c r="E565" s="141"/>
      <c r="F565" s="141"/>
      <c r="G565" s="141"/>
      <c r="H565" s="141"/>
      <c r="I565" s="141"/>
      <c r="J565" s="141"/>
      <c r="K565" s="141"/>
      <c r="L565" s="141"/>
      <c r="M565" s="499"/>
      <c r="N565" s="611"/>
      <c r="O565" s="219"/>
      <c r="P565" s="611"/>
      <c r="Q565" s="219"/>
      <c r="R565" s="219"/>
      <c r="S565" s="219"/>
      <c r="T565" s="216"/>
      <c r="U565" s="141"/>
      <c r="V565" s="216"/>
      <c r="W565" s="216"/>
      <c r="X565" s="994"/>
      <c r="Y565" s="992"/>
    </row>
    <row r="566" spans="1:31" hidden="1" outlineLevel="1" x14ac:dyDescent="0.2">
      <c r="A566" s="141"/>
      <c r="B566" s="219" t="s">
        <v>496</v>
      </c>
      <c r="C566" s="141"/>
      <c r="D566" s="597">
        <f>SUM(D563:D565)</f>
        <v>0</v>
      </c>
      <c r="E566" s="141"/>
      <c r="F566" s="141"/>
      <c r="G566" s="141"/>
      <c r="H566" s="141"/>
      <c r="I566" s="141"/>
      <c r="J566" s="141"/>
      <c r="K566" s="141"/>
      <c r="L566" s="141"/>
      <c r="M566" s="499"/>
      <c r="N566" s="610"/>
      <c r="O566" s="219"/>
      <c r="P566" s="610"/>
      <c r="Q566" s="219"/>
      <c r="R566" s="219"/>
      <c r="S566" s="219"/>
      <c r="T566" s="216"/>
      <c r="U566" s="141"/>
      <c r="V566" s="216"/>
      <c r="W566" s="216"/>
      <c r="X566" s="994"/>
      <c r="Y566" s="992"/>
    </row>
    <row r="567" spans="1:31" hidden="1" outlineLevel="1" x14ac:dyDescent="0.2">
      <c r="A567" s="216"/>
      <c r="B567" s="219"/>
      <c r="C567" s="216"/>
      <c r="D567" s="601"/>
      <c r="E567" s="216"/>
      <c r="F567" s="216"/>
      <c r="G567" s="216"/>
      <c r="H567" s="216"/>
      <c r="I567" s="216"/>
      <c r="J567" s="216"/>
      <c r="K567" s="216"/>
      <c r="L567" s="216"/>
      <c r="M567" s="499"/>
      <c r="N567" s="216"/>
      <c r="O567" s="216"/>
      <c r="P567" s="601"/>
      <c r="Q567" s="216"/>
      <c r="R567" s="219"/>
      <c r="S567" s="254"/>
      <c r="T567" s="216"/>
      <c r="U567" s="216"/>
      <c r="V567" s="216"/>
      <c r="W567" s="216"/>
      <c r="X567" s="994"/>
      <c r="Y567" s="992"/>
    </row>
    <row r="568" spans="1:31" hidden="1" outlineLevel="1" x14ac:dyDescent="0.2">
      <c r="A568" s="141"/>
      <c r="B568" s="141"/>
      <c r="C568" s="141"/>
      <c r="D568" s="141"/>
      <c r="E568" s="216"/>
      <c r="F568" s="216"/>
      <c r="G568" s="141"/>
      <c r="H568" s="141"/>
      <c r="I568" s="141"/>
      <c r="J568" s="141"/>
      <c r="K568" s="141"/>
      <c r="L568" s="141"/>
      <c r="M568" s="141"/>
      <c r="N568" s="141"/>
      <c r="O568" s="141"/>
      <c r="P568" s="141"/>
      <c r="Q568" s="141"/>
      <c r="R568" s="219"/>
      <c r="S568" s="254"/>
      <c r="T568" s="216"/>
      <c r="U568" s="141"/>
      <c r="V568" s="216"/>
      <c r="W568" s="216"/>
      <c r="X568" s="994"/>
      <c r="Y568" s="992"/>
    </row>
    <row r="569" spans="1:31" collapsed="1" x14ac:dyDescent="0.2">
      <c r="A569" s="141"/>
      <c r="B569" s="219"/>
      <c r="C569" s="141"/>
      <c r="D569" s="216"/>
      <c r="E569" s="612"/>
      <c r="F569" s="216"/>
      <c r="G569" s="1664"/>
      <c r="H569" s="1664"/>
      <c r="I569" s="141"/>
      <c r="J569" s="141"/>
      <c r="K569" s="141"/>
      <c r="L569" s="216"/>
      <c r="M569" s="216"/>
      <c r="N569" s="590" t="s">
        <v>545</v>
      </c>
      <c r="O569" s="591" t="s">
        <v>579</v>
      </c>
      <c r="P569" s="590" t="s">
        <v>545</v>
      </c>
      <c r="Q569" s="591" t="s">
        <v>579</v>
      </c>
      <c r="R569" s="590" t="s">
        <v>545</v>
      </c>
      <c r="S569" s="591" t="s">
        <v>579</v>
      </c>
      <c r="T569" s="216"/>
      <c r="U569" s="141"/>
      <c r="V569" s="216"/>
      <c r="W569" s="216"/>
      <c r="X569" s="994"/>
      <c r="Y569" s="992"/>
      <c r="Z569" s="994" t="s">
        <v>581</v>
      </c>
      <c r="AA569" s="1074">
        <f>IF(G572&gt;0,IF(MONTH(G572)&gt;3,DATE(YEAR(G572)+1,3,31),DATE(YEAR(G572),3,31)),0)</f>
        <v>0</v>
      </c>
    </row>
    <row r="570" spans="1:31" x14ac:dyDescent="0.2">
      <c r="A570" s="141"/>
      <c r="B570" s="141"/>
      <c r="C570" s="141"/>
      <c r="D570" s="141"/>
      <c r="E570" s="141"/>
      <c r="F570" s="141"/>
      <c r="G570" s="494" t="str">
        <f>IF(AD573&gt;0,"WARNING: Generally, you may not cross a CLBC March 31 fiscal year end, please re-check your dates.","")</f>
        <v/>
      </c>
      <c r="H570" s="141"/>
      <c r="I570" s="141"/>
      <c r="J570" s="141"/>
      <c r="K570" s="141"/>
      <c r="L570" s="216"/>
      <c r="M570" s="216"/>
      <c r="N570" s="503" t="s">
        <v>510</v>
      </c>
      <c r="O570" s="504" t="s">
        <v>510</v>
      </c>
      <c r="P570" s="503" t="s">
        <v>510</v>
      </c>
      <c r="Q570" s="504" t="s">
        <v>510</v>
      </c>
      <c r="R570" s="503" t="s">
        <v>510</v>
      </c>
      <c r="S570" s="504" t="s">
        <v>510</v>
      </c>
      <c r="T570" s="216"/>
      <c r="U570" s="141"/>
      <c r="V570" s="216"/>
      <c r="W570" s="216"/>
      <c r="X570" s="994"/>
      <c r="Y570" s="992"/>
      <c r="Z570" s="994" t="s">
        <v>582</v>
      </c>
      <c r="AA570" s="1074">
        <f>IF(AA569&gt;=$L$20,$L$20,AA569)</f>
        <v>0</v>
      </c>
    </row>
    <row r="571" spans="1:31" ht="38.25" customHeight="1" x14ac:dyDescent="0.2">
      <c r="A571" s="140"/>
      <c r="B571" s="792" t="s">
        <v>464</v>
      </c>
      <c r="C571" s="1543" t="s">
        <v>351</v>
      </c>
      <c r="D571" s="1543"/>
      <c r="E571" s="587" t="s">
        <v>481</v>
      </c>
      <c r="F571" s="587" t="s">
        <v>482</v>
      </c>
      <c r="G571" s="1522" t="s">
        <v>519</v>
      </c>
      <c r="H571" s="1523"/>
      <c r="I571" s="1522" t="s">
        <v>520</v>
      </c>
      <c r="J571" s="1523" t="s">
        <v>520</v>
      </c>
      <c r="K571" s="833" t="s">
        <v>387</v>
      </c>
      <c r="L571" s="831" t="s">
        <v>483</v>
      </c>
      <c r="M571" s="831" t="s">
        <v>388</v>
      </c>
      <c r="N571" s="1543" t="s">
        <v>389</v>
      </c>
      <c r="O571" s="1543"/>
      <c r="P571" s="1543" t="s">
        <v>390</v>
      </c>
      <c r="Q571" s="1543"/>
      <c r="R571" s="1543" t="s">
        <v>578</v>
      </c>
      <c r="S571" s="1543"/>
      <c r="T571" s="286"/>
      <c r="U571" s="140"/>
      <c r="V571" s="286"/>
      <c r="W571" s="286"/>
      <c r="X571" s="1002"/>
      <c r="Y571" s="1105"/>
    </row>
    <row r="572" spans="1:31" x14ac:dyDescent="0.2">
      <c r="A572" s="141"/>
      <c r="B572" s="666"/>
      <c r="C572" s="1547" t="s">
        <v>414</v>
      </c>
      <c r="D572" s="1547"/>
      <c r="E572" s="808" t="s">
        <v>484</v>
      </c>
      <c r="F572" s="670"/>
      <c r="G572" s="1665"/>
      <c r="H572" s="1667"/>
      <c r="I572" s="1665"/>
      <c r="J572" s="1666"/>
      <c r="K572" s="671"/>
      <c r="L572" s="671"/>
      <c r="M572" s="588">
        <f>ROUND(IF(F572="Y",L572,IF(G585="yes",G592,ROUND(K572,2)*D563+G592+I592)),2)</f>
        <v>0</v>
      </c>
      <c r="N572" s="1661" t="s">
        <v>510</v>
      </c>
      <c r="O572" s="1662"/>
      <c r="P572" s="1661" t="s">
        <v>510</v>
      </c>
      <c r="Q572" s="1662"/>
      <c r="R572" s="1661" t="s">
        <v>510</v>
      </c>
      <c r="S572" s="1662"/>
      <c r="T572" s="216"/>
      <c r="U572" s="141"/>
      <c r="V572" s="216"/>
      <c r="W572" s="216"/>
      <c r="X572" s="994"/>
      <c r="Y572" s="992"/>
      <c r="AD572" s="1109" t="s">
        <v>617</v>
      </c>
      <c r="AE572" s="1109" t="s">
        <v>718</v>
      </c>
    </row>
    <row r="573" spans="1:31" hidden="1" outlineLevel="1" x14ac:dyDescent="0.2">
      <c r="A573" s="141"/>
      <c r="B573" s="141"/>
      <c r="C573" s="803"/>
      <c r="D573" s="141"/>
      <c r="E573" s="141"/>
      <c r="F573" s="141"/>
      <c r="G573" s="141">
        <f>G579</f>
        <v>31</v>
      </c>
      <c r="H573" s="141"/>
      <c r="I573" s="141">
        <f>I579</f>
        <v>31</v>
      </c>
      <c r="J573" s="141"/>
      <c r="K573" s="803" t="s">
        <v>391</v>
      </c>
      <c r="L573" s="216"/>
      <c r="M573" s="216"/>
      <c r="N573" s="141"/>
      <c r="O573" s="141"/>
      <c r="P573" s="141"/>
      <c r="Q573" s="141"/>
      <c r="R573" s="219"/>
      <c r="S573" s="508"/>
      <c r="T573" s="216"/>
      <c r="U573" s="141"/>
      <c r="V573" s="216"/>
      <c r="W573" s="216"/>
      <c r="X573" s="994"/>
      <c r="Y573" s="992"/>
      <c r="AD573" s="994">
        <f>IF(AND(G572&gt;0,I572&gt;0,I572&gt;$AA570),1,0)</f>
        <v>0</v>
      </c>
      <c r="AE573" s="994" t="s">
        <v>619</v>
      </c>
    </row>
    <row r="574" spans="1:31" hidden="1" outlineLevel="1" x14ac:dyDescent="0.2">
      <c r="A574" s="141"/>
      <c r="B574" s="141"/>
      <c r="C574" s="803"/>
      <c r="D574" s="141"/>
      <c r="E574" s="141"/>
      <c r="F574" s="141"/>
      <c r="G574" s="141">
        <v>1</v>
      </c>
      <c r="H574" s="141"/>
      <c r="I574" s="141">
        <v>1</v>
      </c>
      <c r="J574" s="141"/>
      <c r="K574" s="803" t="s">
        <v>392</v>
      </c>
      <c r="L574" s="216"/>
      <c r="M574" s="216"/>
      <c r="N574" s="141"/>
      <c r="O574" s="141"/>
      <c r="P574" s="141"/>
      <c r="Q574" s="141"/>
      <c r="R574" s="219"/>
      <c r="S574" s="508"/>
      <c r="T574" s="216"/>
      <c r="U574" s="141"/>
      <c r="V574" s="216"/>
      <c r="W574" s="216"/>
      <c r="X574" s="994"/>
      <c r="Y574" s="992"/>
    </row>
    <row r="575" spans="1:31" hidden="1" outlineLevel="1" x14ac:dyDescent="0.2">
      <c r="A575" s="141"/>
      <c r="B575" s="141"/>
      <c r="C575" s="803"/>
      <c r="D575" s="141"/>
      <c r="E575" s="141"/>
      <c r="F575" s="141"/>
      <c r="G575" s="141">
        <f>DAY(G572)</f>
        <v>0</v>
      </c>
      <c r="H575" s="141"/>
      <c r="I575" s="141">
        <f>DAY(I572)</f>
        <v>0</v>
      </c>
      <c r="J575" s="141"/>
      <c r="K575" s="803" t="s">
        <v>393</v>
      </c>
      <c r="L575" s="216"/>
      <c r="M575" s="216"/>
      <c r="N575" s="141"/>
      <c r="O575" s="141"/>
      <c r="P575" s="141"/>
      <c r="Q575" s="141"/>
      <c r="R575" s="219"/>
      <c r="S575" s="508"/>
      <c r="T575" s="216"/>
      <c r="U575" s="141"/>
      <c r="V575" s="216"/>
      <c r="W575" s="216"/>
      <c r="X575" s="994"/>
      <c r="Y575" s="992"/>
      <c r="AD575" s="1109" t="s">
        <v>617</v>
      </c>
      <c r="AE575" s="1109" t="s">
        <v>719</v>
      </c>
    </row>
    <row r="576" spans="1:31" hidden="1" outlineLevel="1" x14ac:dyDescent="0.2">
      <c r="A576" s="141"/>
      <c r="B576" s="141"/>
      <c r="C576" s="803"/>
      <c r="D576" s="141"/>
      <c r="E576" s="141"/>
      <c r="F576" s="141"/>
      <c r="G576" s="516" t="str">
        <f>IF(G575=G574,"No","Yes")</f>
        <v>Yes</v>
      </c>
      <c r="H576" s="141"/>
      <c r="I576" s="516" t="str">
        <f>IF(I575=I573,"No","Yes")</f>
        <v>Yes</v>
      </c>
      <c r="J576" s="141"/>
      <c r="K576" s="803" t="s">
        <v>394</v>
      </c>
      <c r="L576" s="216"/>
      <c r="M576" s="216"/>
      <c r="N576" s="516"/>
      <c r="O576" s="516"/>
      <c r="P576" s="516"/>
      <c r="Q576" s="516"/>
      <c r="R576" s="219"/>
      <c r="S576" s="219"/>
      <c r="T576" s="216"/>
      <c r="U576" s="216"/>
      <c r="V576" s="216"/>
      <c r="W576" s="216"/>
      <c r="X576" s="994"/>
      <c r="Y576" s="992"/>
      <c r="AD576" s="994">
        <f>IF(OR(G572&lt;$L$18,G572&gt;$L$20),1,0)</f>
        <v>0</v>
      </c>
      <c r="AE576" s="994" t="s">
        <v>618</v>
      </c>
    </row>
    <row r="577" spans="1:31" hidden="1" outlineLevel="1" x14ac:dyDescent="0.2">
      <c r="A577" s="141"/>
      <c r="B577" s="141"/>
      <c r="C577" s="803"/>
      <c r="D577" s="141"/>
      <c r="E577" s="141"/>
      <c r="F577" s="141"/>
      <c r="G577" s="219"/>
      <c r="H577" s="141"/>
      <c r="I577" s="219"/>
      <c r="J577" s="141"/>
      <c r="K577" s="803"/>
      <c r="L577" s="216"/>
      <c r="M577" s="216"/>
      <c r="N577" s="34"/>
      <c r="O577" s="34"/>
      <c r="P577" s="34"/>
      <c r="R577" s="219"/>
      <c r="S577" s="219"/>
      <c r="T577" s="216"/>
      <c r="U577" s="216"/>
      <c r="V577" s="216"/>
      <c r="W577" s="216"/>
      <c r="X577" s="994"/>
      <c r="Y577" s="992"/>
      <c r="AD577" s="994">
        <f>IF(OR(I572&lt;$L$18,I572&gt;$L$20),1,0)</f>
        <v>0</v>
      </c>
      <c r="AE577" s="994" t="s">
        <v>705</v>
      </c>
    </row>
    <row r="578" spans="1:31" hidden="1" outlineLevel="1" x14ac:dyDescent="0.2">
      <c r="A578" s="141"/>
      <c r="B578" s="141"/>
      <c r="C578" s="803"/>
      <c r="D578" s="141"/>
      <c r="E578" s="141"/>
      <c r="F578" s="141"/>
      <c r="G578" s="518">
        <f>EOMONTH(G572,0)</f>
        <v>31</v>
      </c>
      <c r="H578" s="141"/>
      <c r="I578" s="518">
        <f>EOMONTH(I572,0)</f>
        <v>31</v>
      </c>
      <c r="J578" s="141"/>
      <c r="K578" s="803" t="s">
        <v>395</v>
      </c>
      <c r="L578" s="216"/>
      <c r="M578" s="216"/>
      <c r="N578" s="518"/>
      <c r="O578" s="518"/>
      <c r="P578" s="518"/>
      <c r="Q578" s="518"/>
      <c r="R578" s="219"/>
      <c r="S578" s="219"/>
      <c r="T578" s="216"/>
      <c r="U578" s="216"/>
      <c r="V578" s="216"/>
      <c r="W578" s="216"/>
      <c r="X578" s="994"/>
      <c r="Y578" s="992"/>
      <c r="AD578" s="994"/>
      <c r="AE578" s="994"/>
    </row>
    <row r="579" spans="1:31" ht="13.5" hidden="1" outlineLevel="1" thickBot="1" x14ac:dyDescent="0.25">
      <c r="A579" s="141"/>
      <c r="B579" s="141"/>
      <c r="C579" s="803"/>
      <c r="D579" s="141"/>
      <c r="E579" s="141"/>
      <c r="F579" s="141"/>
      <c r="G579" s="141">
        <f>DAY(G578)</f>
        <v>31</v>
      </c>
      <c r="H579" s="141"/>
      <c r="I579" s="141">
        <f>DAY(I578)</f>
        <v>31</v>
      </c>
      <c r="J579" s="141"/>
      <c r="K579" s="803" t="s">
        <v>396</v>
      </c>
      <c r="L579" s="216"/>
      <c r="M579" s="216"/>
      <c r="N579" s="141"/>
      <c r="O579" s="141"/>
      <c r="P579" s="141"/>
      <c r="Q579" s="141"/>
      <c r="R579" s="219"/>
      <c r="S579" s="219"/>
      <c r="T579" s="216"/>
      <c r="U579" s="216"/>
      <c r="V579" s="216"/>
      <c r="W579" s="216"/>
      <c r="X579" s="994"/>
      <c r="Y579" s="992"/>
      <c r="AD579" s="1112">
        <f>IF(AND(G572&gt;0,I572&gt;0),SUM(AD576:AD578),0)</f>
        <v>0</v>
      </c>
      <c r="AE579" s="994" t="s">
        <v>620</v>
      </c>
    </row>
    <row r="580" spans="1:31" hidden="1" outlineLevel="1" x14ac:dyDescent="0.2">
      <c r="A580" s="141"/>
      <c r="B580" s="141"/>
      <c r="C580" s="803"/>
      <c r="D580" s="141"/>
      <c r="E580" s="141"/>
      <c r="F580" s="141"/>
      <c r="G580" s="520">
        <f>G578-G572+1</f>
        <v>32</v>
      </c>
      <c r="H580" s="141"/>
      <c r="I580" s="520">
        <f>I578-I572</f>
        <v>31</v>
      </c>
      <c r="J580" s="141"/>
      <c r="K580" s="803" t="s">
        <v>628</v>
      </c>
      <c r="L580" s="216"/>
      <c r="M580" s="216"/>
      <c r="N580" s="202"/>
      <c r="O580" s="202"/>
      <c r="P580" s="202"/>
      <c r="Q580" s="202"/>
      <c r="R580" s="219"/>
      <c r="S580" s="219"/>
      <c r="T580" s="216"/>
      <c r="U580" s="216"/>
      <c r="V580" s="216"/>
      <c r="W580" s="216"/>
      <c r="X580" s="994"/>
      <c r="Y580" s="992"/>
    </row>
    <row r="581" spans="1:31" hidden="1" outlineLevel="1" x14ac:dyDescent="0.2">
      <c r="A581" s="141"/>
      <c r="B581" s="141"/>
      <c r="C581" s="803"/>
      <c r="D581" s="141"/>
      <c r="E581" s="141"/>
      <c r="F581" s="141"/>
      <c r="G581" s="141">
        <f>G579-G580</f>
        <v>-1</v>
      </c>
      <c r="H581" s="141"/>
      <c r="I581" s="141">
        <f>I579-I580</f>
        <v>0</v>
      </c>
      <c r="J581" s="141"/>
      <c r="K581" s="803" t="s">
        <v>397</v>
      </c>
      <c r="L581" s="216"/>
      <c r="M581" s="216"/>
      <c r="N581" s="202"/>
      <c r="O581" s="202"/>
      <c r="P581" s="202"/>
      <c r="Q581" s="202"/>
      <c r="R581" s="219"/>
      <c r="S581" s="219"/>
      <c r="T581" s="216"/>
      <c r="U581" s="216"/>
      <c r="V581" s="216"/>
      <c r="W581" s="216"/>
      <c r="X581" s="994"/>
      <c r="Y581" s="992"/>
    </row>
    <row r="582" spans="1:31" hidden="1" outlineLevel="1" x14ac:dyDescent="0.2">
      <c r="A582" s="141"/>
      <c r="B582" s="141"/>
      <c r="C582" s="803"/>
      <c r="D582" s="141"/>
      <c r="E582" s="141"/>
      <c r="F582" s="141"/>
      <c r="G582" s="718">
        <f>IF(G576="Yes",ROUND(G580/G579,6),0)</f>
        <v>1.0322579999999999</v>
      </c>
      <c r="H582" s="719"/>
      <c r="I582" s="718">
        <f>IF(I576="Yes",ROUND(I581/I579,6),0)</f>
        <v>0</v>
      </c>
      <c r="J582" s="589"/>
      <c r="K582" s="803" t="s">
        <v>398</v>
      </c>
      <c r="L582" s="216"/>
      <c r="M582" s="216"/>
      <c r="N582" s="613"/>
      <c r="O582" s="613"/>
      <c r="P582" s="613"/>
      <c r="Q582" s="613"/>
      <c r="R582" s="219"/>
      <c r="S582" s="219"/>
      <c r="T582" s="216"/>
      <c r="U582" s="216"/>
      <c r="V582" s="216"/>
      <c r="W582" s="216"/>
      <c r="X582" s="994"/>
      <c r="Y582" s="992"/>
    </row>
    <row r="583" spans="1:31" hidden="1" outlineLevel="1" x14ac:dyDescent="0.2">
      <c r="A583" s="141"/>
      <c r="B583" s="141"/>
      <c r="C583" s="803"/>
      <c r="D583" s="141"/>
      <c r="E583" s="141"/>
      <c r="F583" s="141"/>
      <c r="G583" s="592">
        <f>IF(G585="Yes",0,ROUND(ROUND(K572,2)*G582,2))</f>
        <v>0</v>
      </c>
      <c r="H583" s="141"/>
      <c r="I583" s="592">
        <f>IF(G585="Yes",0,ROUND(ROUND(K572,2)*I582,2))</f>
        <v>0</v>
      </c>
      <c r="J583" s="141"/>
      <c r="K583" s="803" t="s">
        <v>409</v>
      </c>
      <c r="L583" s="216"/>
      <c r="M583" s="216"/>
      <c r="N583" s="510"/>
      <c r="O583" s="510"/>
      <c r="P583" s="510"/>
      <c r="Q583" s="510"/>
      <c r="R583" s="219"/>
      <c r="S583" s="219"/>
      <c r="T583" s="216"/>
      <c r="U583" s="216"/>
      <c r="V583" s="216"/>
      <c r="W583" s="216"/>
      <c r="X583" s="994"/>
      <c r="Y583" s="992"/>
    </row>
    <row r="584" spans="1:31" hidden="1" outlineLevel="1" x14ac:dyDescent="0.2">
      <c r="A584" s="141"/>
      <c r="B584" s="141"/>
      <c r="C584" s="803"/>
      <c r="D584" s="141"/>
      <c r="E584" s="141"/>
      <c r="F584" s="141"/>
      <c r="G584" s="141"/>
      <c r="H584" s="141"/>
      <c r="I584" s="141"/>
      <c r="J584" s="141"/>
      <c r="K584" s="803"/>
      <c r="L584" s="216"/>
      <c r="M584" s="216"/>
      <c r="N584" s="219"/>
      <c r="O584" s="219"/>
      <c r="P584" s="219"/>
      <c r="Q584" s="202"/>
      <c r="R584" s="219"/>
      <c r="S584" s="219"/>
      <c r="T584" s="216"/>
      <c r="U584" s="216"/>
      <c r="V584" s="216"/>
      <c r="W584" s="216"/>
      <c r="X584" s="994"/>
      <c r="Y584" s="992"/>
    </row>
    <row r="585" spans="1:31" hidden="1" outlineLevel="1" x14ac:dyDescent="0.2">
      <c r="A585" s="141"/>
      <c r="B585" s="141"/>
      <c r="C585" s="803"/>
      <c r="D585" s="141"/>
      <c r="E585" s="141"/>
      <c r="F585" s="141"/>
      <c r="G585" s="542" t="str">
        <f>IF(AND(YEAR(G572)=YEAR(I572),MONTH(G572)=MONTH(I572),G576="YES",I576="YES"),"YES","NO")</f>
        <v>YES</v>
      </c>
      <c r="H585" s="141"/>
      <c r="I585" s="141"/>
      <c r="J585" s="141"/>
      <c r="K585" s="803" t="s">
        <v>410</v>
      </c>
      <c r="L585" s="216"/>
      <c r="M585" s="216"/>
      <c r="N585" s="544"/>
      <c r="O585" s="510"/>
      <c r="P585" s="544"/>
      <c r="Q585" s="202"/>
      <c r="R585" s="219"/>
      <c r="S585" s="219"/>
      <c r="T585" s="216"/>
      <c r="U585" s="216"/>
      <c r="V585" s="216"/>
      <c r="W585" s="216"/>
      <c r="X585" s="994"/>
      <c r="Y585" s="992"/>
    </row>
    <row r="586" spans="1:31" hidden="1" outlineLevel="1" x14ac:dyDescent="0.2">
      <c r="A586" s="141"/>
      <c r="B586" s="141"/>
      <c r="C586" s="803"/>
      <c r="D586" s="141"/>
      <c r="E586" s="141"/>
      <c r="F586" s="141"/>
      <c r="G586" s="141">
        <f>IF(G585="yes",I572-G572+1,0)</f>
        <v>1</v>
      </c>
      <c r="H586" s="141"/>
      <c r="I586" s="141"/>
      <c r="J586" s="141"/>
      <c r="K586" s="803" t="s">
        <v>411</v>
      </c>
      <c r="L586" s="216"/>
      <c r="M586" s="216"/>
      <c r="N586" s="202"/>
      <c r="O586" s="510"/>
      <c r="P586" s="202"/>
      <c r="Q586" s="202"/>
      <c r="R586" s="219"/>
      <c r="S586" s="219"/>
      <c r="T586" s="216"/>
      <c r="U586" s="216"/>
      <c r="V586" s="216"/>
      <c r="W586" s="216"/>
      <c r="X586" s="994"/>
      <c r="Y586" s="992"/>
    </row>
    <row r="587" spans="1:31" hidden="1" outlineLevel="1" x14ac:dyDescent="0.2">
      <c r="A587" s="141"/>
      <c r="B587" s="141"/>
      <c r="C587" s="803"/>
      <c r="D587" s="141"/>
      <c r="E587" s="141"/>
      <c r="F587" s="141"/>
      <c r="G587" s="717">
        <f>ROUND(G586/G579,6)</f>
        <v>3.2258000000000002E-2</v>
      </c>
      <c r="H587" s="141"/>
      <c r="I587" s="141"/>
      <c r="J587" s="141"/>
      <c r="K587" s="803" t="s">
        <v>398</v>
      </c>
      <c r="L587" s="216"/>
      <c r="M587" s="216"/>
      <c r="N587" s="549"/>
      <c r="O587" s="510"/>
      <c r="P587" s="549"/>
      <c r="Q587" s="202"/>
      <c r="R587" s="219"/>
      <c r="S587" s="219"/>
      <c r="T587" s="216"/>
      <c r="U587" s="216"/>
      <c r="V587" s="216"/>
      <c r="W587" s="216"/>
      <c r="X587" s="994"/>
      <c r="Y587" s="992"/>
    </row>
    <row r="588" spans="1:31" hidden="1" outlineLevel="1" x14ac:dyDescent="0.2">
      <c r="A588" s="141"/>
      <c r="B588" s="141"/>
      <c r="C588" s="803"/>
      <c r="D588" s="141"/>
      <c r="E588" s="141"/>
      <c r="F588" s="141"/>
      <c r="G588" s="540">
        <f>ROUND(IF(NOT(G572=0),G587*ROUND(K572,2),0),2)</f>
        <v>0</v>
      </c>
      <c r="H588" s="141"/>
      <c r="I588" s="141"/>
      <c r="J588" s="141"/>
      <c r="K588" s="803" t="s">
        <v>413</v>
      </c>
      <c r="L588" s="216"/>
      <c r="M588" s="216"/>
      <c r="N588" s="510"/>
      <c r="O588" s="510"/>
      <c r="P588" s="510"/>
      <c r="Q588" s="202"/>
      <c r="R588" s="219"/>
      <c r="S588" s="219"/>
      <c r="T588" s="216"/>
      <c r="U588" s="216"/>
      <c r="V588" s="216"/>
      <c r="W588" s="216"/>
      <c r="X588" s="994"/>
      <c r="Y588" s="992"/>
    </row>
    <row r="589" spans="1:31" hidden="1" outlineLevel="1" x14ac:dyDescent="0.2">
      <c r="A589" s="141"/>
      <c r="B589" s="141"/>
      <c r="C589" s="141"/>
      <c r="D589" s="141"/>
      <c r="E589" s="141"/>
      <c r="F589" s="141"/>
      <c r="G589" s="141"/>
      <c r="H589" s="141"/>
      <c r="I589" s="141"/>
      <c r="J589" s="141"/>
      <c r="K589" s="141"/>
      <c r="L589" s="216"/>
      <c r="M589" s="216"/>
      <c r="N589" s="219"/>
      <c r="O589" s="219"/>
      <c r="P589" s="219"/>
      <c r="Q589" s="202"/>
      <c r="R589" s="219"/>
      <c r="S589" s="219"/>
      <c r="T589" s="216"/>
      <c r="U589" s="216"/>
      <c r="V589" s="216"/>
      <c r="W589" s="216"/>
      <c r="X589" s="994"/>
      <c r="Y589" s="992"/>
    </row>
    <row r="590" spans="1:31" hidden="1" outlineLevel="1" x14ac:dyDescent="0.2">
      <c r="A590" s="141"/>
      <c r="B590" s="141"/>
      <c r="C590" s="141"/>
      <c r="D590" s="141"/>
      <c r="E590" s="141"/>
      <c r="F590" s="141"/>
      <c r="G590" s="716">
        <f>IF(G585="No",G582,G587)</f>
        <v>3.2258000000000002E-2</v>
      </c>
      <c r="H590" s="721"/>
      <c r="I590" s="716">
        <f>IF(G585="No",I582,0)</f>
        <v>0</v>
      </c>
      <c r="J590" s="141"/>
      <c r="K590" s="141" t="s">
        <v>492</v>
      </c>
      <c r="L590" s="216"/>
      <c r="M590" s="216"/>
      <c r="N590" s="613"/>
      <c r="O590" s="549"/>
      <c r="P590" s="613"/>
      <c r="Q590" s="549"/>
      <c r="R590" s="219"/>
      <c r="S590" s="219"/>
      <c r="T590" s="216"/>
      <c r="U590" s="216"/>
      <c r="V590" s="216"/>
      <c r="W590" s="216"/>
      <c r="X590" s="994"/>
      <c r="Y590" s="992"/>
    </row>
    <row r="591" spans="1:31" hidden="1" outlineLevel="1" x14ac:dyDescent="0.2">
      <c r="A591" s="141"/>
      <c r="B591" s="141"/>
      <c r="C591" s="141"/>
      <c r="D591" s="141"/>
      <c r="E591" s="141"/>
      <c r="F591" s="141"/>
      <c r="G591" s="603"/>
      <c r="H591" s="520"/>
      <c r="I591" s="603"/>
      <c r="J591" s="520"/>
      <c r="K591" s="141"/>
      <c r="L591" s="216"/>
      <c r="M591" s="516"/>
      <c r="N591" s="551"/>
      <c r="O591" s="551"/>
      <c r="P591" s="551"/>
      <c r="Q591" s="551"/>
      <c r="R591" s="219"/>
      <c r="S591" s="219"/>
      <c r="T591" s="216"/>
      <c r="U591" s="216"/>
      <c r="V591" s="216"/>
      <c r="W591" s="216"/>
      <c r="X591" s="994"/>
      <c r="Y591" s="992"/>
    </row>
    <row r="592" spans="1:31" ht="13.5" collapsed="1" thickBot="1" x14ac:dyDescent="0.25">
      <c r="A592" s="141"/>
      <c r="B592" s="141"/>
      <c r="C592" s="141"/>
      <c r="D592" s="141"/>
      <c r="E592" s="141"/>
      <c r="F592" s="141"/>
      <c r="G592" s="1663">
        <f>G583+G588</f>
        <v>0</v>
      </c>
      <c r="H592" s="1663"/>
      <c r="I592" s="1663">
        <f>I583+I588</f>
        <v>0</v>
      </c>
      <c r="J592" s="1663"/>
      <c r="K592" s="832" t="s">
        <v>399</v>
      </c>
      <c r="L592" s="216"/>
      <c r="M592" s="216"/>
      <c r="N592" s="141"/>
      <c r="O592" s="216"/>
      <c r="P592" s="216"/>
      <c r="Q592" s="141"/>
      <c r="R592" s="219"/>
      <c r="S592" s="219"/>
      <c r="T592" s="216"/>
      <c r="U592" s="216"/>
      <c r="V592" s="216"/>
      <c r="W592" s="216"/>
      <c r="X592" s="994"/>
      <c r="Y592" s="992"/>
    </row>
    <row r="593" spans="1:31" ht="15.75" thickTop="1" x14ac:dyDescent="0.25">
      <c r="G593" s="842" t="str">
        <f>IF($AD579&gt;0,"ERROR ALERT:  The date range in your service start/end dates is NOT consistent with the OTO start/end dates ('OTO Terms' above), please check your dates and re-enter.","")</f>
        <v/>
      </c>
      <c r="R593" s="254"/>
      <c r="S593" s="254"/>
    </row>
    <row r="594" spans="1:31" ht="15" x14ac:dyDescent="0.25">
      <c r="B594" s="210" t="s">
        <v>681</v>
      </c>
      <c r="R594" s="254"/>
      <c r="S594" s="254"/>
    </row>
    <row r="595" spans="1:31" x14ac:dyDescent="0.2">
      <c r="R595" s="1660" t="s">
        <v>547</v>
      </c>
      <c r="S595" s="1660"/>
    </row>
    <row r="596" spans="1:31" hidden="1" outlineLevel="1" x14ac:dyDescent="0.2">
      <c r="A596" s="141"/>
      <c r="B596" s="141" t="s">
        <v>493</v>
      </c>
      <c r="C596" s="141"/>
      <c r="D596" s="597">
        <f>IF(NOT(G605=0),IF(G618="NO",(YEAR(I605)-YEAR(G605))*12+MONTH(I605)-MONTH(G605)+IF(G609="no",1,0)+IF(I609="yes",-1,0),0),0)</f>
        <v>0</v>
      </c>
      <c r="E596" s="141"/>
      <c r="F596" s="141"/>
      <c r="G596" s="141"/>
      <c r="H596" s="141"/>
      <c r="I596" s="141"/>
      <c r="J596" s="141"/>
      <c r="K596" s="141"/>
      <c r="L596" s="141"/>
      <c r="M596" s="499"/>
      <c r="N596" s="610"/>
      <c r="O596" s="254"/>
      <c r="P596" s="610"/>
      <c r="Q596" s="219"/>
      <c r="R596" s="219"/>
      <c r="S596" s="219"/>
      <c r="T596" s="216"/>
      <c r="U596" s="141"/>
      <c r="V596" s="216"/>
      <c r="W596" s="216"/>
      <c r="X596" s="994"/>
      <c r="Y596" s="992"/>
    </row>
    <row r="597" spans="1:31" hidden="1" outlineLevel="1" x14ac:dyDescent="0.2">
      <c r="A597" s="141"/>
      <c r="B597" s="141" t="s">
        <v>494</v>
      </c>
      <c r="C597" s="141"/>
      <c r="D597" s="598">
        <f>IF(NOT(G605=0),G623,0)</f>
        <v>0</v>
      </c>
      <c r="E597" s="141"/>
      <c r="F597" s="141"/>
      <c r="G597" s="141"/>
      <c r="H597" s="141"/>
      <c r="I597" s="141"/>
      <c r="J597" s="141"/>
      <c r="K597" s="141"/>
      <c r="L597" s="141"/>
      <c r="M597" s="499"/>
      <c r="N597" s="611"/>
      <c r="O597" s="219"/>
      <c r="P597" s="611"/>
      <c r="Q597" s="219"/>
      <c r="R597" s="219"/>
      <c r="S597" s="219"/>
      <c r="T597" s="216"/>
      <c r="U597" s="141"/>
      <c r="V597" s="216"/>
      <c r="W597" s="216"/>
      <c r="X597" s="994"/>
      <c r="Y597" s="992"/>
    </row>
    <row r="598" spans="1:31" hidden="1" outlineLevel="1" x14ac:dyDescent="0.2">
      <c r="A598" s="141"/>
      <c r="B598" s="141" t="s">
        <v>495</v>
      </c>
      <c r="C598" s="141"/>
      <c r="D598" s="599">
        <f>IF(NOT(G605=0),I623,0)</f>
        <v>0</v>
      </c>
      <c r="E598" s="141"/>
      <c r="F598" s="141"/>
      <c r="G598" s="141"/>
      <c r="H598" s="141"/>
      <c r="I598" s="141"/>
      <c r="J598" s="141"/>
      <c r="K598" s="141"/>
      <c r="L598" s="141"/>
      <c r="M598" s="499"/>
      <c r="N598" s="611"/>
      <c r="O598" s="219"/>
      <c r="P598" s="611"/>
      <c r="Q598" s="219"/>
      <c r="R598" s="219"/>
      <c r="S598" s="219"/>
      <c r="T598" s="216"/>
      <c r="U598" s="141"/>
      <c r="V598" s="216"/>
      <c r="W598" s="216"/>
      <c r="X598" s="994"/>
      <c r="Y598" s="992"/>
    </row>
    <row r="599" spans="1:31" hidden="1" outlineLevel="1" x14ac:dyDescent="0.2">
      <c r="A599" s="141"/>
      <c r="B599" s="219" t="s">
        <v>496</v>
      </c>
      <c r="C599" s="141"/>
      <c r="D599" s="597">
        <f>SUM(D596:D598)</f>
        <v>0</v>
      </c>
      <c r="E599" s="141"/>
      <c r="F599" s="141"/>
      <c r="G599" s="141"/>
      <c r="H599" s="141"/>
      <c r="I599" s="141"/>
      <c r="J599" s="141"/>
      <c r="K599" s="141"/>
      <c r="L599" s="141"/>
      <c r="M599" s="499"/>
      <c r="N599" s="610"/>
      <c r="O599" s="219"/>
      <c r="P599" s="610"/>
      <c r="Q599" s="219"/>
      <c r="R599" s="219"/>
      <c r="S599" s="219"/>
      <c r="T599" s="216"/>
      <c r="U599" s="141"/>
      <c r="V599" s="216"/>
      <c r="W599" s="216"/>
      <c r="X599" s="994"/>
      <c r="Y599" s="992"/>
    </row>
    <row r="600" spans="1:31" hidden="1" outlineLevel="1" x14ac:dyDescent="0.2">
      <c r="A600" s="216"/>
      <c r="B600" s="219"/>
      <c r="C600" s="216"/>
      <c r="D600" s="601"/>
      <c r="E600" s="216"/>
      <c r="F600" s="216"/>
      <c r="G600" s="216"/>
      <c r="H600" s="216"/>
      <c r="I600" s="216"/>
      <c r="J600" s="216"/>
      <c r="K600" s="216"/>
      <c r="L600" s="216"/>
      <c r="M600" s="499"/>
      <c r="N600" s="216"/>
      <c r="O600" s="216"/>
      <c r="P600" s="601"/>
      <c r="Q600" s="216"/>
      <c r="R600" s="219"/>
      <c r="S600" s="254"/>
      <c r="T600" s="216"/>
      <c r="U600" s="216"/>
      <c r="V600" s="216"/>
      <c r="W600" s="216"/>
      <c r="X600" s="994"/>
      <c r="Y600" s="992"/>
    </row>
    <row r="601" spans="1:31" hidden="1" outlineLevel="1" x14ac:dyDescent="0.2">
      <c r="A601" s="141"/>
      <c r="B601" s="141"/>
      <c r="C601" s="141"/>
      <c r="D601" s="141"/>
      <c r="E601" s="216"/>
      <c r="F601" s="216"/>
      <c r="G601" s="141"/>
      <c r="H601" s="141"/>
      <c r="I601" s="141"/>
      <c r="J601" s="141"/>
      <c r="K601" s="141"/>
      <c r="L601" s="141"/>
      <c r="M601" s="141"/>
      <c r="N601" s="141"/>
      <c r="O601" s="141"/>
      <c r="P601" s="141"/>
      <c r="Q601" s="141"/>
      <c r="R601" s="219"/>
      <c r="S601" s="254"/>
      <c r="T601" s="216"/>
      <c r="U601" s="141"/>
      <c r="V601" s="216"/>
      <c r="W601" s="216"/>
      <c r="X601" s="994"/>
      <c r="Y601" s="992"/>
    </row>
    <row r="602" spans="1:31" collapsed="1" x14ac:dyDescent="0.2">
      <c r="A602" s="141"/>
      <c r="B602" s="219"/>
      <c r="C602" s="141"/>
      <c r="D602" s="216"/>
      <c r="E602" s="612"/>
      <c r="F602" s="216"/>
      <c r="G602" s="1664"/>
      <c r="H602" s="1664"/>
      <c r="I602" s="141"/>
      <c r="J602" s="141"/>
      <c r="K602" s="141"/>
      <c r="L602" s="216"/>
      <c r="M602" s="216"/>
      <c r="N602" s="590" t="s">
        <v>545</v>
      </c>
      <c r="O602" s="591" t="s">
        <v>579</v>
      </c>
      <c r="P602" s="590" t="s">
        <v>545</v>
      </c>
      <c r="Q602" s="591" t="s">
        <v>579</v>
      </c>
      <c r="R602" s="590" t="s">
        <v>545</v>
      </c>
      <c r="S602" s="591" t="s">
        <v>579</v>
      </c>
      <c r="T602" s="216"/>
      <c r="U602" s="141"/>
      <c r="V602" s="216"/>
      <c r="W602" s="216"/>
      <c r="X602" s="994"/>
      <c r="Y602" s="992"/>
      <c r="Z602" s="994" t="s">
        <v>581</v>
      </c>
      <c r="AA602" s="1074">
        <f>IF(G605&gt;0,IF(MONTH(G605)&gt;3,DATE(YEAR(G605)+1,3,31),DATE(YEAR(G605),3,31)),0)</f>
        <v>0</v>
      </c>
    </row>
    <row r="603" spans="1:31" x14ac:dyDescent="0.2">
      <c r="A603" s="141"/>
      <c r="B603" s="141"/>
      <c r="C603" s="141"/>
      <c r="D603" s="141"/>
      <c r="E603" s="141"/>
      <c r="F603" s="141"/>
      <c r="G603" s="494" t="str">
        <f>IF(AD606&gt;0,"WARNING: Generally, you may not cross a CLBC March 31 fiscal year end, please re-check your dates.","")</f>
        <v/>
      </c>
      <c r="H603" s="141"/>
      <c r="I603" s="141"/>
      <c r="J603" s="141"/>
      <c r="K603" s="141"/>
      <c r="L603" s="216"/>
      <c r="M603" s="216"/>
      <c r="N603" s="503" t="s">
        <v>510</v>
      </c>
      <c r="O603" s="504" t="s">
        <v>510</v>
      </c>
      <c r="P603" s="503" t="s">
        <v>510</v>
      </c>
      <c r="Q603" s="504" t="s">
        <v>510</v>
      </c>
      <c r="R603" s="503" t="s">
        <v>510</v>
      </c>
      <c r="S603" s="504" t="s">
        <v>510</v>
      </c>
      <c r="T603" s="216"/>
      <c r="U603" s="141"/>
      <c r="V603" s="216"/>
      <c r="W603" s="216"/>
      <c r="X603" s="994"/>
      <c r="Y603" s="992"/>
      <c r="Z603" s="994" t="s">
        <v>582</v>
      </c>
      <c r="AA603" s="1074">
        <f>IF(AA602&gt;=$L$20,$L$20,AA602)</f>
        <v>0</v>
      </c>
    </row>
    <row r="604" spans="1:31" ht="38.25" customHeight="1" x14ac:dyDescent="0.2">
      <c r="A604" s="140"/>
      <c r="B604" s="792" t="s">
        <v>464</v>
      </c>
      <c r="C604" s="1543" t="s">
        <v>351</v>
      </c>
      <c r="D604" s="1543"/>
      <c r="E604" s="587" t="s">
        <v>481</v>
      </c>
      <c r="F604" s="587" t="s">
        <v>482</v>
      </c>
      <c r="G604" s="1522" t="s">
        <v>519</v>
      </c>
      <c r="H604" s="1523"/>
      <c r="I604" s="1522" t="s">
        <v>520</v>
      </c>
      <c r="J604" s="1523" t="s">
        <v>520</v>
      </c>
      <c r="K604" s="833" t="s">
        <v>387</v>
      </c>
      <c r="L604" s="831" t="s">
        <v>483</v>
      </c>
      <c r="M604" s="831" t="s">
        <v>388</v>
      </c>
      <c r="N604" s="1543" t="s">
        <v>389</v>
      </c>
      <c r="O604" s="1543"/>
      <c r="P604" s="1543" t="s">
        <v>390</v>
      </c>
      <c r="Q604" s="1543"/>
      <c r="R604" s="1543" t="s">
        <v>578</v>
      </c>
      <c r="S604" s="1543"/>
      <c r="T604" s="286"/>
      <c r="U604" s="140"/>
      <c r="V604" s="286"/>
      <c r="W604" s="286"/>
      <c r="X604" s="1002"/>
      <c r="Y604" s="1105"/>
    </row>
    <row r="605" spans="1:31" x14ac:dyDescent="0.2">
      <c r="A605" s="141"/>
      <c r="B605" s="666"/>
      <c r="C605" s="1547" t="s">
        <v>414</v>
      </c>
      <c r="D605" s="1547"/>
      <c r="E605" s="808" t="s">
        <v>484</v>
      </c>
      <c r="F605" s="670"/>
      <c r="G605" s="1665"/>
      <c r="H605" s="1667"/>
      <c r="I605" s="1665"/>
      <c r="J605" s="1666"/>
      <c r="K605" s="671"/>
      <c r="L605" s="671"/>
      <c r="M605" s="588">
        <f>ROUND(IF(F605="Y",L605,IF(G618="yes",G625,ROUND(K605,2)*D596+G625+I625)),2)</f>
        <v>0</v>
      </c>
      <c r="N605" s="1661" t="s">
        <v>510</v>
      </c>
      <c r="O605" s="1662"/>
      <c r="P605" s="1661" t="s">
        <v>510</v>
      </c>
      <c r="Q605" s="1662"/>
      <c r="R605" s="1661" t="s">
        <v>510</v>
      </c>
      <c r="S605" s="1662"/>
      <c r="T605" s="216"/>
      <c r="U605" s="141"/>
      <c r="V605" s="216"/>
      <c r="W605" s="216"/>
      <c r="X605" s="994"/>
      <c r="Y605" s="992"/>
      <c r="AD605" s="1109" t="s">
        <v>617</v>
      </c>
      <c r="AE605" s="1109" t="s">
        <v>718</v>
      </c>
    </row>
    <row r="606" spans="1:31" hidden="1" outlineLevel="1" x14ac:dyDescent="0.2">
      <c r="A606" s="141"/>
      <c r="B606" s="141"/>
      <c r="C606" s="803"/>
      <c r="D606" s="141"/>
      <c r="E606" s="141"/>
      <c r="F606" s="141"/>
      <c r="G606" s="141">
        <f>G612</f>
        <v>31</v>
      </c>
      <c r="H606" s="141"/>
      <c r="I606" s="141">
        <f>I612</f>
        <v>31</v>
      </c>
      <c r="J606" s="141"/>
      <c r="K606" s="803" t="s">
        <v>391</v>
      </c>
      <c r="L606" s="216"/>
      <c r="M606" s="216"/>
      <c r="N606" s="141"/>
      <c r="O606" s="141"/>
      <c r="P606" s="141"/>
      <c r="Q606" s="141"/>
      <c r="R606" s="219"/>
      <c r="S606" s="508"/>
      <c r="T606" s="216"/>
      <c r="U606" s="141"/>
      <c r="V606" s="216"/>
      <c r="W606" s="216"/>
      <c r="X606" s="994"/>
      <c r="Y606" s="992"/>
      <c r="AD606" s="994">
        <f>IF(AND(G605&gt;0,I605&gt;0,I605&gt;$AA603),1,0)</f>
        <v>0</v>
      </c>
      <c r="AE606" s="994" t="s">
        <v>619</v>
      </c>
    </row>
    <row r="607" spans="1:31" hidden="1" outlineLevel="1" x14ac:dyDescent="0.2">
      <c r="A607" s="141"/>
      <c r="B607" s="141"/>
      <c r="C607" s="803"/>
      <c r="D607" s="141"/>
      <c r="E607" s="141"/>
      <c r="F607" s="141"/>
      <c r="G607" s="141">
        <v>1</v>
      </c>
      <c r="H607" s="141"/>
      <c r="I607" s="141">
        <v>1</v>
      </c>
      <c r="J607" s="141"/>
      <c r="K607" s="803" t="s">
        <v>392</v>
      </c>
      <c r="L607" s="216"/>
      <c r="M607" s="216"/>
      <c r="N607" s="141"/>
      <c r="O607" s="141"/>
      <c r="P607" s="141"/>
      <c r="Q607" s="141"/>
      <c r="R607" s="219"/>
      <c r="S607" s="508"/>
      <c r="T607" s="216"/>
      <c r="U607" s="141"/>
      <c r="V607" s="216"/>
      <c r="W607" s="216"/>
      <c r="X607" s="994"/>
      <c r="Y607" s="992"/>
    </row>
    <row r="608" spans="1:31" hidden="1" outlineLevel="1" x14ac:dyDescent="0.2">
      <c r="A608" s="141"/>
      <c r="B608" s="141"/>
      <c r="C608" s="803"/>
      <c r="D608" s="141"/>
      <c r="E608" s="141"/>
      <c r="F608" s="141"/>
      <c r="G608" s="141">
        <f>DAY(G605)</f>
        <v>0</v>
      </c>
      <c r="H608" s="141"/>
      <c r="I608" s="141">
        <f>DAY(I605)</f>
        <v>0</v>
      </c>
      <c r="J608" s="141"/>
      <c r="K608" s="803" t="s">
        <v>393</v>
      </c>
      <c r="L608" s="216"/>
      <c r="M608" s="216"/>
      <c r="N608" s="141"/>
      <c r="O608" s="141"/>
      <c r="P608" s="141"/>
      <c r="Q608" s="141"/>
      <c r="R608" s="219"/>
      <c r="S608" s="508"/>
      <c r="T608" s="216"/>
      <c r="U608" s="141"/>
      <c r="V608" s="216"/>
      <c r="W608" s="216"/>
      <c r="X608" s="994"/>
      <c r="Y608" s="992"/>
      <c r="AD608" s="1109" t="s">
        <v>617</v>
      </c>
      <c r="AE608" s="1109" t="s">
        <v>719</v>
      </c>
    </row>
    <row r="609" spans="1:31" hidden="1" outlineLevel="1" x14ac:dyDescent="0.2">
      <c r="A609" s="141"/>
      <c r="B609" s="141"/>
      <c r="C609" s="803"/>
      <c r="D609" s="141"/>
      <c r="E609" s="141"/>
      <c r="F609" s="141"/>
      <c r="G609" s="516" t="str">
        <f>IF(G608=G607,"No","Yes")</f>
        <v>Yes</v>
      </c>
      <c r="H609" s="141"/>
      <c r="I609" s="516" t="str">
        <f>IF(I608=I606,"No","Yes")</f>
        <v>Yes</v>
      </c>
      <c r="J609" s="141"/>
      <c r="K609" s="803" t="s">
        <v>394</v>
      </c>
      <c r="L609" s="216"/>
      <c r="M609" s="216"/>
      <c r="N609" s="516"/>
      <c r="O609" s="516"/>
      <c r="P609" s="516"/>
      <c r="Q609" s="516"/>
      <c r="R609" s="219"/>
      <c r="S609" s="219"/>
      <c r="T609" s="216"/>
      <c r="U609" s="216"/>
      <c r="V609" s="216"/>
      <c r="W609" s="216"/>
      <c r="X609" s="994"/>
      <c r="Y609" s="992"/>
      <c r="AD609" s="994">
        <f>IF(OR(G605&lt;$L$18,G605&gt;$L$20),1,0)</f>
        <v>0</v>
      </c>
      <c r="AE609" s="994" t="s">
        <v>618</v>
      </c>
    </row>
    <row r="610" spans="1:31" hidden="1" outlineLevel="1" x14ac:dyDescent="0.2">
      <c r="A610" s="141"/>
      <c r="B610" s="141"/>
      <c r="C610" s="803"/>
      <c r="D610" s="141"/>
      <c r="E610" s="141"/>
      <c r="F610" s="141"/>
      <c r="G610" s="219"/>
      <c r="H610" s="141"/>
      <c r="I610" s="219"/>
      <c r="J610" s="141"/>
      <c r="K610" s="803"/>
      <c r="L610" s="216"/>
      <c r="M610" s="216"/>
      <c r="N610" s="34"/>
      <c r="O610" s="34"/>
      <c r="P610" s="34"/>
      <c r="R610" s="219"/>
      <c r="S610" s="219"/>
      <c r="T610" s="216"/>
      <c r="U610" s="216"/>
      <c r="V610" s="216"/>
      <c r="W610" s="216"/>
      <c r="X610" s="994"/>
      <c r="Y610" s="992"/>
      <c r="AD610" s="994">
        <f>IF(OR(I605&lt;$L$18,I605&gt;$L$20),1,0)</f>
        <v>0</v>
      </c>
      <c r="AE610" s="994" t="s">
        <v>705</v>
      </c>
    </row>
    <row r="611" spans="1:31" hidden="1" outlineLevel="1" x14ac:dyDescent="0.2">
      <c r="A611" s="141"/>
      <c r="B611" s="141"/>
      <c r="C611" s="803"/>
      <c r="D611" s="141"/>
      <c r="E611" s="141"/>
      <c r="F611" s="141"/>
      <c r="G611" s="518">
        <f>EOMONTH(G605,0)</f>
        <v>31</v>
      </c>
      <c r="H611" s="141"/>
      <c r="I611" s="518">
        <f>EOMONTH(I605,0)</f>
        <v>31</v>
      </c>
      <c r="J611" s="141"/>
      <c r="K611" s="803" t="s">
        <v>395</v>
      </c>
      <c r="L611" s="216"/>
      <c r="M611" s="216"/>
      <c r="N611" s="518"/>
      <c r="O611" s="518"/>
      <c r="P611" s="518"/>
      <c r="Q611" s="518"/>
      <c r="R611" s="219"/>
      <c r="S611" s="219"/>
      <c r="T611" s="216"/>
      <c r="U611" s="216"/>
      <c r="V611" s="216"/>
      <c r="W611" s="216"/>
      <c r="X611" s="994"/>
      <c r="Y611" s="992"/>
      <c r="AD611" s="994"/>
      <c r="AE611" s="994"/>
    </row>
    <row r="612" spans="1:31" ht="13.5" hidden="1" outlineLevel="1" thickBot="1" x14ac:dyDescent="0.25">
      <c r="A612" s="141"/>
      <c r="B612" s="141"/>
      <c r="C612" s="803"/>
      <c r="D612" s="141"/>
      <c r="E612" s="141"/>
      <c r="F612" s="141"/>
      <c r="G612" s="141">
        <f>DAY(G611)</f>
        <v>31</v>
      </c>
      <c r="H612" s="141"/>
      <c r="I612" s="141">
        <f>DAY(I611)</f>
        <v>31</v>
      </c>
      <c r="J612" s="141"/>
      <c r="K612" s="803" t="s">
        <v>396</v>
      </c>
      <c r="L612" s="216"/>
      <c r="M612" s="216"/>
      <c r="N612" s="141"/>
      <c r="O612" s="141"/>
      <c r="P612" s="141"/>
      <c r="Q612" s="141"/>
      <c r="R612" s="219"/>
      <c r="S612" s="219"/>
      <c r="T612" s="216"/>
      <c r="U612" s="216"/>
      <c r="V612" s="216"/>
      <c r="W612" s="216"/>
      <c r="X612" s="994"/>
      <c r="Y612" s="992"/>
      <c r="AD612" s="1112">
        <f>IF(AND(G605&gt;0,I605&gt;0),SUM(AD609:AD611),0)</f>
        <v>0</v>
      </c>
      <c r="AE612" s="994" t="s">
        <v>620</v>
      </c>
    </row>
    <row r="613" spans="1:31" hidden="1" outlineLevel="1" x14ac:dyDescent="0.2">
      <c r="A613" s="141"/>
      <c r="B613" s="141"/>
      <c r="C613" s="803"/>
      <c r="D613" s="141"/>
      <c r="E613" s="141"/>
      <c r="F613" s="141"/>
      <c r="G613" s="520">
        <f>G611-G605+1</f>
        <v>32</v>
      </c>
      <c r="H613" s="141"/>
      <c r="I613" s="520">
        <f>I611-I605</f>
        <v>31</v>
      </c>
      <c r="J613" s="141"/>
      <c r="K613" s="803" t="s">
        <v>628</v>
      </c>
      <c r="L613" s="216"/>
      <c r="M613" s="216"/>
      <c r="N613" s="202"/>
      <c r="O613" s="202"/>
      <c r="P613" s="202"/>
      <c r="Q613" s="202"/>
      <c r="R613" s="219"/>
      <c r="S613" s="219"/>
      <c r="T613" s="216"/>
      <c r="U613" s="216"/>
      <c r="V613" s="216"/>
      <c r="W613" s="216"/>
      <c r="X613" s="994"/>
      <c r="Y613" s="992"/>
    </row>
    <row r="614" spans="1:31" hidden="1" outlineLevel="1" x14ac:dyDescent="0.2">
      <c r="A614" s="141"/>
      <c r="B614" s="141"/>
      <c r="C614" s="803"/>
      <c r="D614" s="141"/>
      <c r="E614" s="141"/>
      <c r="F614" s="141"/>
      <c r="G614" s="141">
        <f>G612-G613</f>
        <v>-1</v>
      </c>
      <c r="H614" s="141"/>
      <c r="I614" s="141">
        <f>I612-I613</f>
        <v>0</v>
      </c>
      <c r="J614" s="141"/>
      <c r="K614" s="803" t="s">
        <v>397</v>
      </c>
      <c r="L614" s="216"/>
      <c r="M614" s="216"/>
      <c r="N614" s="202"/>
      <c r="O614" s="202"/>
      <c r="P614" s="202"/>
      <c r="Q614" s="202"/>
      <c r="R614" s="219"/>
      <c r="S614" s="219"/>
      <c r="T614" s="216"/>
      <c r="U614" s="216"/>
      <c r="V614" s="216"/>
      <c r="W614" s="216"/>
      <c r="X614" s="994"/>
      <c r="Y614" s="992"/>
    </row>
    <row r="615" spans="1:31" hidden="1" outlineLevel="1" x14ac:dyDescent="0.2">
      <c r="A615" s="141"/>
      <c r="B615" s="141"/>
      <c r="C615" s="803"/>
      <c r="D615" s="141"/>
      <c r="E615" s="141"/>
      <c r="F615" s="141"/>
      <c r="G615" s="718">
        <f>IF(G609="Yes",ROUND(G613/G612,6),0)</f>
        <v>1.0322579999999999</v>
      </c>
      <c r="H615" s="719"/>
      <c r="I615" s="718">
        <f>IF(I609="Yes",ROUND(I614/I612,6),0)</f>
        <v>0</v>
      </c>
      <c r="J615" s="589"/>
      <c r="K615" s="803" t="s">
        <v>398</v>
      </c>
      <c r="L615" s="216"/>
      <c r="M615" s="216"/>
      <c r="N615" s="613"/>
      <c r="O615" s="613"/>
      <c r="P615" s="613"/>
      <c r="Q615" s="613"/>
      <c r="R615" s="219"/>
      <c r="S615" s="219"/>
      <c r="T615" s="216"/>
      <c r="U615" s="216"/>
      <c r="V615" s="216"/>
      <c r="W615" s="216"/>
      <c r="X615" s="994"/>
      <c r="Y615" s="992"/>
    </row>
    <row r="616" spans="1:31" hidden="1" outlineLevel="1" x14ac:dyDescent="0.2">
      <c r="A616" s="141"/>
      <c r="B616" s="141"/>
      <c r="C616" s="803"/>
      <c r="D616" s="141"/>
      <c r="E616" s="141"/>
      <c r="F616" s="141"/>
      <c r="G616" s="592">
        <f>IF(G618="Yes",0,ROUND(ROUND(K605,2)*G615,2))</f>
        <v>0</v>
      </c>
      <c r="H616" s="141"/>
      <c r="I616" s="592">
        <f>IF(G618="Yes",0,ROUND(ROUND(K605,2)*I615,2))</f>
        <v>0</v>
      </c>
      <c r="J616" s="141"/>
      <c r="K616" s="803" t="s">
        <v>409</v>
      </c>
      <c r="L616" s="216"/>
      <c r="M616" s="216"/>
      <c r="N616" s="510"/>
      <c r="O616" s="510"/>
      <c r="P616" s="510"/>
      <c r="Q616" s="510"/>
      <c r="R616" s="219"/>
      <c r="S616" s="219"/>
      <c r="T616" s="216"/>
      <c r="U616" s="216"/>
      <c r="V616" s="216"/>
      <c r="W616" s="216"/>
      <c r="X616" s="994"/>
      <c r="Y616" s="992"/>
    </row>
    <row r="617" spans="1:31" hidden="1" outlineLevel="1" x14ac:dyDescent="0.2">
      <c r="A617" s="141"/>
      <c r="B617" s="141"/>
      <c r="C617" s="803"/>
      <c r="D617" s="141"/>
      <c r="E617" s="141"/>
      <c r="F617" s="141"/>
      <c r="G617" s="141"/>
      <c r="H617" s="141"/>
      <c r="I617" s="141"/>
      <c r="J617" s="141"/>
      <c r="K617" s="803"/>
      <c r="L617" s="216"/>
      <c r="M617" s="216"/>
      <c r="N617" s="219"/>
      <c r="O617" s="219"/>
      <c r="P617" s="219"/>
      <c r="Q617" s="202"/>
      <c r="R617" s="219"/>
      <c r="S617" s="219"/>
      <c r="T617" s="216"/>
      <c r="U617" s="216"/>
      <c r="V617" s="216"/>
      <c r="W617" s="216"/>
      <c r="X617" s="994"/>
      <c r="Y617" s="992"/>
    </row>
    <row r="618" spans="1:31" hidden="1" outlineLevel="1" x14ac:dyDescent="0.2">
      <c r="A618" s="141"/>
      <c r="B618" s="141"/>
      <c r="C618" s="803"/>
      <c r="D618" s="141"/>
      <c r="E618" s="141"/>
      <c r="F618" s="141"/>
      <c r="G618" s="542" t="str">
        <f>IF(AND(YEAR(G605)=YEAR(I605),MONTH(G605)=MONTH(I605),G609="YES",I609="YES"),"YES","NO")</f>
        <v>YES</v>
      </c>
      <c r="H618" s="141"/>
      <c r="I618" s="141"/>
      <c r="J618" s="141"/>
      <c r="K618" s="803" t="s">
        <v>410</v>
      </c>
      <c r="L618" s="216"/>
      <c r="M618" s="216"/>
      <c r="N618" s="544"/>
      <c r="O618" s="510"/>
      <c r="P618" s="544"/>
      <c r="Q618" s="202"/>
      <c r="R618" s="219"/>
      <c r="S618" s="219"/>
      <c r="T618" s="216"/>
      <c r="U618" s="216"/>
      <c r="V618" s="216"/>
      <c r="W618" s="216"/>
      <c r="X618" s="994"/>
      <c r="Y618" s="992"/>
    </row>
    <row r="619" spans="1:31" hidden="1" outlineLevel="1" x14ac:dyDescent="0.2">
      <c r="A619" s="141"/>
      <c r="B619" s="141"/>
      <c r="C619" s="803"/>
      <c r="D619" s="141"/>
      <c r="E619" s="141"/>
      <c r="F619" s="141"/>
      <c r="G619" s="141">
        <f>IF(G618="yes",I605-G605+1,0)</f>
        <v>1</v>
      </c>
      <c r="H619" s="141"/>
      <c r="I619" s="141"/>
      <c r="J619" s="141"/>
      <c r="K619" s="803" t="s">
        <v>411</v>
      </c>
      <c r="L619" s="216"/>
      <c r="M619" s="216"/>
      <c r="N619" s="202"/>
      <c r="O619" s="510"/>
      <c r="P619" s="202"/>
      <c r="Q619" s="202"/>
      <c r="R619" s="219"/>
      <c r="S619" s="219"/>
      <c r="T619" s="216"/>
      <c r="U619" s="216"/>
      <c r="V619" s="216"/>
      <c r="W619" s="216"/>
      <c r="X619" s="994"/>
      <c r="Y619" s="992"/>
    </row>
    <row r="620" spans="1:31" hidden="1" outlineLevel="1" x14ac:dyDescent="0.2">
      <c r="A620" s="141"/>
      <c r="B620" s="141"/>
      <c r="C620" s="803"/>
      <c r="D620" s="141"/>
      <c r="E620" s="141"/>
      <c r="F620" s="141"/>
      <c r="G620" s="717">
        <f>ROUND(G619/G612,6)</f>
        <v>3.2258000000000002E-2</v>
      </c>
      <c r="H620" s="141"/>
      <c r="I620" s="141"/>
      <c r="J620" s="141"/>
      <c r="K620" s="803" t="s">
        <v>398</v>
      </c>
      <c r="L620" s="216"/>
      <c r="M620" s="216"/>
      <c r="N620" s="549"/>
      <c r="O620" s="510"/>
      <c r="P620" s="549"/>
      <c r="Q620" s="202"/>
      <c r="R620" s="219"/>
      <c r="S620" s="219"/>
      <c r="T620" s="216"/>
      <c r="U620" s="216"/>
      <c r="V620" s="216"/>
      <c r="W620" s="216"/>
      <c r="X620" s="994"/>
      <c r="Y620" s="992"/>
    </row>
    <row r="621" spans="1:31" hidden="1" outlineLevel="1" x14ac:dyDescent="0.2">
      <c r="A621" s="141"/>
      <c r="B621" s="141"/>
      <c r="C621" s="803"/>
      <c r="D621" s="141"/>
      <c r="E621" s="141"/>
      <c r="F621" s="141"/>
      <c r="G621" s="540">
        <f>ROUND(IF(NOT(G605=0),G620*ROUND(K605,2),0),2)</f>
        <v>0</v>
      </c>
      <c r="H621" s="141"/>
      <c r="I621" s="141"/>
      <c r="J621" s="141"/>
      <c r="K621" s="803" t="s">
        <v>413</v>
      </c>
      <c r="L621" s="216"/>
      <c r="M621" s="216"/>
      <c r="N621" s="510"/>
      <c r="O621" s="510"/>
      <c r="P621" s="510"/>
      <c r="Q621" s="202"/>
      <c r="R621" s="219"/>
      <c r="S621" s="219"/>
      <c r="T621" s="216"/>
      <c r="U621" s="216"/>
      <c r="V621" s="216"/>
      <c r="W621" s="216"/>
      <c r="X621" s="994"/>
      <c r="Y621" s="992"/>
    </row>
    <row r="622" spans="1:31" hidden="1" outlineLevel="1" x14ac:dyDescent="0.2">
      <c r="A622" s="141"/>
      <c r="B622" s="141"/>
      <c r="C622" s="141"/>
      <c r="D622" s="141"/>
      <c r="E622" s="141"/>
      <c r="F622" s="141"/>
      <c r="G622" s="141"/>
      <c r="H622" s="141"/>
      <c r="I622" s="141"/>
      <c r="J622" s="141"/>
      <c r="K622" s="141"/>
      <c r="L622" s="216"/>
      <c r="M622" s="216"/>
      <c r="N622" s="219"/>
      <c r="O622" s="219"/>
      <c r="P622" s="219"/>
      <c r="Q622" s="202"/>
      <c r="R622" s="219"/>
      <c r="S622" s="219"/>
      <c r="T622" s="216"/>
      <c r="U622" s="216"/>
      <c r="V622" s="216"/>
      <c r="W622" s="216"/>
      <c r="X622" s="994"/>
      <c r="Y622" s="992"/>
    </row>
    <row r="623" spans="1:31" hidden="1" outlineLevel="1" x14ac:dyDescent="0.2">
      <c r="A623" s="141"/>
      <c r="B623" s="141"/>
      <c r="C623" s="141"/>
      <c r="D623" s="141"/>
      <c r="E623" s="141"/>
      <c r="F623" s="141"/>
      <c r="G623" s="716">
        <f>IF(G618="No",G615,G620)</f>
        <v>3.2258000000000002E-2</v>
      </c>
      <c r="H623" s="721"/>
      <c r="I623" s="716">
        <f>IF(G618="No",I615,0)</f>
        <v>0</v>
      </c>
      <c r="J623" s="141"/>
      <c r="K623" s="141" t="s">
        <v>492</v>
      </c>
      <c r="L623" s="216"/>
      <c r="M623" s="216"/>
      <c r="N623" s="613"/>
      <c r="O623" s="549"/>
      <c r="P623" s="613"/>
      <c r="Q623" s="549"/>
      <c r="R623" s="219"/>
      <c r="S623" s="219"/>
      <c r="T623" s="216"/>
      <c r="U623" s="216"/>
      <c r="V623" s="216"/>
      <c r="W623" s="216"/>
      <c r="X623" s="994"/>
      <c r="Y623" s="992"/>
    </row>
    <row r="624" spans="1:31" hidden="1" outlineLevel="1" x14ac:dyDescent="0.2">
      <c r="A624" s="141"/>
      <c r="B624" s="141"/>
      <c r="C624" s="141"/>
      <c r="D624" s="141"/>
      <c r="E624" s="141"/>
      <c r="F624" s="141"/>
      <c r="G624" s="603"/>
      <c r="H624" s="520"/>
      <c r="I624" s="603"/>
      <c r="J624" s="520"/>
      <c r="K624" s="141"/>
      <c r="L624" s="216"/>
      <c r="M624" s="516"/>
      <c r="N624" s="551"/>
      <c r="O624" s="551"/>
      <c r="P624" s="551"/>
      <c r="Q624" s="551"/>
      <c r="R624" s="219"/>
      <c r="S624" s="219"/>
      <c r="T624" s="216"/>
      <c r="U624" s="216"/>
      <c r="V624" s="216"/>
      <c r="W624" s="216"/>
      <c r="X624" s="994"/>
      <c r="Y624" s="992"/>
    </row>
    <row r="625" spans="1:31" ht="13.5" collapsed="1" thickBot="1" x14ac:dyDescent="0.25">
      <c r="A625" s="141"/>
      <c r="B625" s="141"/>
      <c r="C625" s="141"/>
      <c r="D625" s="141"/>
      <c r="E625" s="141"/>
      <c r="F625" s="141"/>
      <c r="G625" s="1663">
        <f>G616+G621</f>
        <v>0</v>
      </c>
      <c r="H625" s="1663"/>
      <c r="I625" s="1663">
        <f>I616+I621</f>
        <v>0</v>
      </c>
      <c r="J625" s="1663"/>
      <c r="K625" s="832" t="s">
        <v>399</v>
      </c>
      <c r="L625" s="216"/>
      <c r="M625" s="216"/>
      <c r="N625" s="141"/>
      <c r="O625" s="216"/>
      <c r="P625" s="216"/>
      <c r="Q625" s="141"/>
      <c r="R625" s="219"/>
      <c r="S625" s="219"/>
      <c r="T625" s="216"/>
      <c r="U625" s="216"/>
      <c r="V625" s="216"/>
      <c r="W625" s="216"/>
      <c r="X625" s="994"/>
      <c r="Y625" s="992"/>
    </row>
    <row r="626" spans="1:31" ht="15.75" thickTop="1" x14ac:dyDescent="0.25">
      <c r="G626" s="842" t="str">
        <f>IF($AD612&gt;0,"ERROR ALERT:  The date range in your service start/end dates is NOT consistent with the OTO start/end dates ('OTO Terms' above), please check your dates and re-enter.","")</f>
        <v/>
      </c>
      <c r="R626" s="254"/>
      <c r="S626" s="254"/>
    </row>
    <row r="629" spans="1:31" ht="13.5" customHeight="1" thickBot="1" x14ac:dyDescent="0.3">
      <c r="B629" s="1686" t="s">
        <v>509</v>
      </c>
      <c r="C629" s="1686"/>
      <c r="D629" s="1686"/>
      <c r="E629" s="1686"/>
      <c r="F629" s="1686"/>
      <c r="G629" s="1686"/>
      <c r="H629" s="1686"/>
      <c r="I629" s="141"/>
      <c r="J629" s="141"/>
      <c r="K629" s="141"/>
      <c r="L629" s="216"/>
      <c r="M629" s="216"/>
      <c r="N629" s="216"/>
      <c r="O629" s="216"/>
    </row>
    <row r="630" spans="1:31" x14ac:dyDescent="0.2">
      <c r="B630" s="1687"/>
      <c r="C630" s="1688"/>
      <c r="D630" s="1688"/>
      <c r="E630" s="1688"/>
      <c r="F630" s="1688"/>
      <c r="G630" s="1688"/>
      <c r="H630" s="1688"/>
      <c r="I630" s="1688"/>
      <c r="J630" s="1688"/>
      <c r="K630" s="1688"/>
      <c r="L630" s="1688"/>
      <c r="M630" s="1688"/>
      <c r="N630" s="1688"/>
      <c r="O630" s="1688"/>
      <c r="P630" s="1688"/>
      <c r="Q630" s="1688"/>
      <c r="R630" s="1688"/>
      <c r="S630" s="1689"/>
    </row>
    <row r="631" spans="1:31" x14ac:dyDescent="0.2">
      <c r="B631" s="1690"/>
      <c r="C631" s="1691"/>
      <c r="D631" s="1691"/>
      <c r="E631" s="1691"/>
      <c r="F631" s="1691"/>
      <c r="G631" s="1691"/>
      <c r="H631" s="1691"/>
      <c r="I631" s="1691"/>
      <c r="J631" s="1691"/>
      <c r="K631" s="1691"/>
      <c r="L631" s="1691"/>
      <c r="M631" s="1691"/>
      <c r="N631" s="1691"/>
      <c r="O631" s="1691"/>
      <c r="P631" s="1691"/>
      <c r="Q631" s="1691"/>
      <c r="R631" s="1691"/>
      <c r="S631" s="1692"/>
    </row>
    <row r="632" spans="1:31" x14ac:dyDescent="0.2">
      <c r="B632" s="1690"/>
      <c r="C632" s="1691"/>
      <c r="D632" s="1691"/>
      <c r="E632" s="1691"/>
      <c r="F632" s="1691"/>
      <c r="G632" s="1691"/>
      <c r="H632" s="1691"/>
      <c r="I632" s="1691"/>
      <c r="J632" s="1691"/>
      <c r="K632" s="1691"/>
      <c r="L632" s="1691"/>
      <c r="M632" s="1691"/>
      <c r="N632" s="1691"/>
      <c r="O632" s="1691"/>
      <c r="P632" s="1691"/>
      <c r="Q632" s="1691"/>
      <c r="R632" s="1691"/>
      <c r="S632" s="1692"/>
    </row>
    <row r="633" spans="1:31" x14ac:dyDescent="0.2">
      <c r="B633" s="1690"/>
      <c r="C633" s="1691"/>
      <c r="D633" s="1691"/>
      <c r="E633" s="1691"/>
      <c r="F633" s="1691"/>
      <c r="G633" s="1691"/>
      <c r="H633" s="1691"/>
      <c r="I633" s="1691"/>
      <c r="J633" s="1691"/>
      <c r="K633" s="1691"/>
      <c r="L633" s="1691"/>
      <c r="M633" s="1691"/>
      <c r="N633" s="1691"/>
      <c r="O633" s="1691"/>
      <c r="P633" s="1691"/>
      <c r="Q633" s="1691"/>
      <c r="R633" s="1691"/>
      <c r="S633" s="1692"/>
    </row>
    <row r="634" spans="1:31" ht="13.5" thickBot="1" x14ac:dyDescent="0.25">
      <c r="B634" s="1693"/>
      <c r="C634" s="1694"/>
      <c r="D634" s="1694"/>
      <c r="E634" s="1694"/>
      <c r="F634" s="1694"/>
      <c r="G634" s="1694"/>
      <c r="H634" s="1694"/>
      <c r="I634" s="1694"/>
      <c r="J634" s="1694"/>
      <c r="K634" s="1694"/>
      <c r="L634" s="1694"/>
      <c r="M634" s="1694"/>
      <c r="N634" s="1694"/>
      <c r="O634" s="1694"/>
      <c r="P634" s="1694"/>
      <c r="Q634" s="1694"/>
      <c r="R634" s="1694"/>
      <c r="S634" s="1695"/>
    </row>
    <row r="636" spans="1:31" s="141" customFormat="1" ht="15.75" x14ac:dyDescent="0.25">
      <c r="B636" s="1685" t="s">
        <v>401</v>
      </c>
      <c r="C636" s="1685"/>
      <c r="D636" s="1685"/>
      <c r="E636" s="1685"/>
      <c r="F636" s="1685"/>
      <c r="G636" s="1685"/>
      <c r="H636" s="1685"/>
      <c r="I636" s="1685"/>
      <c r="J636" s="1685"/>
      <c r="K636" s="1685"/>
      <c r="L636" s="1685"/>
      <c r="M636" s="1685"/>
      <c r="N636" s="1685"/>
      <c r="O636" s="1685"/>
      <c r="P636" s="216"/>
      <c r="R636" s="216"/>
      <c r="S636" s="216"/>
      <c r="T636" s="216"/>
      <c r="U636" s="216"/>
      <c r="V636" s="216"/>
      <c r="W636" s="216"/>
      <c r="X636" s="994"/>
      <c r="Y636" s="992"/>
      <c r="Z636" s="992"/>
      <c r="AA636" s="992"/>
      <c r="AB636" s="992"/>
      <c r="AC636" s="992"/>
      <c r="AD636" s="994"/>
      <c r="AE636" s="994"/>
    </row>
    <row r="637" spans="1:31" s="141" customFormat="1" ht="4.9000000000000004" customHeight="1" x14ac:dyDescent="0.25">
      <c r="B637" s="856"/>
      <c r="C637" s="856"/>
      <c r="D637" s="856"/>
      <c r="E637" s="856"/>
      <c r="F637" s="856"/>
      <c r="G637" s="856"/>
      <c r="H637" s="856"/>
      <c r="I637" s="856"/>
      <c r="J637" s="856"/>
      <c r="K637" s="856"/>
      <c r="L637" s="856"/>
      <c r="M637" s="856"/>
      <c r="N637" s="856"/>
      <c r="O637" s="856"/>
      <c r="P637" s="216"/>
      <c r="R637" s="216"/>
      <c r="S637" s="216"/>
      <c r="T637" s="216"/>
      <c r="U637" s="216"/>
      <c r="V637" s="216"/>
      <c r="W637" s="216"/>
      <c r="X637" s="994"/>
      <c r="Y637" s="992"/>
      <c r="Z637" s="992"/>
      <c r="AA637" s="992"/>
      <c r="AB637" s="992"/>
      <c r="AC637" s="992"/>
      <c r="AD637" s="994"/>
      <c r="AE637" s="994"/>
    </row>
    <row r="638" spans="1:31" s="141" customFormat="1" ht="15.75" x14ac:dyDescent="0.25">
      <c r="B638" s="853" t="s">
        <v>627</v>
      </c>
      <c r="C638" s="852"/>
      <c r="D638" s="852"/>
      <c r="E638" s="852"/>
      <c r="F638" s="852"/>
      <c r="G638" s="852"/>
      <c r="H638" s="852"/>
      <c r="I638" s="852"/>
      <c r="J638" s="852"/>
      <c r="K638" s="856"/>
      <c r="L638" s="856"/>
      <c r="M638" s="856"/>
      <c r="N638" s="856"/>
      <c r="O638" s="856"/>
      <c r="P638" s="216"/>
      <c r="R638" s="216"/>
      <c r="S638" s="216"/>
      <c r="T638" s="216"/>
      <c r="U638" s="216"/>
      <c r="V638" s="216"/>
      <c r="W638" s="216"/>
      <c r="X638" s="994"/>
      <c r="Y638" s="992"/>
      <c r="Z638" s="992"/>
      <c r="AA638" s="992"/>
      <c r="AB638" s="992"/>
      <c r="AC638" s="992"/>
      <c r="AD638" s="994"/>
      <c r="AE638" s="994"/>
    </row>
    <row r="639" spans="1:31" s="141" customFormat="1" ht="4.9000000000000004" customHeight="1" x14ac:dyDescent="0.25">
      <c r="B639" s="856"/>
      <c r="C639" s="856"/>
      <c r="D639" s="856"/>
      <c r="E639" s="856"/>
      <c r="F639" s="856"/>
      <c r="G639" s="856"/>
      <c r="H639" s="856"/>
      <c r="I639" s="856"/>
      <c r="J639" s="856"/>
      <c r="K639" s="856"/>
      <c r="L639" s="856"/>
      <c r="M639" s="856"/>
      <c r="N639" s="856"/>
      <c r="O639" s="856"/>
      <c r="P639" s="216"/>
      <c r="R639" s="216"/>
      <c r="S639" s="216"/>
      <c r="T639" s="216"/>
      <c r="U639" s="216"/>
      <c r="V639" s="216"/>
      <c r="W639" s="216"/>
      <c r="X639" s="994"/>
      <c r="Y639" s="992"/>
      <c r="Z639" s="992"/>
      <c r="AA639" s="992"/>
      <c r="AB639" s="992"/>
      <c r="AC639" s="992"/>
      <c r="AD639" s="994"/>
      <c r="AE639" s="994"/>
    </row>
    <row r="640" spans="1:31" ht="15" x14ac:dyDescent="0.25">
      <c r="B640" s="627" t="s">
        <v>521</v>
      </c>
      <c r="C640" s="141"/>
      <c r="D640" s="141"/>
      <c r="E640" s="141"/>
      <c r="F640" s="141"/>
      <c r="G640" s="141"/>
      <c r="H640" s="141"/>
      <c r="I640" s="141"/>
      <c r="J640" s="141"/>
      <c r="K640" s="141"/>
      <c r="L640" s="141"/>
      <c r="M640" s="141"/>
      <c r="N640" s="216"/>
      <c r="O640" s="141"/>
      <c r="AD640" s="994"/>
      <c r="AE640" s="994"/>
    </row>
    <row r="641" spans="2:31" ht="32.25" customHeight="1" x14ac:dyDescent="0.2">
      <c r="B641" s="628">
        <v>1</v>
      </c>
      <c r="C641" s="1611" t="s">
        <v>735</v>
      </c>
      <c r="D641" s="1611"/>
      <c r="E641" s="1611"/>
      <c r="F641" s="1611"/>
      <c r="G641" s="1611"/>
      <c r="H641" s="1611"/>
      <c r="I641" s="1611"/>
      <c r="J641" s="1611"/>
      <c r="K641" s="1611"/>
      <c r="L641" s="1611"/>
      <c r="M641" s="1611"/>
      <c r="N641" s="1611"/>
      <c r="O641" s="1611"/>
      <c r="AD641" s="994"/>
      <c r="AE641" s="994"/>
    </row>
    <row r="642" spans="2:31" ht="7.5" customHeight="1" x14ac:dyDescent="0.2">
      <c r="B642" s="628"/>
      <c r="C642" s="850"/>
      <c r="D642" s="850"/>
      <c r="E642" s="850"/>
      <c r="F642" s="850"/>
      <c r="G642" s="850"/>
      <c r="H642" s="850"/>
      <c r="I642" s="850"/>
      <c r="J642" s="850"/>
      <c r="K642" s="850"/>
      <c r="L642" s="850"/>
      <c r="M642" s="850"/>
      <c r="N642" s="854"/>
      <c r="O642" s="141"/>
      <c r="AD642" s="994"/>
      <c r="AE642" s="994"/>
    </row>
    <row r="643" spans="2:31" ht="12.75" customHeight="1" x14ac:dyDescent="0.2">
      <c r="B643" s="628">
        <v>2</v>
      </c>
      <c r="C643" s="1611" t="s">
        <v>736</v>
      </c>
      <c r="D643" s="1611"/>
      <c r="E643" s="1611"/>
      <c r="F643" s="1611"/>
      <c r="G643" s="1611"/>
      <c r="H643" s="1611"/>
      <c r="I643" s="1611"/>
      <c r="J643" s="1611"/>
      <c r="K643" s="1611"/>
      <c r="L643" s="1611"/>
      <c r="M643" s="1611"/>
      <c r="N643" s="1611"/>
      <c r="O643" s="1611"/>
      <c r="AD643" s="994"/>
      <c r="AE643" s="994"/>
    </row>
    <row r="644" spans="2:31" ht="7.5" customHeight="1" x14ac:dyDescent="0.2">
      <c r="B644" s="628"/>
      <c r="C644" s="850"/>
      <c r="D644" s="850"/>
      <c r="E644" s="850"/>
      <c r="F644" s="850"/>
      <c r="G644" s="850"/>
      <c r="H644" s="850"/>
      <c r="I644" s="850"/>
      <c r="J644" s="850"/>
      <c r="K644" s="850"/>
      <c r="L644" s="850"/>
      <c r="M644" s="850"/>
      <c r="N644" s="854"/>
      <c r="O644" s="141"/>
      <c r="AD644" s="994"/>
      <c r="AE644" s="994"/>
    </row>
    <row r="645" spans="2:31" ht="30" customHeight="1" x14ac:dyDescent="0.2">
      <c r="B645" s="628">
        <v>3</v>
      </c>
      <c r="C645" s="1611" t="s">
        <v>737</v>
      </c>
      <c r="D645" s="1611"/>
      <c r="E645" s="1611"/>
      <c r="F645" s="1611"/>
      <c r="G645" s="1611"/>
      <c r="H645" s="1611"/>
      <c r="I645" s="1611"/>
      <c r="J645" s="1611"/>
      <c r="K645" s="1611"/>
      <c r="L645" s="1611"/>
      <c r="M645" s="1611"/>
      <c r="N645" s="1611"/>
      <c r="O645" s="1611"/>
      <c r="AD645" s="994"/>
      <c r="AE645" s="994"/>
    </row>
    <row r="646" spans="2:31" ht="8.1" customHeight="1" x14ac:dyDescent="0.2">
      <c r="B646" s="628"/>
      <c r="C646" s="850"/>
      <c r="D646" s="850"/>
      <c r="E646" s="850"/>
      <c r="F646" s="850"/>
      <c r="G646" s="850"/>
      <c r="H646" s="850"/>
      <c r="I646" s="850"/>
      <c r="J646" s="850"/>
      <c r="K646" s="850"/>
      <c r="L646" s="850"/>
      <c r="M646" s="850"/>
      <c r="N646" s="854"/>
      <c r="O646" s="141"/>
      <c r="AD646" s="994"/>
      <c r="AE646" s="994"/>
    </row>
    <row r="647" spans="2:31" x14ac:dyDescent="0.2">
      <c r="B647" s="628">
        <v>4</v>
      </c>
      <c r="C647" s="1615" t="s">
        <v>738</v>
      </c>
      <c r="D647" s="1615"/>
      <c r="E647" s="1615"/>
      <c r="F647" s="1615"/>
      <c r="G647" s="1615"/>
      <c r="H647" s="1615"/>
      <c r="I647" s="1615"/>
      <c r="J647" s="1615"/>
      <c r="K647" s="1615"/>
      <c r="L647" s="1615"/>
      <c r="M647" s="1615"/>
      <c r="N647" s="1615"/>
      <c r="O647" s="1615"/>
      <c r="AD647" s="994"/>
      <c r="AE647" s="994"/>
    </row>
    <row r="648" spans="2:31" ht="28.5" customHeight="1" x14ac:dyDescent="0.2">
      <c r="B648" s="628"/>
      <c r="C648" s="1612" t="s">
        <v>739</v>
      </c>
      <c r="D648" s="1612"/>
      <c r="E648" s="1612"/>
      <c r="F648" s="1612"/>
      <c r="G648" s="1612"/>
      <c r="H648" s="1612"/>
      <c r="I648" s="1612"/>
      <c r="J648" s="1612"/>
      <c r="K648" s="1612"/>
      <c r="L648" s="1612"/>
      <c r="M648" s="1612"/>
      <c r="N648" s="1612"/>
      <c r="O648" s="1612"/>
      <c r="AD648" s="994"/>
      <c r="AE648" s="994"/>
    </row>
    <row r="649" spans="2:31" ht="8.1" customHeight="1" x14ac:dyDescent="0.2">
      <c r="B649" s="628"/>
      <c r="C649" s="850"/>
      <c r="D649" s="850"/>
      <c r="E649" s="850"/>
      <c r="F649" s="850"/>
      <c r="G649" s="850"/>
      <c r="H649" s="850"/>
      <c r="I649" s="850"/>
      <c r="J649" s="850"/>
      <c r="K649" s="850"/>
      <c r="L649" s="850"/>
      <c r="M649" s="850"/>
      <c r="N649" s="854"/>
      <c r="O649" s="141"/>
      <c r="AD649" s="994"/>
      <c r="AE649" s="994"/>
    </row>
    <row r="650" spans="2:31" ht="42" customHeight="1" x14ac:dyDescent="0.2">
      <c r="B650" s="628">
        <v>5</v>
      </c>
      <c r="C650" s="1611" t="s">
        <v>740</v>
      </c>
      <c r="D650" s="1611"/>
      <c r="E650" s="1611"/>
      <c r="F650" s="1611"/>
      <c r="G650" s="1611"/>
      <c r="H650" s="1611"/>
      <c r="I650" s="1611"/>
      <c r="J650" s="1611"/>
      <c r="K650" s="1611"/>
      <c r="L650" s="1611"/>
      <c r="M650" s="1611"/>
      <c r="N650" s="1611"/>
      <c r="O650" s="1611"/>
      <c r="AD650" s="994"/>
      <c r="AE650" s="994"/>
    </row>
    <row r="651" spans="2:31" ht="8.1" customHeight="1" x14ac:dyDescent="0.2">
      <c r="B651" s="628"/>
      <c r="C651" s="850"/>
      <c r="D651" s="850"/>
      <c r="E651" s="850"/>
      <c r="F651" s="850"/>
      <c r="G651" s="850"/>
      <c r="H651" s="850"/>
      <c r="I651" s="850"/>
      <c r="J651" s="850"/>
      <c r="K651" s="850"/>
      <c r="L651" s="850"/>
      <c r="M651" s="850"/>
      <c r="N651" s="854"/>
      <c r="O651" s="141"/>
      <c r="AD651" s="994"/>
      <c r="AE651" s="994"/>
    </row>
    <row r="652" spans="2:31" ht="12.75" customHeight="1" x14ac:dyDescent="0.2">
      <c r="B652" s="628">
        <v>6</v>
      </c>
      <c r="C652" s="1611" t="s">
        <v>404</v>
      </c>
      <c r="D652" s="1611"/>
      <c r="E652" s="1611"/>
      <c r="F652" s="1611"/>
      <c r="G652" s="1611"/>
      <c r="H652" s="1611"/>
      <c r="I652" s="1611"/>
      <c r="J652" s="1611"/>
      <c r="K652" s="1611"/>
      <c r="L652" s="1611"/>
      <c r="M652" s="1611"/>
      <c r="N652" s="1611"/>
      <c r="O652" s="1611"/>
      <c r="AD652" s="994"/>
      <c r="AE652" s="994"/>
    </row>
    <row r="653" spans="2:31" ht="8.1" customHeight="1" x14ac:dyDescent="0.2">
      <c r="B653" s="628"/>
      <c r="C653" s="850"/>
      <c r="D653" s="850"/>
      <c r="E653" s="850"/>
      <c r="F653" s="850"/>
      <c r="G653" s="850"/>
      <c r="H653" s="850"/>
      <c r="I653" s="850"/>
      <c r="J653" s="850"/>
      <c r="K653" s="850"/>
      <c r="L653" s="850"/>
      <c r="M653" s="850"/>
      <c r="N653" s="854"/>
      <c r="O653" s="141"/>
      <c r="AD653" s="994"/>
      <c r="AE653" s="994"/>
    </row>
    <row r="654" spans="2:31" ht="12.75" customHeight="1" x14ac:dyDescent="0.2">
      <c r="B654" s="628">
        <v>7</v>
      </c>
      <c r="C654" s="1611" t="s">
        <v>741</v>
      </c>
      <c r="D654" s="1611"/>
      <c r="E654" s="1611"/>
      <c r="F654" s="1611"/>
      <c r="G654" s="1611"/>
      <c r="H654" s="1611"/>
      <c r="I654" s="1611"/>
      <c r="J654" s="1611"/>
      <c r="K654" s="1611"/>
      <c r="L654" s="1611"/>
      <c r="M654" s="1611"/>
      <c r="N654" s="1611"/>
      <c r="O654" s="1611"/>
      <c r="AD654" s="994"/>
      <c r="AE654" s="994"/>
    </row>
    <row r="655" spans="2:31" ht="8.1" customHeight="1" x14ac:dyDescent="0.2">
      <c r="B655" s="628"/>
      <c r="C655" s="850"/>
      <c r="D655" s="850"/>
      <c r="E655" s="850"/>
      <c r="F655" s="850"/>
      <c r="G655" s="850"/>
      <c r="H655" s="850"/>
      <c r="I655" s="850"/>
      <c r="J655" s="850"/>
      <c r="K655" s="850"/>
      <c r="L655" s="850"/>
      <c r="M655" s="850"/>
      <c r="N655" s="854"/>
      <c r="O655" s="141"/>
      <c r="AD655" s="994"/>
      <c r="AE655" s="994"/>
    </row>
    <row r="656" spans="2:31" ht="12.75" customHeight="1" x14ac:dyDescent="0.2">
      <c r="B656" s="628">
        <v>8</v>
      </c>
      <c r="C656" s="1611" t="s">
        <v>728</v>
      </c>
      <c r="D656" s="1611"/>
      <c r="E656" s="1611"/>
      <c r="F656" s="1611"/>
      <c r="G656" s="1611"/>
      <c r="H656" s="1611"/>
      <c r="I656" s="1611"/>
      <c r="J656" s="1611"/>
      <c r="K656" s="1611"/>
      <c r="L656" s="1611"/>
      <c r="M656" s="1611"/>
      <c r="N656" s="1611"/>
      <c r="O656" s="1611"/>
      <c r="AD656" s="994"/>
      <c r="AE656" s="994"/>
    </row>
    <row r="657" spans="2:31" ht="8.1" customHeight="1" x14ac:dyDescent="0.2">
      <c r="B657" s="141"/>
      <c r="C657" s="629"/>
      <c r="D657" s="629"/>
      <c r="E657" s="629"/>
      <c r="F657" s="629"/>
      <c r="G657" s="629"/>
      <c r="H657" s="629"/>
      <c r="I657" s="629"/>
      <c r="J657" s="629"/>
      <c r="K657" s="629"/>
      <c r="L657" s="629"/>
      <c r="M657" s="629"/>
      <c r="N657" s="630"/>
      <c r="O657" s="141"/>
      <c r="AD657" s="994"/>
      <c r="AE657" s="994"/>
    </row>
    <row r="658" spans="2:31" ht="15" x14ac:dyDescent="0.25">
      <c r="B658" s="627" t="s">
        <v>583</v>
      </c>
      <c r="C658" s="629"/>
      <c r="D658" s="629"/>
      <c r="E658" s="629"/>
      <c r="F658" s="629"/>
      <c r="G658" s="629"/>
      <c r="H658" s="629"/>
      <c r="I658" s="629"/>
      <c r="J658" s="629"/>
      <c r="K658" s="629"/>
      <c r="L658" s="629"/>
      <c r="M658" s="629"/>
      <c r="N658" s="630"/>
      <c r="O658" s="141"/>
      <c r="AD658" s="994"/>
      <c r="AE658" s="994"/>
    </row>
    <row r="659" spans="2:31" ht="30.75" customHeight="1" x14ac:dyDescent="0.2">
      <c r="B659" s="628">
        <v>1</v>
      </c>
      <c r="C659" s="1611" t="s">
        <v>729</v>
      </c>
      <c r="D659" s="1611"/>
      <c r="E659" s="1611"/>
      <c r="F659" s="1611"/>
      <c r="G659" s="1611"/>
      <c r="H659" s="1611"/>
      <c r="I659" s="1611"/>
      <c r="J659" s="1611"/>
      <c r="K659" s="1611"/>
      <c r="L659" s="1611"/>
      <c r="M659" s="1611"/>
      <c r="N659" s="1611"/>
      <c r="O659" s="1611"/>
      <c r="AD659" s="994"/>
      <c r="AE659" s="994"/>
    </row>
    <row r="660" spans="2:31" ht="30.75" customHeight="1" x14ac:dyDescent="0.2">
      <c r="B660" s="140"/>
      <c r="C660" s="1611" t="s">
        <v>703</v>
      </c>
      <c r="D660" s="1611"/>
      <c r="E660" s="1611"/>
      <c r="F660" s="1611"/>
      <c r="G660" s="1611"/>
      <c r="H660" s="1611"/>
      <c r="I660" s="1611"/>
      <c r="J660" s="1611"/>
      <c r="K660" s="1611"/>
      <c r="L660" s="1611"/>
      <c r="M660" s="1611"/>
      <c r="N660" s="1611"/>
      <c r="O660" s="1611"/>
      <c r="AD660" s="994"/>
      <c r="AE660" s="994"/>
    </row>
    <row r="661" spans="2:31" ht="8.1" customHeight="1" x14ac:dyDescent="0.2">
      <c r="B661" s="140"/>
      <c r="C661" s="850"/>
      <c r="D661" s="850"/>
      <c r="E661" s="850"/>
      <c r="F661" s="850"/>
      <c r="G661" s="850"/>
      <c r="H661" s="850"/>
      <c r="I661" s="850"/>
      <c r="J661" s="850"/>
      <c r="K661" s="850"/>
      <c r="L661" s="850"/>
      <c r="M661" s="850"/>
      <c r="N661" s="854"/>
      <c r="O661" s="141"/>
      <c r="AD661" s="994"/>
      <c r="AE661" s="994"/>
    </row>
    <row r="662" spans="2:31" x14ac:dyDescent="0.2">
      <c r="B662" s="628">
        <v>2</v>
      </c>
      <c r="C662" s="1611" t="s">
        <v>742</v>
      </c>
      <c r="D662" s="1611"/>
      <c r="E662" s="1611"/>
      <c r="F662" s="1611"/>
      <c r="G662" s="1611"/>
      <c r="H662" s="1611"/>
      <c r="I662" s="1611"/>
      <c r="J662" s="1611"/>
      <c r="K662" s="1611"/>
      <c r="L662" s="1611"/>
      <c r="M662" s="1611"/>
      <c r="N662" s="1611"/>
      <c r="O662" s="1611"/>
      <c r="AD662" s="994"/>
      <c r="AE662" s="994"/>
    </row>
    <row r="663" spans="2:31" ht="12.75" customHeight="1" x14ac:dyDescent="0.2">
      <c r="B663" s="140"/>
      <c r="C663" s="1611" t="s">
        <v>743</v>
      </c>
      <c r="D663" s="1611"/>
      <c r="E663" s="1611"/>
      <c r="F663" s="1611"/>
      <c r="G663" s="1611"/>
      <c r="H663" s="1611"/>
      <c r="I663" s="1611"/>
      <c r="J663" s="1611"/>
      <c r="K663" s="1611"/>
      <c r="L663" s="1611"/>
      <c r="M663" s="1611"/>
      <c r="N663" s="1611"/>
      <c r="O663" s="1611"/>
      <c r="AD663" s="994"/>
      <c r="AE663" s="994"/>
    </row>
    <row r="664" spans="2:31" ht="8.1" customHeight="1" x14ac:dyDescent="0.2">
      <c r="B664" s="140"/>
      <c r="C664" s="850"/>
      <c r="D664" s="850"/>
      <c r="E664" s="850"/>
      <c r="F664" s="850"/>
      <c r="G664" s="850"/>
      <c r="H664" s="850"/>
      <c r="I664" s="850"/>
      <c r="J664" s="850"/>
      <c r="K664" s="850"/>
      <c r="L664" s="850"/>
      <c r="M664" s="850"/>
      <c r="N664" s="854"/>
      <c r="O664" s="141"/>
      <c r="AD664" s="994"/>
      <c r="AE664" s="994"/>
    </row>
    <row r="665" spans="2:31" ht="177" customHeight="1" x14ac:dyDescent="0.2">
      <c r="B665" s="628">
        <v>3</v>
      </c>
      <c r="C665" s="1611" t="s">
        <v>744</v>
      </c>
      <c r="D665" s="1611"/>
      <c r="E665" s="1611"/>
      <c r="F665" s="1611"/>
      <c r="G665" s="1611"/>
      <c r="H665" s="1611"/>
      <c r="I665" s="1611"/>
      <c r="J665" s="1611"/>
      <c r="K665" s="1611"/>
      <c r="L665" s="1611"/>
      <c r="M665" s="1611"/>
      <c r="N665" s="1611"/>
      <c r="O665" s="1611"/>
      <c r="AD665" s="994"/>
      <c r="AE665" s="994"/>
    </row>
    <row r="666" spans="2:31" ht="28.5" customHeight="1" x14ac:dyDescent="0.2">
      <c r="B666" s="628"/>
      <c r="C666" s="1612" t="s">
        <v>745</v>
      </c>
      <c r="D666" s="1612"/>
      <c r="E666" s="1612"/>
      <c r="F666" s="1612"/>
      <c r="G666" s="1612"/>
      <c r="H666" s="1612"/>
      <c r="I666" s="1612"/>
      <c r="J666" s="1612"/>
      <c r="K666" s="1612"/>
      <c r="L666" s="1612"/>
      <c r="M666" s="1612"/>
      <c r="N666" s="1612"/>
      <c r="O666" s="1612"/>
      <c r="AD666" s="994"/>
      <c r="AE666" s="994"/>
    </row>
    <row r="667" spans="2:31" ht="8.1" customHeight="1" x14ac:dyDescent="0.2">
      <c r="B667" s="140"/>
      <c r="C667" s="850"/>
      <c r="D667" s="850"/>
      <c r="E667" s="850"/>
      <c r="F667" s="850"/>
      <c r="G667" s="850"/>
      <c r="H667" s="850"/>
      <c r="I667" s="850"/>
      <c r="J667" s="850"/>
      <c r="K667" s="850"/>
      <c r="L667" s="850"/>
      <c r="M667" s="850"/>
      <c r="N667" s="854"/>
      <c r="O667" s="141"/>
      <c r="AD667" s="994"/>
      <c r="AE667" s="994"/>
    </row>
    <row r="668" spans="2:31" x14ac:dyDescent="0.2">
      <c r="B668" s="628">
        <v>4</v>
      </c>
      <c r="C668" s="1615" t="s">
        <v>746</v>
      </c>
      <c r="D668" s="1615"/>
      <c r="E668" s="1615"/>
      <c r="F668" s="1615"/>
      <c r="G668" s="1615"/>
      <c r="H668" s="1615"/>
      <c r="I668" s="1615"/>
      <c r="J668" s="1615"/>
      <c r="K668" s="1615"/>
      <c r="L668" s="1615"/>
      <c r="M668" s="1615"/>
      <c r="N668" s="1615"/>
      <c r="O668" s="1615"/>
      <c r="AD668" s="994"/>
      <c r="AE668" s="994"/>
    </row>
    <row r="669" spans="2:31" ht="12.75" customHeight="1" x14ac:dyDescent="0.2">
      <c r="B669" s="140"/>
      <c r="C669" s="1611" t="s">
        <v>734</v>
      </c>
      <c r="D669" s="1611"/>
      <c r="E669" s="1611"/>
      <c r="F669" s="1611"/>
      <c r="G669" s="1611"/>
      <c r="H669" s="1611"/>
      <c r="I669" s="1611"/>
      <c r="J669" s="1611"/>
      <c r="K669" s="1611"/>
      <c r="L669" s="1611"/>
      <c r="M669" s="1611"/>
      <c r="N669" s="1611"/>
      <c r="O669" s="1611"/>
      <c r="AD669" s="994"/>
      <c r="AE669" s="994"/>
    </row>
    <row r="670" spans="2:31" ht="8.1" customHeight="1" x14ac:dyDescent="0.2">
      <c r="B670" s="140"/>
      <c r="C670" s="850"/>
      <c r="D670" s="850"/>
      <c r="E670" s="850"/>
      <c r="F670" s="850"/>
      <c r="G670" s="850"/>
      <c r="H670" s="850"/>
      <c r="I670" s="850"/>
      <c r="J670" s="850"/>
      <c r="K670" s="850"/>
      <c r="L670" s="850"/>
      <c r="M670" s="850"/>
      <c r="N670" s="854"/>
      <c r="O670" s="141"/>
      <c r="AD670" s="994"/>
      <c r="AE670" s="994"/>
    </row>
    <row r="671" spans="2:31" ht="12.75" customHeight="1" x14ac:dyDescent="0.2">
      <c r="B671" s="628">
        <v>5</v>
      </c>
      <c r="C671" s="1611" t="s">
        <v>606</v>
      </c>
      <c r="D671" s="1611"/>
      <c r="E671" s="1611"/>
      <c r="F671" s="1611"/>
      <c r="G671" s="1611"/>
      <c r="H671" s="1611"/>
      <c r="I671" s="1611"/>
      <c r="J671" s="1611"/>
      <c r="K671" s="1611"/>
      <c r="L671" s="1611"/>
      <c r="M671" s="1611"/>
      <c r="N671" s="1611"/>
      <c r="O671" s="1611"/>
      <c r="AD671" s="994"/>
      <c r="AE671" s="994"/>
    </row>
    <row r="672" spans="2:31" ht="12.75" customHeight="1" x14ac:dyDescent="0.2">
      <c r="B672" s="628"/>
      <c r="C672" s="1611" t="s">
        <v>704</v>
      </c>
      <c r="D672" s="1611"/>
      <c r="E672" s="1611"/>
      <c r="F672" s="1611"/>
      <c r="G672" s="1611"/>
      <c r="H672" s="1611"/>
      <c r="I672" s="1611"/>
      <c r="J672" s="1611"/>
      <c r="K672" s="1611"/>
      <c r="L672" s="1611"/>
      <c r="M672" s="1611"/>
      <c r="N672" s="1611"/>
      <c r="O672" s="1611"/>
      <c r="AD672" s="994"/>
      <c r="AE672" s="994"/>
    </row>
    <row r="673" spans="2:31" ht="8.1" customHeight="1" x14ac:dyDescent="0.2">
      <c r="B673" s="140"/>
      <c r="C673" s="850"/>
      <c r="D673" s="850"/>
      <c r="E673" s="850"/>
      <c r="F673" s="850"/>
      <c r="G673" s="850"/>
      <c r="H673" s="850"/>
      <c r="I673" s="850"/>
      <c r="J673" s="850"/>
      <c r="K673" s="850"/>
      <c r="L673" s="850"/>
      <c r="M673" s="850"/>
      <c r="N673" s="854"/>
      <c r="O673" s="141"/>
      <c r="AD673" s="994"/>
      <c r="AE673" s="994"/>
    </row>
    <row r="674" spans="2:31" ht="15" x14ac:dyDescent="0.25">
      <c r="B674" s="627" t="s">
        <v>584</v>
      </c>
      <c r="L674" s="34"/>
      <c r="M674" s="34"/>
      <c r="N674" s="34"/>
      <c r="O674" s="34"/>
      <c r="AD674" s="994"/>
      <c r="AE674" s="994"/>
    </row>
    <row r="675" spans="2:31" ht="28.5" customHeight="1" x14ac:dyDescent="0.2">
      <c r="B675" s="536"/>
      <c r="C675" s="1615" t="s">
        <v>747</v>
      </c>
      <c r="D675" s="1615"/>
      <c r="E675" s="1615"/>
      <c r="F675" s="1615"/>
      <c r="G675" s="1615"/>
      <c r="H675" s="1615"/>
      <c r="I675" s="1615"/>
      <c r="J675" s="1615"/>
      <c r="K675" s="1615"/>
      <c r="L675" s="1615"/>
      <c r="M675" s="1615"/>
      <c r="N675" s="1615"/>
      <c r="O675" s="1615"/>
      <c r="AD675" s="994"/>
      <c r="AE675" s="994"/>
    </row>
    <row r="676" spans="2:31" ht="8.1" customHeight="1" x14ac:dyDescent="0.2">
      <c r="B676" s="140"/>
      <c r="C676" s="850"/>
      <c r="D676" s="850"/>
      <c r="E676" s="850"/>
      <c r="F676" s="850"/>
      <c r="G676" s="850"/>
      <c r="H676" s="850"/>
      <c r="I676" s="850"/>
      <c r="J676" s="850"/>
      <c r="K676" s="850"/>
      <c r="L676" s="850"/>
      <c r="M676" s="850"/>
      <c r="N676" s="854"/>
      <c r="O676" s="141"/>
      <c r="AD676" s="994"/>
      <c r="AE676" s="994"/>
    </row>
    <row r="677" spans="2:31" x14ac:dyDescent="0.2">
      <c r="B677" s="628">
        <v>1</v>
      </c>
      <c r="C677" s="1615" t="s">
        <v>748</v>
      </c>
      <c r="D677" s="1615"/>
      <c r="E677" s="1615"/>
      <c r="F677" s="1615"/>
      <c r="G677" s="1615"/>
      <c r="H677" s="1615"/>
      <c r="I677" s="1615"/>
      <c r="J677" s="1615"/>
      <c r="K677" s="1615"/>
      <c r="L677" s="1615"/>
      <c r="M677" s="1615"/>
      <c r="N677" s="1615"/>
      <c r="O677" s="1615"/>
      <c r="AD677" s="994"/>
      <c r="AE677" s="994"/>
    </row>
    <row r="678" spans="2:31" ht="8.1" customHeight="1" x14ac:dyDescent="0.2">
      <c r="B678" s="140"/>
      <c r="C678" s="850"/>
      <c r="D678" s="850"/>
      <c r="E678" s="850"/>
      <c r="F678" s="850"/>
      <c r="G678" s="850"/>
      <c r="H678" s="850"/>
      <c r="I678" s="850"/>
      <c r="J678" s="850"/>
      <c r="K678" s="850"/>
      <c r="L678" s="850"/>
      <c r="M678" s="850"/>
      <c r="N678" s="854"/>
      <c r="O678" s="141"/>
      <c r="AD678" s="994"/>
      <c r="AE678" s="994"/>
    </row>
    <row r="679" spans="2:31" ht="30" customHeight="1" x14ac:dyDescent="0.2">
      <c r="B679" s="628">
        <v>2</v>
      </c>
      <c r="C679" s="1615" t="s">
        <v>749</v>
      </c>
      <c r="D679" s="1615"/>
      <c r="E679" s="1615"/>
      <c r="F679" s="1615"/>
      <c r="G679" s="1615"/>
      <c r="H679" s="1615"/>
      <c r="I679" s="1615"/>
      <c r="J679" s="1615"/>
      <c r="K679" s="1615"/>
      <c r="L679" s="1615"/>
      <c r="M679" s="1615"/>
      <c r="N679" s="1615"/>
      <c r="O679" s="1615"/>
      <c r="AD679" s="994"/>
      <c r="AE679" s="994"/>
    </row>
    <row r="680" spans="2:31" x14ac:dyDescent="0.2">
      <c r="B680" s="628"/>
      <c r="C680" s="1615" t="s">
        <v>750</v>
      </c>
      <c r="D680" s="1615"/>
      <c r="E680" s="1615"/>
      <c r="F680" s="1615"/>
      <c r="G680" s="1615"/>
      <c r="H680" s="1615"/>
      <c r="I680" s="1615"/>
      <c r="J680" s="1615"/>
      <c r="K680" s="1615"/>
      <c r="L680" s="1615"/>
      <c r="M680" s="1615"/>
      <c r="N680" s="1615"/>
      <c r="O680" s="1615"/>
      <c r="AD680" s="994"/>
      <c r="AE680" s="994"/>
    </row>
    <row r="681" spans="2:31" ht="8.1" customHeight="1" x14ac:dyDescent="0.2">
      <c r="B681" s="140"/>
      <c r="C681" s="850"/>
      <c r="D681" s="850"/>
      <c r="E681" s="850"/>
      <c r="F681" s="850"/>
      <c r="G681" s="850"/>
      <c r="H681" s="850"/>
      <c r="I681" s="850"/>
      <c r="J681" s="850"/>
      <c r="K681" s="850"/>
      <c r="L681" s="850"/>
      <c r="M681" s="850"/>
      <c r="N681" s="854"/>
      <c r="O681" s="141"/>
      <c r="AD681" s="994"/>
      <c r="AE681" s="994"/>
    </row>
    <row r="682" spans="2:31" x14ac:dyDescent="0.2">
      <c r="B682" s="628">
        <v>3</v>
      </c>
      <c r="C682" s="1615" t="s">
        <v>751</v>
      </c>
      <c r="D682" s="1615"/>
      <c r="E682" s="1615"/>
      <c r="F682" s="1615"/>
      <c r="G682" s="1615"/>
      <c r="H682" s="1615"/>
      <c r="I682" s="1615"/>
      <c r="J682" s="1615"/>
      <c r="K682" s="1615"/>
      <c r="L682" s="1615"/>
      <c r="M682" s="1615"/>
      <c r="N682" s="1615"/>
      <c r="O682" s="1615"/>
      <c r="AD682" s="994"/>
      <c r="AE682" s="994"/>
    </row>
    <row r="683" spans="2:31" x14ac:dyDescent="0.2">
      <c r="B683" s="628"/>
      <c r="C683" s="1615" t="s">
        <v>752</v>
      </c>
      <c r="D683" s="1615"/>
      <c r="E683" s="1615"/>
      <c r="F683" s="1615"/>
      <c r="G683" s="1615"/>
      <c r="H683" s="1615"/>
      <c r="I683" s="1615"/>
      <c r="J683" s="1615"/>
      <c r="K683" s="1615"/>
      <c r="L683" s="1615"/>
      <c r="M683" s="1615"/>
      <c r="N683" s="1615"/>
      <c r="O683" s="1615"/>
      <c r="AD683" s="994"/>
      <c r="AE683" s="994"/>
    </row>
    <row r="684" spans="2:31" ht="8.1" customHeight="1" x14ac:dyDescent="0.2">
      <c r="B684" s="140"/>
      <c r="C684" s="850"/>
      <c r="D684" s="850"/>
      <c r="E684" s="850"/>
      <c r="F684" s="850"/>
      <c r="G684" s="850"/>
      <c r="H684" s="850"/>
      <c r="I684" s="850"/>
      <c r="J684" s="850"/>
      <c r="K684" s="850"/>
      <c r="L684" s="850"/>
      <c r="M684" s="850"/>
      <c r="N684" s="854"/>
      <c r="O684" s="141"/>
      <c r="AD684" s="994"/>
      <c r="AE684" s="994"/>
    </row>
    <row r="685" spans="2:31" x14ac:dyDescent="0.2">
      <c r="B685" s="628">
        <v>4</v>
      </c>
      <c r="C685" s="1615" t="s">
        <v>606</v>
      </c>
      <c r="D685" s="1615"/>
      <c r="E685" s="1615"/>
      <c r="F685" s="1615"/>
      <c r="G685" s="1615"/>
      <c r="H685" s="1615"/>
      <c r="I685" s="1615"/>
      <c r="J685" s="1615"/>
      <c r="K685" s="1615"/>
      <c r="L685" s="1615"/>
      <c r="M685" s="1615"/>
      <c r="N685" s="1615"/>
      <c r="O685" s="1615"/>
      <c r="AD685" s="994"/>
      <c r="AE685" s="994"/>
    </row>
    <row r="686" spans="2:31" ht="8.1" customHeight="1" x14ac:dyDescent="0.2">
      <c r="B686" s="140"/>
      <c r="C686" s="850"/>
      <c r="D686" s="850"/>
      <c r="E686" s="850"/>
      <c r="F686" s="850"/>
      <c r="G686" s="850"/>
      <c r="H686" s="850"/>
      <c r="I686" s="850"/>
      <c r="J686" s="850"/>
      <c r="K686" s="850"/>
      <c r="L686" s="850"/>
      <c r="M686" s="850"/>
      <c r="N686" s="854"/>
      <c r="O686" s="141"/>
      <c r="AD686" s="994"/>
      <c r="AE686" s="994"/>
    </row>
  </sheetData>
  <sheetProtection password="DCF0" sheet="1" objects="1" scenarios="1"/>
  <mergeCells count="408">
    <mergeCell ref="B63:G63"/>
    <mergeCell ref="H63:I63"/>
    <mergeCell ref="J44:P44"/>
    <mergeCell ref="J45:P45"/>
    <mergeCell ref="J46:P46"/>
    <mergeCell ref="J47:P47"/>
    <mergeCell ref="C60:G60"/>
    <mergeCell ref="C49:G49"/>
    <mergeCell ref="H49:I49"/>
    <mergeCell ref="C56:G56"/>
    <mergeCell ref="H56:I56"/>
    <mergeCell ref="H60:I60"/>
    <mergeCell ref="C61:G61"/>
    <mergeCell ref="H61:I61"/>
    <mergeCell ref="C55:G55"/>
    <mergeCell ref="J48:P48"/>
    <mergeCell ref="J49:P49"/>
    <mergeCell ref="J50:P50"/>
    <mergeCell ref="J54:P54"/>
    <mergeCell ref="J55:P55"/>
    <mergeCell ref="H54:I54"/>
    <mergeCell ref="B40:D40"/>
    <mergeCell ref="C44:G44"/>
    <mergeCell ref="H44:I44"/>
    <mergeCell ref="H42:I42"/>
    <mergeCell ref="C45:G45"/>
    <mergeCell ref="H45:I45"/>
    <mergeCell ref="C42:G42"/>
    <mergeCell ref="H58:I58"/>
    <mergeCell ref="J23:K23"/>
    <mergeCell ref="C48:G48"/>
    <mergeCell ref="H53:I53"/>
    <mergeCell ref="C24:H25"/>
    <mergeCell ref="C666:O666"/>
    <mergeCell ref="R506:S506"/>
    <mergeCell ref="G293:H293"/>
    <mergeCell ref="I293:J293"/>
    <mergeCell ref="C685:O685"/>
    <mergeCell ref="G404:H404"/>
    <mergeCell ref="G503:H503"/>
    <mergeCell ref="G536:H536"/>
    <mergeCell ref="C675:O675"/>
    <mergeCell ref="C677:O677"/>
    <mergeCell ref="C679:O679"/>
    <mergeCell ref="C680:O680"/>
    <mergeCell ref="C682:O682"/>
    <mergeCell ref="C683:O683"/>
    <mergeCell ref="C660:O660"/>
    <mergeCell ref="C662:O662"/>
    <mergeCell ref="C669:O669"/>
    <mergeCell ref="C671:O671"/>
    <mergeCell ref="C672:O672"/>
    <mergeCell ref="C668:O668"/>
    <mergeCell ref="B630:S634"/>
    <mergeCell ref="C663:O663"/>
    <mergeCell ref="C665:O665"/>
    <mergeCell ref="G427:H427"/>
    <mergeCell ref="C439:D439"/>
    <mergeCell ref="G439:H439"/>
    <mergeCell ref="I439:J439"/>
    <mergeCell ref="N439:O439"/>
    <mergeCell ref="R407:S407"/>
    <mergeCell ref="R496:S496"/>
    <mergeCell ref="P505:Q505"/>
    <mergeCell ref="C440:D440"/>
    <mergeCell ref="G440:H440"/>
    <mergeCell ref="I440:J440"/>
    <mergeCell ref="N440:O440"/>
    <mergeCell ref="P440:Q440"/>
    <mergeCell ref="R440:S440"/>
    <mergeCell ref="G460:H460"/>
    <mergeCell ref="I460:J460"/>
    <mergeCell ref="R463:S463"/>
    <mergeCell ref="G470:H470"/>
    <mergeCell ref="C472:D472"/>
    <mergeCell ref="G472:H472"/>
    <mergeCell ref="I472:J472"/>
    <mergeCell ref="P472:Q472"/>
    <mergeCell ref="R472:S472"/>
    <mergeCell ref="P473:Q473"/>
    <mergeCell ref="R473:S473"/>
    <mergeCell ref="C571:D571"/>
    <mergeCell ref="G571:H571"/>
    <mergeCell ref="I571:J571"/>
    <mergeCell ref="N571:O571"/>
    <mergeCell ref="N472:O472"/>
    <mergeCell ref="C473:D473"/>
    <mergeCell ref="G473:H473"/>
    <mergeCell ref="I473:J473"/>
    <mergeCell ref="N473:O473"/>
    <mergeCell ref="G493:H493"/>
    <mergeCell ref="I493:J493"/>
    <mergeCell ref="G569:H569"/>
    <mergeCell ref="C505:D505"/>
    <mergeCell ref="G505:H505"/>
    <mergeCell ref="I505:J505"/>
    <mergeCell ref="N505:O505"/>
    <mergeCell ref="C538:D538"/>
    <mergeCell ref="G538:H538"/>
    <mergeCell ref="I538:J538"/>
    <mergeCell ref="N538:O538"/>
    <mergeCell ref="C659:O659"/>
    <mergeCell ref="C641:O641"/>
    <mergeCell ref="N506:O506"/>
    <mergeCell ref="C506:D506"/>
    <mergeCell ref="G506:H506"/>
    <mergeCell ref="I506:J506"/>
    <mergeCell ref="B636:O636"/>
    <mergeCell ref="G526:H526"/>
    <mergeCell ref="I526:J526"/>
    <mergeCell ref="B629:H629"/>
    <mergeCell ref="G559:H559"/>
    <mergeCell ref="I559:J559"/>
    <mergeCell ref="C539:D539"/>
    <mergeCell ref="G539:H539"/>
    <mergeCell ref="I539:J539"/>
    <mergeCell ref="N539:O539"/>
    <mergeCell ref="C645:O645"/>
    <mergeCell ref="C647:O647"/>
    <mergeCell ref="C650:O650"/>
    <mergeCell ref="C652:O652"/>
    <mergeCell ref="C654:O654"/>
    <mergeCell ref="C656:O656"/>
    <mergeCell ref="C643:O643"/>
    <mergeCell ref="C648:O648"/>
    <mergeCell ref="G161:H161"/>
    <mergeCell ref="G138:H138"/>
    <mergeCell ref="H68:I68"/>
    <mergeCell ref="G77:H77"/>
    <mergeCell ref="I77:J77"/>
    <mergeCell ref="G140:H140"/>
    <mergeCell ref="I140:J140"/>
    <mergeCell ref="C108:D108"/>
    <mergeCell ref="G108:H108"/>
    <mergeCell ref="I108:J108"/>
    <mergeCell ref="H69:I69"/>
    <mergeCell ref="C107:D107"/>
    <mergeCell ref="B71:S71"/>
    <mergeCell ref="N107:O107"/>
    <mergeCell ref="P107:Q107"/>
    <mergeCell ref="R141:S141"/>
    <mergeCell ref="I161:J161"/>
    <mergeCell ref="J68:K68"/>
    <mergeCell ref="J69:K69"/>
    <mergeCell ref="B95:S95"/>
    <mergeCell ref="G76:H76"/>
    <mergeCell ref="R77:S77"/>
    <mergeCell ref="P108:Q108"/>
    <mergeCell ref="L69:M69"/>
    <mergeCell ref="O16:R16"/>
    <mergeCell ref="O18:Q18"/>
    <mergeCell ref="C140:D140"/>
    <mergeCell ref="G128:H128"/>
    <mergeCell ref="I128:J128"/>
    <mergeCell ref="C16:H16"/>
    <mergeCell ref="C18:F18"/>
    <mergeCell ref="C20:F20"/>
    <mergeCell ref="C23:F23"/>
    <mergeCell ref="C43:G43"/>
    <mergeCell ref="H43:I43"/>
    <mergeCell ref="J42:P42"/>
    <mergeCell ref="J43:P43"/>
    <mergeCell ref="C47:G47"/>
    <mergeCell ref="H47:I47"/>
    <mergeCell ref="C46:G46"/>
    <mergeCell ref="H46:I46"/>
    <mergeCell ref="J20:K20"/>
    <mergeCell ref="C37:D37"/>
    <mergeCell ref="N108:O108"/>
    <mergeCell ref="H55:I55"/>
    <mergeCell ref="C38:D38"/>
    <mergeCell ref="C39:D39"/>
    <mergeCell ref="L20:M20"/>
    <mergeCell ref="O20:Q20"/>
    <mergeCell ref="L66:M66"/>
    <mergeCell ref="R107:S107"/>
    <mergeCell ref="R74:S74"/>
    <mergeCell ref="K75:N75"/>
    <mergeCell ref="R98:S98"/>
    <mergeCell ref="J61:P61"/>
    <mergeCell ref="N66:O66"/>
    <mergeCell ref="J58:P58"/>
    <mergeCell ref="J52:P52"/>
    <mergeCell ref="J53:P53"/>
    <mergeCell ref="R108:S108"/>
    <mergeCell ref="I107:J107"/>
    <mergeCell ref="N67:O67"/>
    <mergeCell ref="N68:O68"/>
    <mergeCell ref="N69:O69"/>
    <mergeCell ref="H67:I67"/>
    <mergeCell ref="H65:I65"/>
    <mergeCell ref="N65:O65"/>
    <mergeCell ref="G107:H107"/>
    <mergeCell ref="I76:J76"/>
    <mergeCell ref="R76:S76"/>
    <mergeCell ref="O75:P75"/>
    <mergeCell ref="B1:V1"/>
    <mergeCell ref="B2:V2"/>
    <mergeCell ref="B3:V3"/>
    <mergeCell ref="B4:V4"/>
    <mergeCell ref="B5:V5"/>
    <mergeCell ref="B7:V7"/>
    <mergeCell ref="L23:M23"/>
    <mergeCell ref="C36:D36"/>
    <mergeCell ref="C28:D28"/>
    <mergeCell ref="B29:D29"/>
    <mergeCell ref="C30:D30"/>
    <mergeCell ref="C31:D31"/>
    <mergeCell ref="C32:D32"/>
    <mergeCell ref="C33:D33"/>
    <mergeCell ref="C34:D34"/>
    <mergeCell ref="C35:D35"/>
    <mergeCell ref="B14:U14"/>
    <mergeCell ref="J16:M16"/>
    <mergeCell ref="J18:K18"/>
    <mergeCell ref="G22:H22"/>
    <mergeCell ref="L18:M18"/>
    <mergeCell ref="G23:H23"/>
    <mergeCell ref="G20:H20"/>
    <mergeCell ref="G18:H18"/>
    <mergeCell ref="P538:Q538"/>
    <mergeCell ref="R538:S538"/>
    <mergeCell ref="N240:O240"/>
    <mergeCell ref="P240:Q240"/>
    <mergeCell ref="R240:S240"/>
    <mergeCell ref="R373:S373"/>
    <mergeCell ref="R374:S374"/>
    <mergeCell ref="C373:D373"/>
    <mergeCell ref="N273:O273"/>
    <mergeCell ref="P373:Q373"/>
    <mergeCell ref="P272:Q272"/>
    <mergeCell ref="R272:S272"/>
    <mergeCell ref="R364:S364"/>
    <mergeCell ref="R273:S273"/>
    <mergeCell ref="G373:H373"/>
    <mergeCell ref="I373:J373"/>
    <mergeCell ref="N373:O373"/>
    <mergeCell ref="C272:D272"/>
    <mergeCell ref="G272:H272"/>
    <mergeCell ref="N407:O407"/>
    <mergeCell ref="C273:D273"/>
    <mergeCell ref="G273:H273"/>
    <mergeCell ref="R296:S296"/>
    <mergeCell ref="C306:D306"/>
    <mergeCell ref="G204:H204"/>
    <mergeCell ref="C206:D206"/>
    <mergeCell ref="G206:H206"/>
    <mergeCell ref="R239:S239"/>
    <mergeCell ref="H48:I48"/>
    <mergeCell ref="C50:G50"/>
    <mergeCell ref="H50:I50"/>
    <mergeCell ref="R131:S131"/>
    <mergeCell ref="N140:O140"/>
    <mergeCell ref="P140:Q140"/>
    <mergeCell ref="R140:S140"/>
    <mergeCell ref="C141:D141"/>
    <mergeCell ref="G141:H141"/>
    <mergeCell ref="I141:J141"/>
    <mergeCell ref="N141:O141"/>
    <mergeCell ref="P141:Q141"/>
    <mergeCell ref="C53:G53"/>
    <mergeCell ref="C54:G54"/>
    <mergeCell ref="H52:I52"/>
    <mergeCell ref="G105:I105"/>
    <mergeCell ref="L67:M67"/>
    <mergeCell ref="C52:G52"/>
    <mergeCell ref="J66:K66"/>
    <mergeCell ref="J67:K67"/>
    <mergeCell ref="C173:D173"/>
    <mergeCell ref="G173:H173"/>
    <mergeCell ref="I173:J173"/>
    <mergeCell ref="N173:O173"/>
    <mergeCell ref="P173:Q173"/>
    <mergeCell ref="R173:S173"/>
    <mergeCell ref="R164:S164"/>
    <mergeCell ref="G171:H171"/>
    <mergeCell ref="G194:H194"/>
    <mergeCell ref="I194:J194"/>
    <mergeCell ref="C174:D174"/>
    <mergeCell ref="G174:H174"/>
    <mergeCell ref="I174:J174"/>
    <mergeCell ref="N174:O174"/>
    <mergeCell ref="P174:Q174"/>
    <mergeCell ref="R174:S174"/>
    <mergeCell ref="I240:J240"/>
    <mergeCell ref="I206:J206"/>
    <mergeCell ref="N206:O206"/>
    <mergeCell ref="P206:Q206"/>
    <mergeCell ref="R206:S206"/>
    <mergeCell ref="C207:D207"/>
    <mergeCell ref="G207:H207"/>
    <mergeCell ref="I207:J207"/>
    <mergeCell ref="N207:O207"/>
    <mergeCell ref="P207:Q207"/>
    <mergeCell ref="R207:S207"/>
    <mergeCell ref="C239:D239"/>
    <mergeCell ref="G239:H239"/>
    <mergeCell ref="I239:J239"/>
    <mergeCell ref="C240:D240"/>
    <mergeCell ref="G240:H240"/>
    <mergeCell ref="R230:S230"/>
    <mergeCell ref="N239:O239"/>
    <mergeCell ref="I260:J260"/>
    <mergeCell ref="G260:H260"/>
    <mergeCell ref="C338:D338"/>
    <mergeCell ref="G338:H338"/>
    <mergeCell ref="I338:J338"/>
    <mergeCell ref="N338:O338"/>
    <mergeCell ref="P338:Q338"/>
    <mergeCell ref="R338:S338"/>
    <mergeCell ref="G303:H303"/>
    <mergeCell ref="C305:D305"/>
    <mergeCell ref="G305:H305"/>
    <mergeCell ref="I305:J305"/>
    <mergeCell ref="N305:O305"/>
    <mergeCell ref="P305:Q305"/>
    <mergeCell ref="R305:S305"/>
    <mergeCell ref="I273:J273"/>
    <mergeCell ref="G306:H306"/>
    <mergeCell ref="I306:J306"/>
    <mergeCell ref="P406:Q406"/>
    <mergeCell ref="P407:Q407"/>
    <mergeCell ref="R406:S406"/>
    <mergeCell ref="C406:D406"/>
    <mergeCell ref="G394:H394"/>
    <mergeCell ref="I394:J394"/>
    <mergeCell ref="G406:H406"/>
    <mergeCell ref="I406:J406"/>
    <mergeCell ref="C339:D339"/>
    <mergeCell ref="G339:H339"/>
    <mergeCell ref="I339:J339"/>
    <mergeCell ref="N339:O339"/>
    <mergeCell ref="P339:Q339"/>
    <mergeCell ref="R339:S339"/>
    <mergeCell ref="C374:D374"/>
    <mergeCell ref="G374:H374"/>
    <mergeCell ref="C572:D572"/>
    <mergeCell ref="G572:H572"/>
    <mergeCell ref="I572:J572"/>
    <mergeCell ref="N572:O572"/>
    <mergeCell ref="P572:Q572"/>
    <mergeCell ref="R572:S572"/>
    <mergeCell ref="C605:D605"/>
    <mergeCell ref="G605:H605"/>
    <mergeCell ref="I605:J605"/>
    <mergeCell ref="G625:H625"/>
    <mergeCell ref="I625:J625"/>
    <mergeCell ref="G592:H592"/>
    <mergeCell ref="I592:J592"/>
    <mergeCell ref="R595:S595"/>
    <mergeCell ref="G602:H602"/>
    <mergeCell ref="C604:D604"/>
    <mergeCell ref="G604:H604"/>
    <mergeCell ref="I604:J604"/>
    <mergeCell ref="N604:O604"/>
    <mergeCell ref="P604:Q604"/>
    <mergeCell ref="R604:S604"/>
    <mergeCell ref="R605:S605"/>
    <mergeCell ref="N605:O605"/>
    <mergeCell ref="P605:Q605"/>
    <mergeCell ref="G437:H437"/>
    <mergeCell ref="R329:S329"/>
    <mergeCell ref="G336:H336"/>
    <mergeCell ref="G227:H227"/>
    <mergeCell ref="I227:J227"/>
    <mergeCell ref="G237:H237"/>
    <mergeCell ref="P239:Q239"/>
    <mergeCell ref="I374:J374"/>
    <mergeCell ref="N374:O374"/>
    <mergeCell ref="P374:Q374"/>
    <mergeCell ref="I427:J427"/>
    <mergeCell ref="G270:H270"/>
    <mergeCell ref="P273:Q273"/>
    <mergeCell ref="R263:S263"/>
    <mergeCell ref="G371:H371"/>
    <mergeCell ref="B362:S362"/>
    <mergeCell ref="N306:O306"/>
    <mergeCell ref="P306:Q306"/>
    <mergeCell ref="R306:S306"/>
    <mergeCell ref="G326:H326"/>
    <mergeCell ref="I326:J326"/>
    <mergeCell ref="C407:D407"/>
    <mergeCell ref="G407:H407"/>
    <mergeCell ref="I407:J407"/>
    <mergeCell ref="P571:Q571"/>
    <mergeCell ref="R571:S571"/>
    <mergeCell ref="P439:Q439"/>
    <mergeCell ref="R439:S439"/>
    <mergeCell ref="N406:O406"/>
    <mergeCell ref="R397:S397"/>
    <mergeCell ref="J24:M26"/>
    <mergeCell ref="R562:S562"/>
    <mergeCell ref="P539:Q539"/>
    <mergeCell ref="R539:S539"/>
    <mergeCell ref="P506:Q506"/>
    <mergeCell ref="R505:S505"/>
    <mergeCell ref="I272:J272"/>
    <mergeCell ref="N272:O272"/>
    <mergeCell ref="R197:S197"/>
    <mergeCell ref="R529:S529"/>
    <mergeCell ref="L68:M68"/>
    <mergeCell ref="C66:I66"/>
    <mergeCell ref="C67:G67"/>
    <mergeCell ref="C68:G68"/>
    <mergeCell ref="C69:G69"/>
    <mergeCell ref="G359:H359"/>
    <mergeCell ref="I359:J359"/>
    <mergeCell ref="R430:S430"/>
  </mergeCells>
  <conditionalFormatting sqref="H48:H50 H56">
    <cfRule type="cellIs" dxfId="52" priority="156" operator="greaterThan">
      <formula>#REF!</formula>
    </cfRule>
  </conditionalFormatting>
  <conditionalFormatting sqref="C30:D39">
    <cfRule type="expression" dxfId="51" priority="152">
      <formula>$Z30=1</formula>
    </cfRule>
    <cfRule type="containsText" dxfId="50" priority="153" operator="containsText" text="Special Stat Day Backfill">
      <formula>NOT(ISERROR(SEARCH("Special Stat Day Backfill",C30)))</formula>
    </cfRule>
    <cfRule type="containsText" dxfId="49" priority="154" operator="containsText" text="HEABC - Other">
      <formula>NOT(ISERROR(SEARCH("HEABC - Other",C30)))</formula>
    </cfRule>
    <cfRule type="containsText" dxfId="48" priority="155" operator="containsText" text="CSSEA - Other">
      <formula>NOT(ISERROR(SEARCH("CSSEA - Other",C30)))</formula>
    </cfRule>
  </conditionalFormatting>
  <conditionalFormatting sqref="C273">
    <cfRule type="expression" dxfId="47" priority="126">
      <formula>COUNTA($J273)&gt;0</formula>
    </cfRule>
    <cfRule type="expression" dxfId="46" priority="127">
      <formula>NOT($H273=0)</formula>
    </cfRule>
  </conditionalFormatting>
  <conditionalFormatting sqref="C374">
    <cfRule type="expression" dxfId="45" priority="124">
      <formula>COUNTA($J374)&gt;0</formula>
    </cfRule>
    <cfRule type="expression" dxfId="44" priority="125">
      <formula>NOT($H374=0)</formula>
    </cfRule>
  </conditionalFormatting>
  <conditionalFormatting sqref="C506">
    <cfRule type="expression" dxfId="43" priority="122">
      <formula>COUNTA($J506)&gt;0</formula>
    </cfRule>
    <cfRule type="expression" dxfId="42" priority="123">
      <formula>NOT($H506=0)</formula>
    </cfRule>
  </conditionalFormatting>
  <conditionalFormatting sqref="H61:I62">
    <cfRule type="cellIs" dxfId="41" priority="121" operator="lessThan">
      <formula>0</formula>
    </cfRule>
  </conditionalFormatting>
  <conditionalFormatting sqref="H43:I43">
    <cfRule type="cellIs" dxfId="40" priority="119" operator="lessThan">
      <formula>0</formula>
    </cfRule>
    <cfRule type="cellIs" dxfId="39" priority="120" operator="greaterThan">
      <formula>0</formula>
    </cfRule>
  </conditionalFormatting>
  <conditionalFormatting sqref="C108">
    <cfRule type="expression" dxfId="38" priority="117">
      <formula>COUNTA($J108)&gt;0</formula>
    </cfRule>
    <cfRule type="expression" dxfId="37" priority="118">
      <formula>NOT($H108=0)</formula>
    </cfRule>
  </conditionalFormatting>
  <conditionalFormatting sqref="C141">
    <cfRule type="expression" dxfId="36" priority="115">
      <formula>COUNTA($J141)&gt;0</formula>
    </cfRule>
    <cfRule type="expression" dxfId="35" priority="116">
      <formula>NOT($H141=0)</formula>
    </cfRule>
  </conditionalFormatting>
  <conditionalFormatting sqref="C141">
    <cfRule type="expression" dxfId="34" priority="113">
      <formula>COUNTA($J141)&gt;0</formula>
    </cfRule>
    <cfRule type="expression" dxfId="33" priority="114">
      <formula>NOT($H141=0)</formula>
    </cfRule>
  </conditionalFormatting>
  <conditionalFormatting sqref="C240">
    <cfRule type="expression" dxfId="32" priority="111">
      <formula>COUNTA($J240)&gt;0</formula>
    </cfRule>
    <cfRule type="expression" dxfId="31" priority="112">
      <formula>NOT($H240=0)</formula>
    </cfRule>
  </conditionalFormatting>
  <conditionalFormatting sqref="C407">
    <cfRule type="expression" dxfId="30" priority="109">
      <formula>COUNTA($J407)&gt;0</formula>
    </cfRule>
    <cfRule type="expression" dxfId="29" priority="110">
      <formula>NOT($H407=0)</formula>
    </cfRule>
  </conditionalFormatting>
  <conditionalFormatting sqref="C539">
    <cfRule type="expression" dxfId="28" priority="107">
      <formula>COUNTA($J539)&gt;0</formula>
    </cfRule>
    <cfRule type="expression" dxfId="27" priority="108">
      <formula>NOT($H539=0)</formula>
    </cfRule>
  </conditionalFormatting>
  <conditionalFormatting sqref="G173 G140 G239 G272 G206 G373 G406 G505 G538 G129 G162:G171 G175:G204 G208:G228 G261 G294:G303 G305:G336 G338:G360 G395 G428:G437 G439:G470 G472:G494 G527 G560:G569 G571:G602 G604:G626">
    <cfRule type="containsText" dxfId="26" priority="100" operator="containsText" text="Error">
      <formula>NOT(ISERROR(SEARCH("Error",G129)))</formula>
    </cfRule>
  </conditionalFormatting>
  <conditionalFormatting sqref="M108 M141 M240 M273 M374 M407 M506 M539 M174 M207 M306 M339 M440 M473 M572 M605">
    <cfRule type="cellIs" dxfId="25" priority="91" operator="greaterThan">
      <formula>0</formula>
    </cfRule>
  </conditionalFormatting>
  <conditionalFormatting sqref="C174">
    <cfRule type="expression" dxfId="24" priority="82">
      <formula>COUNTA($J174)&gt;0</formula>
    </cfRule>
    <cfRule type="expression" dxfId="23" priority="83">
      <formula>NOT($H174=0)</formula>
    </cfRule>
  </conditionalFormatting>
  <conditionalFormatting sqref="C174">
    <cfRule type="expression" dxfId="22" priority="80">
      <formula>COUNTA($J174)&gt;0</formula>
    </cfRule>
    <cfRule type="expression" dxfId="21" priority="81">
      <formula>NOT($H174=0)</formula>
    </cfRule>
  </conditionalFormatting>
  <conditionalFormatting sqref="C207">
    <cfRule type="expression" dxfId="20" priority="77">
      <formula>COUNTA($J207)&gt;0</formula>
    </cfRule>
    <cfRule type="expression" dxfId="19" priority="78">
      <formula>NOT($H207=0)</formula>
    </cfRule>
  </conditionalFormatting>
  <conditionalFormatting sqref="C207">
    <cfRule type="expression" dxfId="18" priority="75">
      <formula>COUNTA($J207)&gt;0</formula>
    </cfRule>
    <cfRule type="expression" dxfId="17" priority="76">
      <formula>NOT($H207=0)</formula>
    </cfRule>
  </conditionalFormatting>
  <conditionalFormatting sqref="C306">
    <cfRule type="expression" dxfId="16" priority="72">
      <formula>COUNTA($J306)&gt;0</formula>
    </cfRule>
    <cfRule type="expression" dxfId="15" priority="73">
      <formula>NOT($H306=0)</formula>
    </cfRule>
  </conditionalFormatting>
  <conditionalFormatting sqref="C339">
    <cfRule type="expression" dxfId="14" priority="69">
      <formula>COUNTA($J339)&gt;0</formula>
    </cfRule>
    <cfRule type="expression" dxfId="13" priority="70">
      <formula>NOT($H339=0)</formula>
    </cfRule>
  </conditionalFormatting>
  <conditionalFormatting sqref="C440">
    <cfRule type="expression" dxfId="12" priority="66">
      <formula>COUNTA($J440)&gt;0</formula>
    </cfRule>
    <cfRule type="expression" dxfId="11" priority="67">
      <formula>NOT($H440=0)</formula>
    </cfRule>
  </conditionalFormatting>
  <conditionalFormatting sqref="C473">
    <cfRule type="expression" dxfId="10" priority="63">
      <formula>COUNTA($J473)&gt;0</formula>
    </cfRule>
    <cfRule type="expression" dxfId="9" priority="64">
      <formula>NOT($H473=0)</formula>
    </cfRule>
  </conditionalFormatting>
  <conditionalFormatting sqref="C572">
    <cfRule type="expression" dxfId="8" priority="60">
      <formula>COUNTA($J572)&gt;0</formula>
    </cfRule>
    <cfRule type="expression" dxfId="7" priority="61">
      <formula>NOT($H572=0)</formula>
    </cfRule>
  </conditionalFormatting>
  <conditionalFormatting sqref="C605">
    <cfRule type="expression" dxfId="6" priority="57">
      <formula>COUNTA($J605)&gt;0</formula>
    </cfRule>
    <cfRule type="expression" dxfId="5" priority="58">
      <formula>NOT($H605=0)</formula>
    </cfRule>
  </conditionalFormatting>
  <conditionalFormatting sqref="R18">
    <cfRule type="cellIs" dxfId="4" priority="1" operator="greaterThan">
      <formula>$AA$20</formula>
    </cfRule>
  </conditionalFormatting>
  <dataValidations count="9">
    <dataValidation type="date" allowBlank="1" showInputMessage="1" showErrorMessage="1" error="Must be a date between Service Effective Date and the earlier of the CLBC Fiscal Year End Date (March 31, 20XX) or OTO End Date." sqref="I108:J108 I141:J141 I240:J240 I273:J273 I374:J374 I407:J407 I506:J506 I539:J539 I174:J174 I207:J207 I306:J306 I339:J339 I440:J440 I473:J473 I572:J572 I605:J605">
      <formula1>G108</formula1>
      <formula2>AA106</formula2>
    </dataValidation>
    <dataValidation type="list" allowBlank="1" showInputMessage="1" showErrorMessage="1" sqref="C273:D273 C339:D339 C306:D306 C207:D207 C174:D174 C240:D240 C108:D108 C141:D141">
      <formula1>PTSL</formula1>
    </dataValidation>
    <dataValidation type="list" allowBlank="1" showInputMessage="1" showErrorMessage="1" sqref="F506 F605 F572 F339 F306 F539 F240 F273">
      <formula1>"Y,N"</formula1>
    </dataValidation>
    <dataValidation type="date" allowBlank="1" showInputMessage="1" showErrorMessage="1" error="Must be a date between OTO Start Date and OTO End Date." sqref="G108:H108 G605:H605 G572:H572 G473:H473 G440:H440 G339:H339 G306:H306 G407:H407 G174:H174 G141:H141 G240:H240 G273:H273 G374:H374 G539:H539 G506:H506 G207:H207">
      <formula1>$L$18</formula1>
      <formula2>$L$20</formula2>
    </dataValidation>
    <dataValidation type="list" allowBlank="1" showInputMessage="1" showErrorMessage="1" sqref="C30:D39">
      <formula1>VariableJobList</formula1>
    </dataValidation>
    <dataValidation type="decimal" operator="lessThanOrEqual" allowBlank="1" showInputMessage="1" showErrorMessage="1" error="FGT Gap must be entered as a negative number." sqref="H61:I62">
      <formula1>0</formula1>
    </dataValidation>
    <dataValidation type="list" allowBlank="1" showInputMessage="1" showErrorMessage="1" sqref="L23:M23">
      <formula1>"Fixed Monthly,Fixed Lump Sum"</formula1>
    </dataValidation>
    <dataValidation type="date" allowBlank="1" showInputMessage="1" showErrorMessage="1" error="Must be a date between the OTO Start Date and the Contract End Date / (Special Extended) Contract End Date." sqref="L20:M20">
      <formula1>$L$18</formula1>
      <formula2>$AA$76</formula2>
    </dataValidation>
    <dataValidation type="date" allowBlank="1" showInputMessage="1" showErrorMessage="1" error="Must be a date between Contract Start Date and Contract End Date / (Special Extended) Contract End Date." sqref="L18:M18">
      <formula1>G18</formula1>
      <formula2>AA76</formula2>
    </dataValidation>
  </dataValidations>
  <pageMargins left="0.35433070866141736" right="0.39370078740157483" top="0.51181102362204722" bottom="0.47244094488188981" header="0.31496062992125984" footer="0.23622047244094491"/>
  <pageSetup paperSize="5" scale="58" fitToHeight="2" orientation="landscape" r:id="rId1"/>
  <headerFooter>
    <oddFooter>&amp;L&amp;F  
Tab: FGT&amp;A&amp;CPrinted: &amp;D &amp;T&amp;RPage &amp;P of &amp;N</oddFooter>
  </headerFooter>
  <rowBreaks count="5" manualBreakCount="5">
    <brk id="58" min="1" max="21" man="1"/>
    <brk id="228" min="1" max="21" man="1"/>
    <brk id="361" min="1" max="21" man="1"/>
    <brk id="494" min="1" max="21" man="1"/>
    <brk id="673" min="1" max="18"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1:Y178"/>
  <sheetViews>
    <sheetView showGridLines="0" zoomScaleNormal="100" workbookViewId="0">
      <pane ySplit="4" topLeftCell="A5" activePane="bottomLeft" state="frozen"/>
      <selection activeCell="B4" sqref="B4"/>
      <selection pane="bottomLeft" activeCell="F18" sqref="F18"/>
    </sheetView>
  </sheetViews>
  <sheetFormatPr defaultColWidth="9.140625" defaultRowHeight="12.75" outlineLevelRow="1" outlineLevelCol="1" x14ac:dyDescent="0.2"/>
  <cols>
    <col min="1" max="1" width="2.7109375" style="34" customWidth="1"/>
    <col min="2" max="2" width="8.28515625" style="34" customWidth="1"/>
    <col min="3" max="3" width="15.42578125" style="34" customWidth="1"/>
    <col min="4" max="4" width="16" style="34" customWidth="1"/>
    <col min="5" max="5" width="23" style="34" customWidth="1"/>
    <col min="6" max="6" width="17.85546875" style="34" customWidth="1"/>
    <col min="7" max="7" width="9.140625" style="34"/>
    <col min="8" max="8" width="12.5703125" style="34" customWidth="1"/>
    <col min="9" max="9" width="3.28515625" style="34" customWidth="1"/>
    <col min="10" max="15" width="12.7109375" style="34" customWidth="1"/>
    <col min="16" max="16" width="1.28515625" style="52" customWidth="1"/>
    <col min="17" max="17" width="21" style="992" hidden="1" customWidth="1" outlineLevel="1"/>
    <col min="18" max="18" width="16.28515625" style="992" hidden="1" customWidth="1" outlineLevel="1"/>
    <col min="19" max="19" width="14.7109375" style="992" hidden="1" customWidth="1" outlineLevel="1"/>
    <col min="20" max="20" width="31" style="992" hidden="1" customWidth="1" outlineLevel="1"/>
    <col min="21" max="21" width="18.85546875" style="992" hidden="1" customWidth="1" outlineLevel="1"/>
    <col min="22" max="22" width="15.85546875" style="992" hidden="1" customWidth="1" outlineLevel="1"/>
    <col min="23" max="23" width="67.7109375" style="992" hidden="1" customWidth="1" outlineLevel="1"/>
    <col min="24" max="24" width="9.140625" style="34" collapsed="1"/>
    <col min="25" max="16384" width="9.140625" style="34"/>
  </cols>
  <sheetData>
    <row r="1" spans="2:25" x14ac:dyDescent="0.2">
      <c r="B1" s="1487" t="str">
        <f>Instructions!C2</f>
        <v>Funding Template Version of 1Apr13</v>
      </c>
      <c r="C1" s="1487"/>
      <c r="D1" s="1487"/>
      <c r="E1" s="1487"/>
      <c r="F1" s="1487"/>
      <c r="G1" s="1487"/>
      <c r="H1" s="1487"/>
      <c r="I1" s="1487"/>
      <c r="J1" s="1487"/>
      <c r="K1" s="1487"/>
      <c r="L1" s="1487"/>
      <c r="M1" s="1487"/>
      <c r="N1" s="1487"/>
      <c r="O1" s="1487"/>
      <c r="P1" s="778"/>
      <c r="Q1" s="1075" t="s">
        <v>587</v>
      </c>
      <c r="R1" s="1114">
        <f>E9</f>
        <v>41899</v>
      </c>
      <c r="U1" s="1117"/>
    </row>
    <row r="2" spans="2:25" ht="20.25" x14ac:dyDescent="0.3">
      <c r="B2" s="1275" t="str">
        <f>Instructions!C3</f>
        <v>Funding Template - Union</v>
      </c>
      <c r="C2" s="1275"/>
      <c r="D2" s="1275"/>
      <c r="E2" s="1275"/>
      <c r="F2" s="1275"/>
      <c r="G2" s="1275"/>
      <c r="H2" s="1275"/>
      <c r="I2" s="1275"/>
      <c r="J2" s="1275"/>
      <c r="K2" s="1275"/>
      <c r="L2" s="1275"/>
      <c r="M2" s="1275"/>
      <c r="N2" s="1275"/>
      <c r="O2" s="1275"/>
      <c r="P2" s="810"/>
      <c r="Q2" s="1075" t="s">
        <v>596</v>
      </c>
      <c r="R2" s="1074">
        <f>H9</f>
        <v>42079</v>
      </c>
      <c r="T2" s="992" t="s">
        <v>599</v>
      </c>
      <c r="U2" s="1074">
        <f>DATE(YEAR(R1)+2,MONTH(R1),DAY(R1))-1</f>
        <v>42629</v>
      </c>
    </row>
    <row r="3" spans="2:25" ht="18" customHeight="1" x14ac:dyDescent="0.25">
      <c r="B3" s="1276" t="s">
        <v>466</v>
      </c>
      <c r="C3" s="1276"/>
      <c r="D3" s="1276"/>
      <c r="E3" s="1276"/>
      <c r="F3" s="1276"/>
      <c r="G3" s="1276"/>
      <c r="H3" s="1276"/>
      <c r="I3" s="1276"/>
      <c r="J3" s="1276"/>
      <c r="K3" s="1276"/>
      <c r="L3" s="1276"/>
      <c r="M3" s="1276"/>
      <c r="N3" s="1276"/>
      <c r="O3" s="1276"/>
      <c r="P3" s="622"/>
      <c r="Q3" s="1077" t="s">
        <v>597</v>
      </c>
      <c r="R3" s="1074">
        <f>N9</f>
        <v>0</v>
      </c>
      <c r="T3" s="992" t="s">
        <v>600</v>
      </c>
      <c r="U3" s="1074">
        <f>R1+916</f>
        <v>42815</v>
      </c>
    </row>
    <row r="4" spans="2:25" ht="15.75" x14ac:dyDescent="0.25">
      <c r="B4" s="1719" t="s">
        <v>465</v>
      </c>
      <c r="C4" s="1719"/>
      <c r="D4" s="1719"/>
      <c r="E4" s="1719"/>
      <c r="F4" s="1719"/>
      <c r="G4" s="1719"/>
      <c r="H4" s="1719"/>
      <c r="I4" s="1719"/>
      <c r="J4" s="1719"/>
      <c r="K4" s="1719"/>
      <c r="L4" s="1719"/>
      <c r="M4" s="1719"/>
      <c r="N4" s="1719"/>
      <c r="O4" s="1719"/>
      <c r="P4" s="623"/>
      <c r="Q4" s="1077" t="s">
        <v>598</v>
      </c>
      <c r="R4" s="1114">
        <f>IF(R3&gt;R2,R3,R2)</f>
        <v>42079</v>
      </c>
    </row>
    <row r="5" spans="2:25" x14ac:dyDescent="0.2">
      <c r="B5" s="233"/>
      <c r="Q5" s="994" t="s">
        <v>379</v>
      </c>
      <c r="R5" s="1106">
        <f>R1</f>
        <v>41899</v>
      </c>
      <c r="V5" s="992" t="s">
        <v>710</v>
      </c>
      <c r="W5" s="992" t="s">
        <v>711</v>
      </c>
    </row>
    <row r="6" spans="2:25" ht="13.15" customHeight="1" x14ac:dyDescent="0.25">
      <c r="B6" s="203" t="s">
        <v>529</v>
      </c>
      <c r="G6" s="620"/>
      <c r="H6" s="620"/>
      <c r="I6" s="620"/>
      <c r="J6" s="620"/>
      <c r="K6" s="620"/>
      <c r="L6" s="620"/>
      <c r="M6" s="620"/>
      <c r="N6" s="620"/>
      <c r="O6" s="620"/>
      <c r="P6" s="624"/>
      <c r="Q6" s="994" t="s">
        <v>380</v>
      </c>
      <c r="R6" s="1074">
        <f>DATE(YEAR(R5)+1,MONTH(R5),DAY(R5))-1</f>
        <v>42263</v>
      </c>
      <c r="V6" s="992">
        <f>IF(AND(H9&gt;0,E9=0),1,0)</f>
        <v>0</v>
      </c>
      <c r="W6" s="992" t="s">
        <v>712</v>
      </c>
    </row>
    <row r="7" spans="2:25" x14ac:dyDescent="0.2">
      <c r="B7" s="464" t="s">
        <v>376</v>
      </c>
      <c r="F7" s="250"/>
      <c r="G7" s="620"/>
      <c r="H7" s="620"/>
      <c r="I7" s="620"/>
      <c r="J7" s="620"/>
      <c r="K7" s="620"/>
      <c r="L7" s="620"/>
      <c r="M7" s="620"/>
      <c r="N7" s="620"/>
      <c r="O7" s="620"/>
      <c r="P7" s="624"/>
      <c r="Q7" s="994" t="s">
        <v>381</v>
      </c>
      <c r="R7" s="1106">
        <f>IF(R4&gt;=R6,R6,R4)</f>
        <v>42079</v>
      </c>
      <c r="V7" s="992">
        <f>IF(AND(N9&gt;0,E9=0),1,0)</f>
        <v>0</v>
      </c>
      <c r="W7" s="992" t="s">
        <v>713</v>
      </c>
    </row>
    <row r="8" spans="2:25" ht="15" x14ac:dyDescent="0.25">
      <c r="C8" s="842" t="str">
        <f>IF(AND(E9&gt;0,H9&gt;0,H9&gt;U2),"ERROR ALERT:  Your contract duration is greater than 2 years.  Please delete your entry, and enter a 2 year or less duration (or use special extended end date).","")</f>
        <v/>
      </c>
      <c r="G8" s="620"/>
      <c r="H8" s="620"/>
      <c r="I8" s="620"/>
      <c r="J8" s="620"/>
      <c r="K8" s="843"/>
      <c r="L8" s="843"/>
      <c r="M8" s="843"/>
      <c r="N8" s="1660" t="s">
        <v>547</v>
      </c>
      <c r="O8" s="1660"/>
      <c r="P8" s="624"/>
      <c r="Q8" s="994" t="s">
        <v>384</v>
      </c>
      <c r="R8" s="1107" t="str">
        <f>IF(R4&gt;R7,"yes","no")</f>
        <v>no</v>
      </c>
      <c r="V8" s="1111">
        <f>IF(AND(N9&gt;0,H9=0),1,0)</f>
        <v>0</v>
      </c>
      <c r="W8" s="992" t="s">
        <v>714</v>
      </c>
    </row>
    <row r="9" spans="2:25" ht="13.5" customHeight="1" thickBot="1" x14ac:dyDescent="0.25">
      <c r="C9" s="1720" t="s">
        <v>377</v>
      </c>
      <c r="D9" s="1720"/>
      <c r="E9" s="791">
        <v>41899</v>
      </c>
      <c r="F9" s="1720" t="s">
        <v>378</v>
      </c>
      <c r="G9" s="1720"/>
      <c r="H9" s="1596">
        <v>42079</v>
      </c>
      <c r="I9" s="1596"/>
      <c r="J9" s="1596"/>
      <c r="K9" s="1721" t="s">
        <v>595</v>
      </c>
      <c r="L9" s="1721"/>
      <c r="M9" s="1721"/>
      <c r="N9" s="1722"/>
      <c r="O9" s="1722"/>
      <c r="P9" s="535"/>
      <c r="Q9" s="994" t="s">
        <v>386</v>
      </c>
      <c r="R9" s="1106" t="b">
        <f>IF(R8="yes",R7+1)</f>
        <v>0</v>
      </c>
      <c r="V9" s="994">
        <f>SUM(V6:V8)</f>
        <v>0</v>
      </c>
      <c r="W9" s="994"/>
      <c r="Y9" s="38"/>
    </row>
    <row r="10" spans="2:25" ht="15" x14ac:dyDescent="0.25">
      <c r="C10" s="842" t="str">
        <f>IF(V9&gt;0,"ERROR ALERT: You are entering contract dates out of order.  Please delete your entry, and enter contract start date first, then end date(s).","")</f>
        <v/>
      </c>
      <c r="D10" s="776"/>
      <c r="E10" s="548"/>
      <c r="F10" s="497"/>
      <c r="G10" s="497"/>
      <c r="H10" s="497"/>
      <c r="I10" s="497"/>
      <c r="J10" s="254"/>
      <c r="K10" s="254"/>
      <c r="L10" s="497"/>
      <c r="M10" s="497"/>
      <c r="N10" s="497"/>
      <c r="O10" s="497"/>
      <c r="P10" s="497"/>
      <c r="Q10" s="994" t="s">
        <v>548</v>
      </c>
      <c r="R10" s="1106" t="b">
        <f>IF(R8="yes",DATE(YEAR(R9)+1,MONTH(R9),DAY(R9))-1)</f>
        <v>0</v>
      </c>
    </row>
    <row r="11" spans="2:25" ht="15.75" x14ac:dyDescent="0.25">
      <c r="B11" s="1569" t="s">
        <v>691</v>
      </c>
      <c r="C11" s="1569"/>
      <c r="D11" s="1569"/>
      <c r="E11" s="1569"/>
      <c r="F11" s="1569"/>
      <c r="G11" s="1569"/>
      <c r="H11" s="1569"/>
      <c r="I11" s="1569"/>
      <c r="J11" s="1569"/>
      <c r="K11" s="1569"/>
      <c r="L11" s="1569"/>
      <c r="M11" s="1569"/>
      <c r="N11" s="1569"/>
      <c r="O11" s="1569"/>
      <c r="P11" s="790"/>
      <c r="Q11" s="994" t="s">
        <v>549</v>
      </c>
      <c r="R11" s="1106" t="b">
        <f>IF(R8="Yes",IF(R4&gt;=R10,R10,R4))</f>
        <v>0</v>
      </c>
      <c r="S11" s="1074"/>
      <c r="T11" s="1074"/>
      <c r="U11" s="1074"/>
      <c r="V11" s="1074"/>
      <c r="W11" s="1074"/>
    </row>
    <row r="12" spans="2:25" ht="15.75" x14ac:dyDescent="0.25">
      <c r="B12" s="525" t="s">
        <v>403</v>
      </c>
      <c r="C12" s="217"/>
      <c r="D12" s="217"/>
      <c r="E12" s="217"/>
      <c r="F12" s="254"/>
      <c r="G12" s="254"/>
      <c r="H12" s="254"/>
      <c r="I12" s="254"/>
      <c r="J12" s="254"/>
      <c r="K12" s="254"/>
      <c r="L12" s="254"/>
      <c r="M12" s="254"/>
      <c r="N12" s="254"/>
      <c r="O12" s="254"/>
      <c r="P12" s="254"/>
      <c r="Q12" s="994" t="s">
        <v>550</v>
      </c>
      <c r="R12" s="1108" t="str">
        <f>IF(R4&gt;R11,"yes","no")</f>
        <v>no</v>
      </c>
    </row>
    <row r="13" spans="2:25" x14ac:dyDescent="0.2">
      <c r="B13" s="38"/>
      <c r="D13" s="217"/>
      <c r="E13" s="217"/>
      <c r="G13" s="254"/>
      <c r="J13" s="38"/>
      <c r="L13" s="38"/>
      <c r="M13" s="254"/>
      <c r="N13" s="1660" t="s">
        <v>547</v>
      </c>
      <c r="O13" s="1660"/>
      <c r="P13" s="254"/>
      <c r="Q13" s="994" t="s">
        <v>551</v>
      </c>
      <c r="R13" s="1108" t="b">
        <f>IF(R12="yes",R11+1)</f>
        <v>0</v>
      </c>
    </row>
    <row r="14" spans="2:25" hidden="1" outlineLevel="1" x14ac:dyDescent="0.2">
      <c r="C14" s="219" t="s">
        <v>382</v>
      </c>
      <c r="D14" s="254"/>
      <c r="E14" s="514">
        <f>IF(NOT(C18=0),(YEAR(D18)-YEAR(C18))*12+MONTH(D18)-MONTH(C18)+IF(C22="no",1,0)+IF(D22="yes",-1,0),0)</f>
        <v>8</v>
      </c>
      <c r="G14" s="254"/>
      <c r="H14" s="499" t="s">
        <v>383</v>
      </c>
      <c r="I14" s="254"/>
      <c r="J14" s="514">
        <f>IF(NOT(J16="n/a"),(YEAR(K16)-YEAR(J16))*12+MONTH(K16)-MONTH(J16)+IF(J22="no",1,0)+IF(K22="yes",-1,0),0)</f>
        <v>0</v>
      </c>
      <c r="K14" s="254"/>
      <c r="L14" s="514">
        <f>IF(NOT(L16="n/a"),IF(R8="yes",(YEAR(M16)-YEAR(L16))*12+MONTH(M16)-MONTH(L16)+IF(L22="no",1,0)+IF(M22="yes",-1,0),0),0)</f>
        <v>0</v>
      </c>
      <c r="M14" s="254"/>
      <c r="N14" s="514">
        <f>IF(NOT(N16="n/a"),IF(R12="yes",(YEAR(O16)-YEAR(N16))*12+MONTH(O16)-MONTH(N16)+IF(N22="no",1,0)+IF(O22="yes",-1,0),0),0)</f>
        <v>0</v>
      </c>
      <c r="O14" s="254"/>
      <c r="P14" s="254"/>
      <c r="Q14" s="994" t="s">
        <v>552</v>
      </c>
      <c r="R14" s="1108" t="b">
        <f>IF(R12="yes",R4)</f>
        <v>0</v>
      </c>
      <c r="S14" s="1074"/>
      <c r="T14" s="1074"/>
      <c r="U14" s="1074"/>
      <c r="V14" s="1074"/>
      <c r="W14" s="1074"/>
      <c r="X14" s="52"/>
      <c r="Y14" s="52"/>
    </row>
    <row r="15" spans="2:25" collapsed="1" x14ac:dyDescent="0.2">
      <c r="C15" s="219" t="s">
        <v>385</v>
      </c>
      <c r="D15" s="254"/>
      <c r="E15" s="515">
        <f>ROUND(Page2A!AB9/12,2)</f>
        <v>0</v>
      </c>
      <c r="J15" s="500" t="s">
        <v>545</v>
      </c>
      <c r="K15" s="501" t="s">
        <v>546</v>
      </c>
      <c r="L15" s="500" t="s">
        <v>545</v>
      </c>
      <c r="M15" s="501" t="s">
        <v>546</v>
      </c>
      <c r="N15" s="500" t="s">
        <v>545</v>
      </c>
      <c r="O15" s="501" t="s">
        <v>546</v>
      </c>
      <c r="P15" s="502"/>
      <c r="X15" s="254"/>
      <c r="Y15" s="254"/>
    </row>
    <row r="16" spans="2:25" x14ac:dyDescent="0.2">
      <c r="B16" s="55"/>
      <c r="C16" s="254"/>
      <c r="D16" s="254"/>
      <c r="E16" s="254"/>
      <c r="F16" s="254"/>
      <c r="G16" s="254"/>
      <c r="H16" s="254"/>
      <c r="I16" s="254"/>
      <c r="J16" s="503" t="str">
        <f>IF(OR(Q25=1,Q25=2,Q25=3),C18,"N/A")</f>
        <v>N/A</v>
      </c>
      <c r="K16" s="504" t="str">
        <f>IF(Q25=1,D18,IF(OR(Q25=2,Q25=3),R7,"N/A"))</f>
        <v>N/A</v>
      </c>
      <c r="L16" s="505" t="str">
        <f>IF(OR(Q25=2,Q25=3),R9,IF(OR(Q25=4,Q25=5),C18,"N/A"))</f>
        <v>N/A</v>
      </c>
      <c r="M16" s="504" t="str">
        <f>IF(OR(Q25=2,Q25=4),D18,IF(OR(Q25=3,Q25=5),R11,"N/A"))</f>
        <v>N/A</v>
      </c>
      <c r="N16" s="644" t="str">
        <f>IF(OR(Q25=3,Q25=5),R13,IF(Q25=6,C18,"N/A"))</f>
        <v>N/A</v>
      </c>
      <c r="O16" s="645" t="str">
        <f>IF(OR(Q25=3,Q25=5,Q25=6),D18,"N/A")</f>
        <v>N/A</v>
      </c>
      <c r="P16" s="811"/>
      <c r="S16" s="1074"/>
      <c r="T16" s="1074"/>
      <c r="U16" s="1074"/>
      <c r="V16" s="1074"/>
      <c r="W16" s="1074"/>
      <c r="X16" s="254"/>
      <c r="Y16" s="254"/>
    </row>
    <row r="17" spans="2:25" ht="38.25" x14ac:dyDescent="0.2">
      <c r="B17" s="805" t="s">
        <v>464</v>
      </c>
      <c r="C17" s="805" t="s">
        <v>519</v>
      </c>
      <c r="D17" s="805" t="s">
        <v>520</v>
      </c>
      <c r="E17" s="805" t="s">
        <v>351</v>
      </c>
      <c r="F17" s="805" t="s">
        <v>387</v>
      </c>
      <c r="G17" s="1522" t="s">
        <v>388</v>
      </c>
      <c r="H17" s="1709"/>
      <c r="I17" s="1523"/>
      <c r="J17" s="1543" t="s">
        <v>389</v>
      </c>
      <c r="K17" s="1543"/>
      <c r="L17" s="1543" t="s">
        <v>390</v>
      </c>
      <c r="M17" s="1543"/>
      <c r="N17" s="1543" t="s">
        <v>578</v>
      </c>
      <c r="O17" s="1543"/>
      <c r="P17" s="806"/>
      <c r="S17" s="1074"/>
      <c r="T17" s="1074"/>
      <c r="U17" s="1074"/>
      <c r="V17" s="1074"/>
      <c r="W17" s="1074"/>
      <c r="X17" s="254"/>
      <c r="Y17" s="254"/>
    </row>
    <row r="18" spans="2:25" x14ac:dyDescent="0.2">
      <c r="B18" s="523">
        <v>1.01</v>
      </c>
      <c r="C18" s="618">
        <v>41821</v>
      </c>
      <c r="D18" s="618">
        <f>$H$9</f>
        <v>42079</v>
      </c>
      <c r="E18" s="538" t="s">
        <v>357</v>
      </c>
      <c r="F18" s="506">
        <f>IF(NOT(C18=0),ROUND(Page3!E106,2),0)</f>
        <v>0</v>
      </c>
      <c r="G18" s="1705">
        <f>IF(C31="yes",C36,E14*ROUND(F18,2)+C36+D36)</f>
        <v>0</v>
      </c>
      <c r="H18" s="1706"/>
      <c r="I18" s="1707"/>
      <c r="J18" s="1710">
        <f>IF(J31="yes",J35,ROUND(J14*E15,0)+J35+K35)</f>
        <v>0</v>
      </c>
      <c r="K18" s="1710"/>
      <c r="L18" s="1710">
        <f>IF(L31="yes",L35,ROUND(L14*E15,0)+L35+M35)</f>
        <v>0</v>
      </c>
      <c r="M18" s="1710"/>
      <c r="N18" s="1710">
        <f>IF(N31="yes",N35,ROUND(N14*E15,0)+N35+O35)</f>
        <v>0</v>
      </c>
      <c r="O18" s="1710"/>
      <c r="P18" s="621"/>
      <c r="R18" s="992" t="s">
        <v>553</v>
      </c>
      <c r="S18" s="992" t="s">
        <v>554</v>
      </c>
      <c r="T18" s="994"/>
      <c r="U18" s="994" t="s">
        <v>555</v>
      </c>
      <c r="V18" s="994"/>
      <c r="W18" s="994"/>
      <c r="X18" s="254"/>
      <c r="Y18" s="254"/>
    </row>
    <row r="19" spans="2:25" hidden="1" outlineLevel="1" x14ac:dyDescent="0.2">
      <c r="C19" s="141">
        <f>C25</f>
        <v>31</v>
      </c>
      <c r="D19" s="141">
        <f>D25</f>
        <v>31</v>
      </c>
      <c r="E19" s="803" t="s">
        <v>391</v>
      </c>
      <c r="G19" s="254"/>
      <c r="H19" s="507"/>
      <c r="I19" s="516"/>
      <c r="J19" s="141">
        <f t="shared" ref="J19:O19" si="0">J25</f>
        <v>0</v>
      </c>
      <c r="K19" s="141">
        <f t="shared" si="0"/>
        <v>0</v>
      </c>
      <c r="L19" s="141">
        <f>L25</f>
        <v>0</v>
      </c>
      <c r="M19" s="141">
        <f t="shared" si="0"/>
        <v>0</v>
      </c>
      <c r="N19" s="141">
        <f t="shared" si="0"/>
        <v>0</v>
      </c>
      <c r="O19" s="141">
        <f t="shared" si="0"/>
        <v>0</v>
      </c>
      <c r="P19" s="216"/>
      <c r="Q19" s="992">
        <f>IF(AND(C18&gt;=$R$5,D18&lt;=$R$7),1,0)</f>
        <v>0</v>
      </c>
      <c r="R19" s="992" t="s">
        <v>556</v>
      </c>
      <c r="S19" s="992" t="s">
        <v>557</v>
      </c>
      <c r="T19" s="1074"/>
      <c r="U19" s="1074" t="s">
        <v>558</v>
      </c>
      <c r="V19" s="1074"/>
      <c r="W19" s="1074"/>
      <c r="X19" s="539"/>
      <c r="Y19" s="539"/>
    </row>
    <row r="20" spans="2:25" hidden="1" outlineLevel="1" x14ac:dyDescent="0.2">
      <c r="C20" s="141">
        <v>1</v>
      </c>
      <c r="D20" s="141">
        <v>1</v>
      </c>
      <c r="E20" s="803" t="s">
        <v>392</v>
      </c>
      <c r="G20" s="254"/>
      <c r="H20" s="507"/>
      <c r="I20" s="516"/>
      <c r="J20" s="141">
        <v>1</v>
      </c>
      <c r="K20" s="141">
        <v>1</v>
      </c>
      <c r="L20" s="141">
        <v>1</v>
      </c>
      <c r="M20" s="141">
        <v>1</v>
      </c>
      <c r="N20" s="141">
        <v>1</v>
      </c>
      <c r="O20" s="141">
        <v>1</v>
      </c>
      <c r="P20" s="216"/>
      <c r="Q20" s="992">
        <f>IF(AND(C18&lt;=$R$7,D18&gt;$R$7,D18&lt;=$R$11),2,0)</f>
        <v>0</v>
      </c>
      <c r="R20" s="992" t="s">
        <v>559</v>
      </c>
      <c r="S20" s="992" t="s">
        <v>560</v>
      </c>
      <c r="T20" s="1074"/>
      <c r="U20" s="1074" t="s">
        <v>561</v>
      </c>
      <c r="V20" s="1074"/>
      <c r="W20" s="1074"/>
      <c r="Y20" s="539"/>
    </row>
    <row r="21" spans="2:25" hidden="1" outlineLevel="1" x14ac:dyDescent="0.2">
      <c r="C21" s="141">
        <f>DAY(C18)</f>
        <v>1</v>
      </c>
      <c r="D21" s="141">
        <f>DAY(D18)</f>
        <v>16</v>
      </c>
      <c r="E21" s="803" t="s">
        <v>393</v>
      </c>
      <c r="G21" s="254"/>
      <c r="H21" s="507"/>
      <c r="I21" s="516"/>
      <c r="J21" s="141" t="b">
        <f>IF(NOT(J16="n/a"),DAY(J16))</f>
        <v>0</v>
      </c>
      <c r="K21" s="141" t="b">
        <f t="shared" ref="K21" si="1">IF(NOT(K16="n/a"),DAY(K16))</f>
        <v>0</v>
      </c>
      <c r="L21" s="141" t="b">
        <f>IF(NOT(L16="n/a"),DAY(L16))</f>
        <v>0</v>
      </c>
      <c r="M21" s="141" t="b">
        <f>IF(NOT(M16="n/a"),DAY(M16))</f>
        <v>0</v>
      </c>
      <c r="N21" s="141" t="b">
        <f>IF(NOT(N16="n/a"),DAY(N16))</f>
        <v>0</v>
      </c>
      <c r="O21" s="141" t="b">
        <f>IF(NOT(O16="n/a"),DAY(O16))</f>
        <v>0</v>
      </c>
      <c r="P21" s="216"/>
      <c r="Q21" s="994">
        <f>IF(AND(C18&lt;$R$7,D18&gt;$R$11,D18&lt;=$R$14),3,0)</f>
        <v>0</v>
      </c>
      <c r="R21" s="992" t="s">
        <v>562</v>
      </c>
      <c r="S21" s="994" t="s">
        <v>563</v>
      </c>
      <c r="T21" s="994"/>
      <c r="U21" s="994" t="s">
        <v>564</v>
      </c>
      <c r="V21" s="994"/>
      <c r="W21" s="994"/>
      <c r="Y21" s="539"/>
    </row>
    <row r="22" spans="2:25" hidden="1" outlineLevel="1" x14ac:dyDescent="0.2">
      <c r="C22" s="516" t="str">
        <f>IF(C21=C20,"No","Yes")</f>
        <v>No</v>
      </c>
      <c r="D22" s="516" t="str">
        <f>IF(D21=D19,"No","Yes")</f>
        <v>Yes</v>
      </c>
      <c r="E22" s="803" t="s">
        <v>394</v>
      </c>
      <c r="G22" s="254"/>
      <c r="H22" s="507"/>
      <c r="I22" s="516"/>
      <c r="J22" s="516" t="str">
        <f>IF(J21=J20,"No","Yes")</f>
        <v>Yes</v>
      </c>
      <c r="K22" s="516" t="str">
        <f>IF(K21=K19,"No","Yes")</f>
        <v>Yes</v>
      </c>
      <c r="L22" s="516" t="str">
        <f>IF(L21=L20,"No","Yes")</f>
        <v>Yes</v>
      </c>
      <c r="M22" s="516" t="str">
        <f>IF(M21=M19,"No","Yes")</f>
        <v>Yes</v>
      </c>
      <c r="N22" s="516" t="str">
        <f>IF(N21=N20,"No","Yes")</f>
        <v>Yes</v>
      </c>
      <c r="O22" s="516" t="str">
        <f>IF(O21=O19,"No","Yes")</f>
        <v>Yes</v>
      </c>
      <c r="P22" s="517"/>
      <c r="Q22" s="994">
        <f>IF(AND(C18&gt;=$R$9,D18&lt;=$R$11),4,0)</f>
        <v>0</v>
      </c>
      <c r="R22" s="992" t="s">
        <v>565</v>
      </c>
      <c r="S22" s="994" t="s">
        <v>566</v>
      </c>
      <c r="T22" s="994"/>
      <c r="U22" s="994" t="s">
        <v>567</v>
      </c>
      <c r="V22" s="994"/>
      <c r="W22" s="994"/>
      <c r="Y22" s="539"/>
    </row>
    <row r="23" spans="2:25" hidden="1" outlineLevel="1" x14ac:dyDescent="0.2">
      <c r="C23" s="508"/>
      <c r="D23" s="508"/>
      <c r="E23" s="803"/>
      <c r="G23" s="254"/>
      <c r="H23" s="507"/>
      <c r="I23" s="516"/>
      <c r="Q23" s="994">
        <f>IF(AND(C18&gt;=$R$9,C18&lt;=$R$11,D18&gt;$R$13),5,0)</f>
        <v>0</v>
      </c>
      <c r="R23" s="992" t="s">
        <v>568</v>
      </c>
      <c r="S23" s="994" t="s">
        <v>569</v>
      </c>
      <c r="T23" s="994"/>
      <c r="U23" s="994" t="s">
        <v>570</v>
      </c>
      <c r="V23" s="994"/>
      <c r="W23" s="994"/>
      <c r="Y23" s="539"/>
    </row>
    <row r="24" spans="2:25" hidden="1" outlineLevel="1" x14ac:dyDescent="0.2">
      <c r="C24" s="518">
        <f>EOMONTH(C18,0)</f>
        <v>41851</v>
      </c>
      <c r="D24" s="518">
        <f>EOMONTH(D18,0)</f>
        <v>42094</v>
      </c>
      <c r="E24" s="803" t="s">
        <v>395</v>
      </c>
      <c r="G24" s="254"/>
      <c r="H24" s="507"/>
      <c r="I24" s="516"/>
      <c r="J24" s="518" t="b">
        <f>IF(NOT(J16="n/a"),EOMONTH(J16,0))</f>
        <v>0</v>
      </c>
      <c r="K24" s="518" t="b">
        <f t="shared" ref="K24" si="2">IF(NOT(K16="n/a"),EOMONTH(K16,0))</f>
        <v>0</v>
      </c>
      <c r="L24" s="518" t="b">
        <f>IF(NOT(L16="n/a"),EOMONTH(L16,0))</f>
        <v>0</v>
      </c>
      <c r="M24" s="518" t="b">
        <f>IF(NOT(M16="n/a"),EOMONTH(M16,0))</f>
        <v>0</v>
      </c>
      <c r="N24" s="518" t="b">
        <f>IF(NOT(N16="n/a"),EOMONTH(N16,0))</f>
        <v>0</v>
      </c>
      <c r="O24" s="518" t="b">
        <f>IF(NOT(O16="n/a"),EOMONTH(O16,0))</f>
        <v>0</v>
      </c>
      <c r="P24" s="519"/>
      <c r="Q24" s="994">
        <f>IF(AND(C18&gt;=$R$13,D18&lt;=$R$14),6,0)</f>
        <v>0</v>
      </c>
      <c r="R24" s="992" t="s">
        <v>571</v>
      </c>
      <c r="S24" s="994" t="s">
        <v>572</v>
      </c>
      <c r="T24" s="994"/>
      <c r="U24" s="994" t="s">
        <v>573</v>
      </c>
      <c r="V24" s="994"/>
      <c r="W24" s="994"/>
      <c r="Y24" s="539"/>
    </row>
    <row r="25" spans="2:25" ht="13.5" hidden="1" outlineLevel="1" thickBot="1" x14ac:dyDescent="0.25">
      <c r="C25" s="141">
        <f>DAY(C24)</f>
        <v>31</v>
      </c>
      <c r="D25" s="141">
        <f>DAY(D24)</f>
        <v>31</v>
      </c>
      <c r="E25" s="803" t="s">
        <v>396</v>
      </c>
      <c r="G25" s="254"/>
      <c r="H25" s="507"/>
      <c r="I25" s="516"/>
      <c r="J25" s="141">
        <f t="shared" ref="J25:O25" si="3">DAY(J24)</f>
        <v>0</v>
      </c>
      <c r="K25" s="141">
        <f t="shared" si="3"/>
        <v>0</v>
      </c>
      <c r="L25" s="141">
        <f t="shared" si="3"/>
        <v>0</v>
      </c>
      <c r="M25" s="141">
        <f t="shared" si="3"/>
        <v>0</v>
      </c>
      <c r="N25" s="141">
        <f t="shared" si="3"/>
        <v>0</v>
      </c>
      <c r="O25" s="141">
        <f t="shared" si="3"/>
        <v>0</v>
      </c>
      <c r="P25" s="216"/>
      <c r="Q25" s="1112">
        <f>IF(AND(NOT(C18=0),NOT(D18=0)),SUM(Q19:Q24),0)</f>
        <v>0</v>
      </c>
      <c r="R25" s="992" t="s">
        <v>574</v>
      </c>
      <c r="Y25" s="539"/>
    </row>
    <row r="26" spans="2:25" hidden="1" outlineLevel="1" x14ac:dyDescent="0.2">
      <c r="C26" s="520">
        <f>C24-C18+1</f>
        <v>31</v>
      </c>
      <c r="D26" s="520">
        <f>D24-D18</f>
        <v>15</v>
      </c>
      <c r="E26" s="803" t="s">
        <v>628</v>
      </c>
      <c r="G26" s="254"/>
      <c r="H26" s="507"/>
      <c r="I26" s="516"/>
      <c r="J26" s="520" t="b">
        <f>IF(NOT(J16="n/a"),J24-J16+1)</f>
        <v>0</v>
      </c>
      <c r="K26" s="520" t="b">
        <f>IF(NOT(K16="n/a"),K24-K16)</f>
        <v>0</v>
      </c>
      <c r="L26" s="520" t="b">
        <f>IF(NOT(L16="n/a"),L24-L16+1)</f>
        <v>0</v>
      </c>
      <c r="M26" s="520" t="b">
        <f>IF(NOT(M16="n/a"),M24-M16)</f>
        <v>0</v>
      </c>
      <c r="N26" s="520" t="b">
        <f>IF(NOT(N16="n/a"),N24-N16+1)</f>
        <v>0</v>
      </c>
      <c r="O26" s="520" t="b">
        <f>IF(NOT(O16="n/a"),O24-O16)</f>
        <v>0</v>
      </c>
      <c r="P26" s="219"/>
      <c r="Q26" s="994"/>
    </row>
    <row r="27" spans="2:25" hidden="1" outlineLevel="1" x14ac:dyDescent="0.2">
      <c r="C27" s="141">
        <f>C25-C26</f>
        <v>0</v>
      </c>
      <c r="D27" s="141">
        <f>D25-D26</f>
        <v>16</v>
      </c>
      <c r="E27" s="803" t="s">
        <v>397</v>
      </c>
      <c r="G27" s="254"/>
      <c r="H27" s="507"/>
      <c r="I27" s="516"/>
      <c r="J27" s="141">
        <f t="shared" ref="J27:M27" si="4">J25-J26</f>
        <v>0</v>
      </c>
      <c r="K27" s="141">
        <f t="shared" si="4"/>
        <v>0</v>
      </c>
      <c r="L27" s="141">
        <f t="shared" si="4"/>
        <v>0</v>
      </c>
      <c r="M27" s="141">
        <f t="shared" si="4"/>
        <v>0</v>
      </c>
      <c r="N27" s="141">
        <f>N25-N26</f>
        <v>0</v>
      </c>
      <c r="O27" s="141">
        <f>O25-O26</f>
        <v>0</v>
      </c>
      <c r="P27" s="216"/>
      <c r="Q27" s="994"/>
      <c r="R27" s="994"/>
      <c r="S27" s="994"/>
      <c r="T27" s="994"/>
      <c r="U27" s="994"/>
      <c r="V27" s="994"/>
      <c r="W27" s="994"/>
    </row>
    <row r="28" spans="2:25" hidden="1" outlineLevel="1" x14ac:dyDescent="0.2">
      <c r="C28" s="716">
        <f>IF(C22="Yes",ROUND(C26/C25,6),0)</f>
        <v>0</v>
      </c>
      <c r="D28" s="716">
        <f>IF(D22="Yes",ROUND(D27/D25,6),0)</f>
        <v>0.51612899999999995</v>
      </c>
      <c r="E28" s="803" t="s">
        <v>398</v>
      </c>
      <c r="G28" s="254"/>
      <c r="H28" s="507"/>
      <c r="I28" s="516"/>
      <c r="J28" s="716">
        <f>IF(ISERROR(IF(J22="Yes",ROUND(J26/J25,6),0)),0,IF(J22="Yes",ROUND(J26/J25,6),0))</f>
        <v>0</v>
      </c>
      <c r="K28" s="716">
        <f>IF(ISERROR(IF(K22="Yes",ROUND(K27/K25,6),0)),0,IF(K22="Yes",ROUND(K27/K25,6),0))</f>
        <v>0</v>
      </c>
      <c r="L28" s="716">
        <f t="shared" ref="L28:N28" si="5">IF(ISERROR(IF(L22="Yes",ROUND(L26/L25,6),0)),0,IF(L22="Yes",ROUND(L26/L25,6),0))</f>
        <v>0</v>
      </c>
      <c r="M28" s="716">
        <f>IF(ISERROR(IF(M22="Yes",ROUND(M27/M25,6),0)),0,IF(M22="Yes",ROUND(M27/M25,6),0))</f>
        <v>0</v>
      </c>
      <c r="N28" s="716">
        <f t="shared" si="5"/>
        <v>0</v>
      </c>
      <c r="O28" s="716">
        <f>IF(ISERROR(IF(O22="Yes",ROUND(O27/O25,6),0)),0,IF(O22="Yes",ROUND(O27/O25,6),0))</f>
        <v>0</v>
      </c>
      <c r="P28" s="521"/>
      <c r="Q28" s="994"/>
      <c r="R28" s="1046" t="s">
        <v>556</v>
      </c>
      <c r="S28" s="994" t="s">
        <v>575</v>
      </c>
      <c r="T28" s="994"/>
      <c r="U28" s="994"/>
      <c r="V28" s="994"/>
      <c r="W28" s="994"/>
    </row>
    <row r="29" spans="2:25" ht="13.5" hidden="1" outlineLevel="1" thickBot="1" x14ac:dyDescent="0.25">
      <c r="C29" s="509">
        <f>ROUND(IF(C31="yes",0,C28*F18),2)</f>
        <v>0</v>
      </c>
      <c r="D29" s="509">
        <f>ROUND(IF(C31="yes",0,D28*F18),2)</f>
        <v>0</v>
      </c>
      <c r="E29" s="803" t="s">
        <v>409</v>
      </c>
      <c r="G29" s="254"/>
      <c r="H29" s="507"/>
      <c r="I29" s="516"/>
      <c r="J29" s="546">
        <f>IF(J31="yes",0,ROUND(J28*E15,0))</f>
        <v>0</v>
      </c>
      <c r="K29" s="546">
        <f>IF(J31="yes",0,ROUND(K28*E15,0))</f>
        <v>0</v>
      </c>
      <c r="L29" s="546">
        <f>IF(L31="yes",0,ROUND(L28*E15,0))</f>
        <v>0</v>
      </c>
      <c r="M29" s="546">
        <f>IF(L31="yes",0,ROUND(M28*E15,0))</f>
        <v>0</v>
      </c>
      <c r="N29" s="546">
        <f>IF(N31="yes",0,ROUND(N28*E15,0))</f>
        <v>0</v>
      </c>
      <c r="O29" s="546">
        <f>IF(N31="yes",0,ROUND(O28*E15,0))</f>
        <v>0</v>
      </c>
      <c r="P29" s="510"/>
      <c r="Q29" s="994"/>
      <c r="R29" s="1046" t="s">
        <v>565</v>
      </c>
      <c r="S29" s="994" t="s">
        <v>576</v>
      </c>
      <c r="T29" s="994"/>
      <c r="U29" s="994"/>
      <c r="V29" s="994"/>
      <c r="W29" s="994"/>
    </row>
    <row r="30" spans="2:25" ht="13.5" hidden="1" outlineLevel="1" thickTop="1" x14ac:dyDescent="0.2">
      <c r="C30" s="540"/>
      <c r="D30" s="540"/>
      <c r="E30" s="803"/>
      <c r="G30" s="254"/>
      <c r="H30" s="507"/>
      <c r="I30" s="516"/>
      <c r="J30" s="510"/>
      <c r="K30" s="510"/>
      <c r="L30" s="510"/>
      <c r="M30" s="510"/>
      <c r="N30" s="510"/>
      <c r="O30" s="510"/>
      <c r="P30" s="510"/>
      <c r="Q30" s="994"/>
      <c r="R30" s="1046" t="s">
        <v>571</v>
      </c>
      <c r="S30" s="994" t="s">
        <v>577</v>
      </c>
      <c r="T30" s="994"/>
      <c r="U30" s="994"/>
      <c r="V30" s="994"/>
      <c r="W30" s="994"/>
    </row>
    <row r="31" spans="2:25" hidden="1" outlineLevel="1" x14ac:dyDescent="0.2">
      <c r="C31" s="542" t="str">
        <f>IF(AND(YEAR(C18)=YEAR(D18),MONTH(C18)=MONTH(D18),C22="YES",D22="YES"),"YES","NO")</f>
        <v>NO</v>
      </c>
      <c r="D31" s="540"/>
      <c r="E31" s="803" t="s">
        <v>410</v>
      </c>
      <c r="G31" s="254"/>
      <c r="H31" s="507"/>
      <c r="I31" s="516"/>
      <c r="J31" s="544" t="str">
        <f>IF(J16="n/a","NO",IF(AND(YEAR(J16)=YEAR(K16),MONTH(J16)=MONTH(K16),J22="YES",K22="YES"),"YES","NO"))</f>
        <v>NO</v>
      </c>
      <c r="K31" s="510"/>
      <c r="L31" s="544" t="str">
        <f>IF(L16="n/a","NO",IF(AND(YEAR(L16)=YEAR(M16),MONTH(L16)=MONTH(M16),L22="YES",M22="YES"),"YES","NO"))</f>
        <v>NO</v>
      </c>
      <c r="M31" s="510"/>
      <c r="N31" s="544" t="str">
        <f>IF(N16="n/a","NO",IF(AND(YEAR(N16)=YEAR(O16),MONTH(N16)=MONTH(O16),N22="YES",O22="YES"),"YES","NO"))</f>
        <v>NO</v>
      </c>
      <c r="O31" s="510"/>
      <c r="P31" s="510"/>
      <c r="Q31" s="994"/>
      <c r="R31" s="994"/>
      <c r="S31" s="994"/>
      <c r="T31" s="994"/>
      <c r="U31" s="994"/>
      <c r="V31" s="994"/>
      <c r="W31" s="994"/>
    </row>
    <row r="32" spans="2:25" hidden="1" outlineLevel="1" x14ac:dyDescent="0.2">
      <c r="C32" s="141">
        <f>IF(C31="yes",D18-C18+1,0)</f>
        <v>0</v>
      </c>
      <c r="D32" s="540"/>
      <c r="E32" s="803" t="s">
        <v>411</v>
      </c>
      <c r="G32" s="254"/>
      <c r="H32" s="507"/>
      <c r="I32" s="516"/>
      <c r="J32" s="141">
        <f>IF(J31="yes",K16-J16+1,0)</f>
        <v>0</v>
      </c>
      <c r="K32" s="510"/>
      <c r="L32" s="141">
        <f>IF(L31="yes",M16-L16+1,0)</f>
        <v>0</v>
      </c>
      <c r="M32" s="510"/>
      <c r="N32" s="141">
        <f>IF(N31="yes",O16-N16+1,0)</f>
        <v>0</v>
      </c>
      <c r="O32" s="510"/>
      <c r="P32" s="510"/>
      <c r="Q32" s="994"/>
      <c r="R32" s="994"/>
      <c r="S32" s="994"/>
      <c r="T32" s="994"/>
      <c r="U32" s="994"/>
      <c r="V32" s="994" t="s">
        <v>710</v>
      </c>
      <c r="W32" s="994" t="s">
        <v>715</v>
      </c>
    </row>
    <row r="33" spans="2:25" hidden="1" outlineLevel="1" x14ac:dyDescent="0.2">
      <c r="C33" s="717">
        <f>ROUND(C32/C25,6)</f>
        <v>0</v>
      </c>
      <c r="D33" s="541"/>
      <c r="E33" s="803" t="s">
        <v>398</v>
      </c>
      <c r="G33" s="254"/>
      <c r="H33" s="507"/>
      <c r="I33" s="516"/>
      <c r="J33" s="717">
        <f>IF(ISERROR(ROUND(J32/J25,6)),0,(ROUND(J32/J25,6)))</f>
        <v>0</v>
      </c>
      <c r="K33" s="543"/>
      <c r="L33" s="717">
        <f>IF(ISERROR(ROUND(L32/L25,6)),0,(ROUND(L32/L25,6)))</f>
        <v>0</v>
      </c>
      <c r="M33" s="543"/>
      <c r="N33" s="717">
        <f>IF(ISERROR(ROUND(N32/N25,6)),0,(ROUND(N32/N25,6)))</f>
        <v>0</v>
      </c>
      <c r="O33" s="543"/>
      <c r="P33" s="510"/>
      <c r="Q33" s="994"/>
      <c r="R33" s="994"/>
      <c r="S33" s="994"/>
      <c r="T33" s="994"/>
      <c r="U33" s="994"/>
      <c r="V33" s="994"/>
      <c r="W33" s="994"/>
    </row>
    <row r="34" spans="2:25" hidden="1" outlineLevel="1" x14ac:dyDescent="0.2">
      <c r="C34" s="540">
        <f>ROUND(IF(NOT(C18=0),C33*F18,0),2)</f>
        <v>0</v>
      </c>
      <c r="D34" s="540"/>
      <c r="E34" s="803" t="s">
        <v>413</v>
      </c>
      <c r="G34" s="254"/>
      <c r="H34" s="507"/>
      <c r="I34" s="516"/>
      <c r="J34" s="510">
        <f>IF(NOT(J16=0),ROUND(J33*E15,0),0)</f>
        <v>0</v>
      </c>
      <c r="K34" s="510"/>
      <c r="L34" s="510">
        <f>IF(NOT(L16=0),ROUND(L33*E15,0),0)</f>
        <v>0</v>
      </c>
      <c r="M34" s="510"/>
      <c r="N34" s="510">
        <f>IF(NOT(N16=0),ROUND(N33*E15,0),0)</f>
        <v>0</v>
      </c>
      <c r="O34" s="510"/>
      <c r="P34" s="510"/>
      <c r="Q34" s="994"/>
      <c r="R34" s="994"/>
      <c r="S34" s="994"/>
      <c r="T34" s="994"/>
      <c r="U34" s="994"/>
      <c r="V34" s="1118">
        <f>IF(AND($E$9&gt;0,$R$4&gt;0,C18&gt;0),IF(OR(C18&lt;$E$9,C18&gt;$R$4),1,0),0)</f>
        <v>1</v>
      </c>
      <c r="W34" s="1118" t="s">
        <v>716</v>
      </c>
    </row>
    <row r="35" spans="2:25" ht="13.5" hidden="1" outlineLevel="1" thickBot="1" x14ac:dyDescent="0.25">
      <c r="C35" s="540"/>
      <c r="D35" s="540"/>
      <c r="E35" s="803"/>
      <c r="G35" s="254"/>
      <c r="H35" s="507"/>
      <c r="I35" s="516" t="s">
        <v>412</v>
      </c>
      <c r="J35" s="545">
        <f>J29+J34</f>
        <v>0</v>
      </c>
      <c r="K35" s="545">
        <f>K29+K34</f>
        <v>0</v>
      </c>
      <c r="L35" s="545">
        <f>L29+L34</f>
        <v>0</v>
      </c>
      <c r="M35" s="545">
        <f t="shared" ref="M35" si="6">M29+M34</f>
        <v>0</v>
      </c>
      <c r="N35" s="545">
        <f>N29+N34</f>
        <v>0</v>
      </c>
      <c r="O35" s="545">
        <f>O29+O34</f>
        <v>0</v>
      </c>
      <c r="P35" s="551"/>
      <c r="Q35" s="994"/>
      <c r="R35" s="994"/>
      <c r="S35" s="994"/>
      <c r="T35" s="994"/>
      <c r="U35" s="994"/>
      <c r="V35" s="1118">
        <f>IF(AND($E$9&gt;0,$R$4&gt;0,D18&gt;0),IF(OR(D18&lt;$E$9,D18&gt;$R$4),1,0),0)</f>
        <v>0</v>
      </c>
      <c r="W35" s="1118" t="s">
        <v>717</v>
      </c>
    </row>
    <row r="36" spans="2:25" ht="13.5" customHeight="1" collapsed="1" thickBot="1" x14ac:dyDescent="0.25">
      <c r="C36" s="509">
        <f>C29+C34</f>
        <v>0</v>
      </c>
      <c r="D36" s="509">
        <f>D29+D34</f>
        <v>0</v>
      </c>
      <c r="E36" s="803" t="s">
        <v>399</v>
      </c>
      <c r="F36" s="507"/>
      <c r="G36" s="254"/>
      <c r="H36" s="507"/>
      <c r="I36" s="507"/>
      <c r="Q36" s="994"/>
      <c r="R36" s="994"/>
      <c r="S36" s="994"/>
      <c r="T36" s="994"/>
      <c r="U36" s="994"/>
      <c r="V36" s="1119"/>
      <c r="W36" s="1118"/>
    </row>
    <row r="37" spans="2:25" ht="13.5" customHeight="1" thickTop="1" x14ac:dyDescent="0.25">
      <c r="C37" s="842" t="str">
        <f>IF(V37&gt;0,"ERROR ALERT:  The date range in your service start/end dates is NOT consistent with the contract start/end dates (top of this page 7), please check your dates and re-enter.","")</f>
        <v>ERROR ALERT:  The date range in your service start/end dates is NOT consistent with the contract start/end dates (top of this page 7), please check your dates and re-enter.</v>
      </c>
      <c r="D37" s="511"/>
      <c r="E37" s="511"/>
      <c r="F37" s="507"/>
      <c r="G37" s="254"/>
      <c r="H37" s="507"/>
      <c r="I37" s="507"/>
      <c r="Q37" s="994"/>
      <c r="R37" s="994"/>
      <c r="S37" s="994"/>
      <c r="T37" s="994"/>
      <c r="U37" s="994"/>
      <c r="V37" s="994">
        <f>SUM(V33:V36)</f>
        <v>1</v>
      </c>
      <c r="W37" s="994"/>
    </row>
    <row r="38" spans="2:25" ht="15.75" x14ac:dyDescent="0.25">
      <c r="B38" s="498" t="s">
        <v>400</v>
      </c>
      <c r="C38" s="508"/>
      <c r="D38" s="508"/>
      <c r="E38" s="508"/>
      <c r="F38" s="507"/>
      <c r="G38" s="254"/>
      <c r="H38" s="507"/>
      <c r="I38" s="507"/>
      <c r="J38" s="507"/>
      <c r="K38" s="507"/>
      <c r="L38" s="507"/>
      <c r="M38" s="507"/>
      <c r="N38" s="507"/>
      <c r="O38" s="507"/>
      <c r="P38" s="507"/>
      <c r="Q38" s="994"/>
      <c r="R38" s="994"/>
      <c r="S38" s="994"/>
      <c r="T38" s="994"/>
      <c r="U38" s="994"/>
      <c r="V38" s="994"/>
      <c r="W38" s="994"/>
    </row>
    <row r="39" spans="2:25" x14ac:dyDescent="0.2">
      <c r="C39" s="253"/>
      <c r="D39" s="253"/>
      <c r="E39" s="253"/>
      <c r="F39" s="254"/>
      <c r="G39" s="254"/>
      <c r="H39" s="254"/>
      <c r="I39" s="254"/>
      <c r="J39" s="508"/>
      <c r="K39" s="254"/>
      <c r="L39" s="508"/>
      <c r="M39" s="508"/>
      <c r="N39" s="1660" t="s">
        <v>547</v>
      </c>
      <c r="O39" s="1660"/>
      <c r="P39" s="508"/>
      <c r="Q39" s="1074"/>
      <c r="R39" s="1074"/>
      <c r="S39" s="1074"/>
      <c r="T39" s="1074"/>
      <c r="U39" s="1074"/>
      <c r="V39" s="1074"/>
      <c r="W39" s="1074"/>
    </row>
    <row r="40" spans="2:25" hidden="1" outlineLevel="1" x14ac:dyDescent="0.2">
      <c r="C40" s="219" t="s">
        <v>382</v>
      </c>
      <c r="D40" s="254"/>
      <c r="E40" s="514">
        <f>IF(NOT(C44=0),(YEAR(D44)-YEAR(C44))*12+MONTH(D44)-MONTH(C44)+IF(C48="no",1,0)+IF(D48="yes",-1,0),0)</f>
        <v>0</v>
      </c>
      <c r="G40" s="254"/>
      <c r="H40" s="499" t="s">
        <v>383</v>
      </c>
      <c r="I40" s="254"/>
      <c r="J40" s="514">
        <f>IF(NOT(J42="n/a"),(YEAR(K42)-YEAR(J42))*12+MONTH(K42)-MONTH(J42)+IF(J48="no",1,0)+IF(K48="yes",-1,0),0)</f>
        <v>0</v>
      </c>
      <c r="K40" s="254"/>
      <c r="L40" s="514">
        <f>IF(NOT(L42="n/a"),(YEAR(M42)-YEAR(L42))*12+MONTH(M42)-MONTH(L42)+IF(L48="no",1,0)+IF(M48="yes",-1,0),0)</f>
        <v>0</v>
      </c>
      <c r="M40" s="254"/>
      <c r="N40" s="514">
        <f>IF(NOT(N42="n/a"),(YEAR(O42)-YEAR(N42))*12+MONTH(O42)-MONTH(N42)+IF(N48="no",1,0)+IF(O48="yes",-1,0),0)</f>
        <v>0</v>
      </c>
      <c r="O40" s="254"/>
      <c r="P40" s="254"/>
      <c r="Q40" s="994"/>
      <c r="R40" s="994"/>
      <c r="S40" s="994"/>
      <c r="T40" s="994"/>
      <c r="U40" s="994"/>
      <c r="V40" s="994"/>
      <c r="W40" s="994"/>
    </row>
    <row r="41" spans="2:25" collapsed="1" x14ac:dyDescent="0.2">
      <c r="C41" s="219" t="s">
        <v>385</v>
      </c>
      <c r="E41" s="512">
        <v>17.420000000000002</v>
      </c>
      <c r="J41" s="500" t="s">
        <v>545</v>
      </c>
      <c r="K41" s="501" t="s">
        <v>546</v>
      </c>
      <c r="L41" s="500" t="s">
        <v>545</v>
      </c>
      <c r="M41" s="501" t="s">
        <v>546</v>
      </c>
      <c r="N41" s="500" t="s">
        <v>545</v>
      </c>
      <c r="O41" s="501" t="s">
        <v>546</v>
      </c>
      <c r="P41" s="502"/>
      <c r="Q41" s="994"/>
      <c r="R41" s="994"/>
      <c r="S41" s="994"/>
      <c r="T41" s="994"/>
      <c r="U41" s="994"/>
      <c r="V41" s="994"/>
      <c r="W41" s="994"/>
    </row>
    <row r="42" spans="2:25" x14ac:dyDescent="0.2">
      <c r="C42" s="254"/>
      <c r="D42" s="254"/>
      <c r="E42" s="254"/>
      <c r="F42" s="254"/>
      <c r="G42" s="254"/>
      <c r="H42" s="254"/>
      <c r="I42" s="254"/>
      <c r="J42" s="503" t="str">
        <f>IF(OR(Q51=1,Q51=2,Q51=3),C44,"N/A")</f>
        <v>N/A</v>
      </c>
      <c r="K42" s="504" t="str">
        <f>IF(Q51=1,D44,IF(OR(Q51=2,Q51=3),R7,"N/A"))</f>
        <v>N/A</v>
      </c>
      <c r="L42" s="503" t="str">
        <f>IF(OR(Q51=2,Q51=3),R9,IF(OR(Q51=4,Q51=5),C44,"N/A"))</f>
        <v>N/A</v>
      </c>
      <c r="M42" s="504" t="str">
        <f>IF(OR(Q51=2,Q51=4),D44,IF(OR(Q51=3,Q51=5),R11,"N/A"))</f>
        <v>N/A</v>
      </c>
      <c r="N42" s="503" t="str">
        <f>IF(OR(Q51=3,Q51=5),R13,IF(Q51=6,C44,"N/A"))</f>
        <v>N/A</v>
      </c>
      <c r="O42" s="504" t="str">
        <f>IF(OR(Q51=3,Q51=5,Q51=6),D44,"N/A")</f>
        <v>N/A</v>
      </c>
      <c r="P42" s="811"/>
      <c r="Q42" s="994"/>
      <c r="R42" s="994"/>
      <c r="S42" s="994"/>
      <c r="T42" s="994"/>
      <c r="U42" s="994"/>
      <c r="V42" s="994"/>
      <c r="W42" s="994"/>
    </row>
    <row r="43" spans="2:25" ht="38.25" x14ac:dyDescent="0.2">
      <c r="B43" s="805" t="s">
        <v>464</v>
      </c>
      <c r="C43" s="805" t="s">
        <v>519</v>
      </c>
      <c r="D43" s="805" t="s">
        <v>520</v>
      </c>
      <c r="E43" s="805" t="s">
        <v>351</v>
      </c>
      <c r="F43" s="805" t="s">
        <v>387</v>
      </c>
      <c r="G43" s="1522" t="s">
        <v>388</v>
      </c>
      <c r="H43" s="1709"/>
      <c r="I43" s="1523"/>
      <c r="J43" s="1543" t="s">
        <v>389</v>
      </c>
      <c r="K43" s="1543"/>
      <c r="L43" s="1543" t="s">
        <v>390</v>
      </c>
      <c r="M43" s="1543"/>
      <c r="N43" s="1543" t="s">
        <v>578</v>
      </c>
      <c r="O43" s="1543"/>
      <c r="P43" s="806"/>
      <c r="Q43" s="1074"/>
      <c r="R43" s="1074"/>
      <c r="S43" s="1074"/>
      <c r="T43" s="1074"/>
      <c r="U43" s="1074"/>
      <c r="V43" s="1074"/>
      <c r="W43" s="1074"/>
    </row>
    <row r="44" spans="2:25" x14ac:dyDescent="0.2">
      <c r="B44" s="794"/>
      <c r="C44" s="618"/>
      <c r="D44" s="618"/>
      <c r="E44" s="538"/>
      <c r="F44" s="619"/>
      <c r="G44" s="1705">
        <f>IF(C57="yes",C62,E40*ROUND(F44,2)+C62+D62)</f>
        <v>0</v>
      </c>
      <c r="H44" s="1706"/>
      <c r="I44" s="1707"/>
      <c r="J44" s="1710">
        <f>IF(J57="yes",J61,ROUND(J40*E41,0)+J61+K61)</f>
        <v>0</v>
      </c>
      <c r="K44" s="1710"/>
      <c r="L44" s="1710">
        <f>IF(L57="yes",L61,ROUND(L40*E41,0)+L61+M61)</f>
        <v>0</v>
      </c>
      <c r="M44" s="1710"/>
      <c r="N44" s="1710">
        <f>IF(N57="yes",N61,ROUND(N40*E41,0)+N61+O61)</f>
        <v>0</v>
      </c>
      <c r="O44" s="1710"/>
      <c r="P44" s="621"/>
      <c r="R44" s="992" t="s">
        <v>553</v>
      </c>
      <c r="S44" s="992" t="s">
        <v>554</v>
      </c>
      <c r="T44" s="994"/>
      <c r="U44" s="994" t="s">
        <v>555</v>
      </c>
      <c r="V44" s="994"/>
      <c r="W44" s="994"/>
      <c r="X44" s="539"/>
      <c r="Y44" s="539"/>
    </row>
    <row r="45" spans="2:25" hidden="1" outlineLevel="1" x14ac:dyDescent="0.2">
      <c r="C45" s="141">
        <f>C51</f>
        <v>31</v>
      </c>
      <c r="D45" s="141">
        <f>D51</f>
        <v>31</v>
      </c>
      <c r="E45" s="803" t="s">
        <v>391</v>
      </c>
      <c r="G45" s="254"/>
      <c r="H45" s="507"/>
      <c r="I45" s="516"/>
      <c r="J45" s="141">
        <f t="shared" ref="J45:O45" si="7">J51</f>
        <v>0</v>
      </c>
      <c r="K45" s="141">
        <f t="shared" si="7"/>
        <v>0</v>
      </c>
      <c r="L45" s="141">
        <f t="shared" si="7"/>
        <v>0</v>
      </c>
      <c r="M45" s="141">
        <f t="shared" si="7"/>
        <v>0</v>
      </c>
      <c r="N45" s="141">
        <f t="shared" si="7"/>
        <v>0</v>
      </c>
      <c r="O45" s="141">
        <f t="shared" si="7"/>
        <v>0</v>
      </c>
      <c r="P45" s="216"/>
      <c r="Q45" s="992">
        <f>IF(AND(C44&gt;=$R$5,D44&lt;=$R$7),1,0)</f>
        <v>0</v>
      </c>
      <c r="R45" s="992" t="s">
        <v>556</v>
      </c>
      <c r="S45" s="992" t="s">
        <v>557</v>
      </c>
      <c r="T45" s="1074"/>
      <c r="U45" s="1074" t="s">
        <v>558</v>
      </c>
      <c r="V45" s="1074"/>
      <c r="W45" s="1074"/>
    </row>
    <row r="46" spans="2:25" hidden="1" outlineLevel="1" x14ac:dyDescent="0.2">
      <c r="C46" s="141">
        <v>1</v>
      </c>
      <c r="D46" s="141">
        <v>1</v>
      </c>
      <c r="E46" s="803" t="s">
        <v>392</v>
      </c>
      <c r="G46" s="254"/>
      <c r="H46" s="507"/>
      <c r="I46" s="516"/>
      <c r="J46" s="141">
        <v>1</v>
      </c>
      <c r="K46" s="141">
        <v>1</v>
      </c>
      <c r="L46" s="141">
        <v>1</v>
      </c>
      <c r="M46" s="141">
        <v>1</v>
      </c>
      <c r="N46" s="141">
        <v>1</v>
      </c>
      <c r="O46" s="141">
        <v>1</v>
      </c>
      <c r="P46" s="216"/>
      <c r="Q46" s="992">
        <f>IF(AND(C44&lt;=$R$7,D44&gt;$R$7,D44&lt;=$R$11),2,0)</f>
        <v>0</v>
      </c>
      <c r="R46" s="992" t="s">
        <v>559</v>
      </c>
      <c r="S46" s="992" t="s">
        <v>560</v>
      </c>
      <c r="T46" s="1074"/>
      <c r="U46" s="1074" t="s">
        <v>561</v>
      </c>
      <c r="V46" s="1074"/>
      <c r="W46" s="1074"/>
    </row>
    <row r="47" spans="2:25" hidden="1" outlineLevel="1" x14ac:dyDescent="0.2">
      <c r="C47" s="141">
        <f>DAY(C44)</f>
        <v>0</v>
      </c>
      <c r="D47" s="141">
        <f>DAY(D44)</f>
        <v>0</v>
      </c>
      <c r="E47" s="803" t="s">
        <v>393</v>
      </c>
      <c r="G47" s="254"/>
      <c r="H47" s="507"/>
      <c r="I47" s="516"/>
      <c r="J47" s="141" t="b">
        <f t="shared" ref="J47:K47" si="8">IF(NOT(J42="n/a"),DAY(J42))</f>
        <v>0</v>
      </c>
      <c r="K47" s="141" t="b">
        <f t="shared" si="8"/>
        <v>0</v>
      </c>
      <c r="L47" s="141" t="b">
        <f>IF(NOT(L42="N/A"),DAY(L42))</f>
        <v>0</v>
      </c>
      <c r="M47" s="141" t="b">
        <f>IF(NOT(M42="N/A"),DAY(M42))</f>
        <v>0</v>
      </c>
      <c r="N47" s="141" t="b">
        <f>IF(NOT(N42="N/A"),DAY(N42))</f>
        <v>0</v>
      </c>
      <c r="O47" s="141" t="b">
        <f>IF(NOT(O42="N/A"),DAY(O42))</f>
        <v>0</v>
      </c>
      <c r="P47" s="216"/>
      <c r="Q47" s="994">
        <f>IF(AND(C44&lt;$R$7,D44&gt;$R$11,D44&lt;=$R$14),3,0)</f>
        <v>0</v>
      </c>
      <c r="R47" s="992" t="s">
        <v>562</v>
      </c>
      <c r="S47" s="994" t="s">
        <v>563</v>
      </c>
      <c r="T47" s="994"/>
      <c r="U47" s="994" t="s">
        <v>564</v>
      </c>
      <c r="V47" s="994"/>
      <c r="W47" s="994"/>
    </row>
    <row r="48" spans="2:25" hidden="1" outlineLevel="1" x14ac:dyDescent="0.2">
      <c r="C48" s="516" t="str">
        <f>IF(C47=C46,"No","Yes")</f>
        <v>Yes</v>
      </c>
      <c r="D48" s="516" t="str">
        <f>IF(D47=D45,"No","Yes")</f>
        <v>Yes</v>
      </c>
      <c r="E48" s="803" t="s">
        <v>394</v>
      </c>
      <c r="G48" s="254"/>
      <c r="H48" s="507"/>
      <c r="I48" s="516"/>
      <c r="J48" s="516" t="str">
        <f t="shared" ref="J48" si="9">IF(J47=J46,"No","Yes")</f>
        <v>Yes</v>
      </c>
      <c r="K48" s="516" t="str">
        <f t="shared" ref="K48" si="10">IF(K47=K45,"No","Yes")</f>
        <v>Yes</v>
      </c>
      <c r="L48" s="516" t="str">
        <f t="shared" ref="L48:N48" si="11">IF(L47=L46,"No","Yes")</f>
        <v>Yes</v>
      </c>
      <c r="M48" s="516" t="str">
        <f t="shared" ref="M48:O48" si="12">IF(M47=M45,"No","Yes")</f>
        <v>Yes</v>
      </c>
      <c r="N48" s="516" t="str">
        <f t="shared" si="11"/>
        <v>Yes</v>
      </c>
      <c r="O48" s="516" t="str">
        <f t="shared" si="12"/>
        <v>Yes</v>
      </c>
      <c r="P48" s="517"/>
      <c r="Q48" s="994">
        <f>IF(AND(C44&gt;=$R$9,D44&lt;=$R$11),4,0)</f>
        <v>4</v>
      </c>
      <c r="R48" s="992" t="s">
        <v>565</v>
      </c>
      <c r="S48" s="994" t="s">
        <v>566</v>
      </c>
      <c r="T48" s="994"/>
      <c r="U48" s="994" t="s">
        <v>567</v>
      </c>
      <c r="V48" s="994"/>
      <c r="W48" s="994"/>
    </row>
    <row r="49" spans="3:23" hidden="1" outlineLevel="1" x14ac:dyDescent="0.2">
      <c r="C49" s="141"/>
      <c r="D49" s="141"/>
      <c r="E49" s="803"/>
      <c r="G49" s="254"/>
      <c r="H49" s="507"/>
      <c r="I49" s="516"/>
      <c r="Q49" s="994">
        <f>IF(AND(C44&gt;=$R$9,C44&lt;=$R$11,D44&gt;$R$13),5,0)</f>
        <v>0</v>
      </c>
      <c r="R49" s="992" t="s">
        <v>568</v>
      </c>
      <c r="S49" s="994" t="s">
        <v>569</v>
      </c>
      <c r="T49" s="994"/>
      <c r="U49" s="994" t="s">
        <v>570</v>
      </c>
      <c r="V49" s="994"/>
      <c r="W49" s="994"/>
    </row>
    <row r="50" spans="3:23" hidden="1" outlineLevel="1" x14ac:dyDescent="0.2">
      <c r="C50" s="518">
        <f>EOMONTH(C44,0)</f>
        <v>31</v>
      </c>
      <c r="D50" s="518">
        <f>EOMONTH(D44,0)</f>
        <v>31</v>
      </c>
      <c r="E50" s="803" t="s">
        <v>395</v>
      </c>
      <c r="G50" s="254"/>
      <c r="H50" s="507"/>
      <c r="I50" s="516"/>
      <c r="J50" s="518" t="b">
        <f>IF(NOT(J42="n/a"),EOMONTH(J42,0))</f>
        <v>0</v>
      </c>
      <c r="K50" s="518" t="b">
        <f>IF(NOT(K42="n/a"),EOMONTH(K42,0))</f>
        <v>0</v>
      </c>
      <c r="L50" s="518" t="b">
        <f>IF(NOT(L42="N/A"),EOMONTH(L42,0))</f>
        <v>0</v>
      </c>
      <c r="M50" s="518" t="b">
        <f>IF(NOT(M42="N/A"),EOMONTH(M42,0))</f>
        <v>0</v>
      </c>
      <c r="N50" s="518" t="b">
        <f>IF(NOT(N42="N/A"),EOMONTH(N42,0))</f>
        <v>0</v>
      </c>
      <c r="O50" s="518" t="b">
        <f>IF(NOT(O42="N/A"),EOMONTH(O42,0))</f>
        <v>0</v>
      </c>
      <c r="P50" s="519"/>
      <c r="Q50" s="994">
        <f>IF(AND(C44&gt;=$R$13,D44&lt;=$R$14),6,0)</f>
        <v>6</v>
      </c>
      <c r="R50" s="992" t="s">
        <v>571</v>
      </c>
      <c r="S50" s="994" t="s">
        <v>572</v>
      </c>
      <c r="T50" s="994"/>
      <c r="U50" s="994" t="s">
        <v>573</v>
      </c>
      <c r="V50" s="994"/>
      <c r="W50" s="994"/>
    </row>
    <row r="51" spans="3:23" ht="13.5" hidden="1" outlineLevel="1" thickBot="1" x14ac:dyDescent="0.25">
      <c r="C51" s="141">
        <f>DAY(C50)</f>
        <v>31</v>
      </c>
      <c r="D51" s="141">
        <f>DAY(D50)</f>
        <v>31</v>
      </c>
      <c r="E51" s="803" t="s">
        <v>396</v>
      </c>
      <c r="G51" s="254"/>
      <c r="H51" s="507"/>
      <c r="I51" s="516"/>
      <c r="J51" s="141">
        <f>DAY(J50)</f>
        <v>0</v>
      </c>
      <c r="K51" s="141">
        <f>DAY(K50)</f>
        <v>0</v>
      </c>
      <c r="L51" s="141">
        <f t="shared" ref="L51:O51" si="13">DAY(L50)</f>
        <v>0</v>
      </c>
      <c r="M51" s="141">
        <f t="shared" si="13"/>
        <v>0</v>
      </c>
      <c r="N51" s="141">
        <f t="shared" si="13"/>
        <v>0</v>
      </c>
      <c r="O51" s="141">
        <f t="shared" si="13"/>
        <v>0</v>
      </c>
      <c r="P51" s="216"/>
      <c r="Q51" s="1112">
        <f>IF(AND(NOT(C44=0),NOT(D44=0)),SUM(Q45:Q50),0)</f>
        <v>0</v>
      </c>
      <c r="R51" s="992" t="s">
        <v>574</v>
      </c>
    </row>
    <row r="52" spans="3:23" hidden="1" outlineLevel="1" x14ac:dyDescent="0.2">
      <c r="C52" s="520">
        <f>C50-C44+1</f>
        <v>32</v>
      </c>
      <c r="D52" s="520">
        <f>D50-D44</f>
        <v>31</v>
      </c>
      <c r="E52" s="803" t="s">
        <v>628</v>
      </c>
      <c r="G52" s="254"/>
      <c r="H52" s="507"/>
      <c r="I52" s="516"/>
      <c r="J52" s="520" t="b">
        <f>IF(NOT(J42="n/a"),J50-J42+1)</f>
        <v>0</v>
      </c>
      <c r="K52" s="520" t="b">
        <f>IF(NOT(K42="n/a"),K50-K42)</f>
        <v>0</v>
      </c>
      <c r="L52" s="520" t="b">
        <f>IF(NOT(L42="N/A"),L50-L42+1)</f>
        <v>0</v>
      </c>
      <c r="M52" s="520" t="b">
        <f>IF(NOT(M42="N/A"),M50-M42)</f>
        <v>0</v>
      </c>
      <c r="N52" s="520" t="b">
        <f>IF(NOT(N42="N/A"),N50-N42+1)</f>
        <v>0</v>
      </c>
      <c r="O52" s="520" t="b">
        <f>IF(NOT(O42="N/A"),O50-O42)</f>
        <v>0</v>
      </c>
      <c r="P52" s="219"/>
      <c r="Q52" s="994"/>
    </row>
    <row r="53" spans="3:23" hidden="1" outlineLevel="1" x14ac:dyDescent="0.2">
      <c r="C53" s="141">
        <f>C51-C52</f>
        <v>-1</v>
      </c>
      <c r="D53" s="141">
        <f>D51-D52</f>
        <v>0</v>
      </c>
      <c r="E53" s="803" t="s">
        <v>397</v>
      </c>
      <c r="G53" s="254"/>
      <c r="H53" s="507"/>
      <c r="I53" s="516"/>
      <c r="J53" s="141">
        <f t="shared" ref="J53:O53" si="14">J51-J52</f>
        <v>0</v>
      </c>
      <c r="K53" s="141">
        <f t="shared" si="14"/>
        <v>0</v>
      </c>
      <c r="L53" s="141">
        <f t="shared" si="14"/>
        <v>0</v>
      </c>
      <c r="M53" s="141">
        <f t="shared" si="14"/>
        <v>0</v>
      </c>
      <c r="N53" s="141">
        <f t="shared" si="14"/>
        <v>0</v>
      </c>
      <c r="O53" s="141">
        <f t="shared" si="14"/>
        <v>0</v>
      </c>
      <c r="P53" s="216"/>
      <c r="Q53" s="994"/>
      <c r="R53" s="994"/>
      <c r="S53" s="994"/>
      <c r="T53" s="994"/>
      <c r="U53" s="994"/>
      <c r="V53" s="994"/>
      <c r="W53" s="994"/>
    </row>
    <row r="54" spans="3:23" hidden="1" outlineLevel="1" x14ac:dyDescent="0.2">
      <c r="C54" s="716">
        <f>IF(C48="Yes",ROUND(C52/C51,6),0)</f>
        <v>1.0322579999999999</v>
      </c>
      <c r="D54" s="716">
        <f>IF(D48="Yes",ROUND(D53/D51,6),0)</f>
        <v>0</v>
      </c>
      <c r="E54" s="803" t="s">
        <v>398</v>
      </c>
      <c r="G54" s="254"/>
      <c r="H54" s="507"/>
      <c r="I54" s="516"/>
      <c r="J54" s="716">
        <f>IF(ISERROR(IF(J48="Yes",ROUND(J52/J51,6),0)),0,IF(J48="Yes",ROUND(J52/J51,6),0))</f>
        <v>0</v>
      </c>
      <c r="K54" s="716">
        <f>IF(ISERROR(IF(K48="Yes",ROUND(K53/K51,6),0)),0,IF(K48="Yes",ROUND(K53/K51,6),0))</f>
        <v>0</v>
      </c>
      <c r="L54" s="716">
        <f t="shared" ref="L54:N54" si="15">IF(ISERROR(IF(L48="Yes",ROUND(L52/L51,6),0)),0,IF(L48="Yes",ROUND(L52/L51,6),0))</f>
        <v>0</v>
      </c>
      <c r="M54" s="716">
        <f>IF(ISERROR(IF(M48="Yes",ROUND(M53/M51,6),0)),0,IF(M48="Yes",ROUND(M53/M51,6),0))</f>
        <v>0</v>
      </c>
      <c r="N54" s="716">
        <f t="shared" si="15"/>
        <v>0</v>
      </c>
      <c r="O54" s="716">
        <f>IF(ISERROR(IF(O48="Yes",ROUND(O53/O51,6),0)),0,IF(O48="Yes",ROUND(O53/O51,6),0))</f>
        <v>0</v>
      </c>
      <c r="P54" s="521"/>
      <c r="Q54" s="994"/>
      <c r="R54" s="1046" t="s">
        <v>556</v>
      </c>
      <c r="S54" s="994" t="s">
        <v>575</v>
      </c>
      <c r="T54" s="994"/>
      <c r="U54" s="994"/>
      <c r="V54" s="994"/>
      <c r="W54" s="994"/>
    </row>
    <row r="55" spans="3:23" ht="13.5" hidden="1" outlineLevel="1" thickBot="1" x14ac:dyDescent="0.25">
      <c r="C55" s="509">
        <f>ROUND(IF(C57="yes",0,C54*ROUND(F44,2)),2)</f>
        <v>0</v>
      </c>
      <c r="D55" s="509">
        <f>ROUND(IF(C57="yes",0,D54*ROUND(F44,2)),2)</f>
        <v>0</v>
      </c>
      <c r="E55" s="803" t="s">
        <v>409</v>
      </c>
      <c r="G55" s="254"/>
      <c r="H55" s="507"/>
      <c r="I55" s="516"/>
      <c r="J55" s="546">
        <f>IF(J57="yes",0,ROUND(J54*E41,0))</f>
        <v>0</v>
      </c>
      <c r="K55" s="546">
        <f>IF(J57="yes",0,ROUND(K54*E41,0))</f>
        <v>0</v>
      </c>
      <c r="L55" s="546">
        <f>IF(L57="yes",0,ROUND(L54*E41,0))</f>
        <v>0</v>
      </c>
      <c r="M55" s="546">
        <f>IF(L57="yes",0,ROUND(M54*E41,0))</f>
        <v>0</v>
      </c>
      <c r="N55" s="546">
        <f>IF(N57="yes",0,ROUND(N54*E41,0))</f>
        <v>0</v>
      </c>
      <c r="O55" s="546">
        <f>IF(N57="yes",0,ROUND(O54*E41,0))</f>
        <v>0</v>
      </c>
      <c r="P55" s="510"/>
      <c r="Q55" s="994"/>
      <c r="R55" s="1046" t="s">
        <v>565</v>
      </c>
      <c r="S55" s="994" t="s">
        <v>576</v>
      </c>
      <c r="T55" s="994"/>
      <c r="U55" s="994"/>
      <c r="V55" s="994"/>
      <c r="W55" s="994"/>
    </row>
    <row r="56" spans="3:23" ht="13.5" hidden="1" outlineLevel="1" thickTop="1" x14ac:dyDescent="0.2">
      <c r="C56" s="547"/>
      <c r="D56" s="547"/>
      <c r="E56" s="803"/>
      <c r="G56" s="254"/>
      <c r="H56" s="507"/>
      <c r="I56" s="516"/>
      <c r="J56" s="522"/>
      <c r="K56" s="522"/>
      <c r="L56" s="522"/>
      <c r="M56" s="522"/>
      <c r="N56" s="522"/>
      <c r="O56" s="522"/>
      <c r="P56" s="522"/>
      <c r="Q56" s="994"/>
      <c r="R56" s="1046" t="s">
        <v>571</v>
      </c>
      <c r="S56" s="994" t="s">
        <v>577</v>
      </c>
      <c r="T56" s="994"/>
      <c r="U56" s="994"/>
      <c r="V56" s="994"/>
      <c r="W56" s="994"/>
    </row>
    <row r="57" spans="3:23" hidden="1" outlineLevel="1" x14ac:dyDescent="0.2">
      <c r="C57" s="542" t="str">
        <f>IF(AND(YEAR(C44)=YEAR(D44),MONTH(C44)=MONTH(D44),C48="YES",D48="YES"),"YES","NO")</f>
        <v>YES</v>
      </c>
      <c r="D57" s="540"/>
      <c r="E57" s="803" t="s">
        <v>410</v>
      </c>
      <c r="G57" s="254"/>
      <c r="H57" s="507"/>
      <c r="I57" s="516"/>
      <c r="J57" s="544" t="str">
        <f>IF(J42="n/a","NO",IF(AND(YEAR(J42)=YEAR(K42),MONTH(J42)=MONTH(K42),J48="YES",K48="YES"),"YES","NO"))</f>
        <v>NO</v>
      </c>
      <c r="K57" s="510"/>
      <c r="L57" s="544" t="str">
        <f>IF(L42="n/a","NO",IF(AND(YEAR(L42)=YEAR(M42),MONTH(L42)=MONTH(M42),L48="YES",M48="YES"),"YES","NO"))</f>
        <v>NO</v>
      </c>
      <c r="M57" s="510"/>
      <c r="N57" s="544" t="str">
        <f>IF(N42="n/a","NO",IF(AND(YEAR(N42)=YEAR(O42),MONTH(N42)=MONTH(O42),N48="YES",O48="YES"),"YES","NO"))</f>
        <v>NO</v>
      </c>
      <c r="O57" s="510"/>
      <c r="P57" s="510"/>
      <c r="Q57" s="994"/>
      <c r="R57" s="994"/>
      <c r="S57" s="994"/>
      <c r="T57" s="994"/>
      <c r="U57" s="994"/>
      <c r="V57" s="994"/>
      <c r="W57" s="994"/>
    </row>
    <row r="58" spans="3:23" hidden="1" outlineLevel="1" x14ac:dyDescent="0.2">
      <c r="C58" s="141">
        <f>IF(C57="yes",D44-C44+1,0)</f>
        <v>1</v>
      </c>
      <c r="D58" s="540"/>
      <c r="E58" s="803" t="s">
        <v>411</v>
      </c>
      <c r="G58" s="254"/>
      <c r="H58" s="507"/>
      <c r="I58" s="516"/>
      <c r="J58" s="141">
        <f>IF(J57="yes",K42-J42+1,0)</f>
        <v>0</v>
      </c>
      <c r="K58" s="510"/>
      <c r="L58" s="141">
        <f>IF(L57="yes",M42-L42+1,0)</f>
        <v>0</v>
      </c>
      <c r="M58" s="510"/>
      <c r="N58" s="141">
        <f>IF(N57="yes",O42-N42+1,0)</f>
        <v>0</v>
      </c>
      <c r="O58" s="510"/>
      <c r="P58" s="510"/>
      <c r="Q58" s="994"/>
      <c r="R58" s="994"/>
      <c r="S58" s="994"/>
      <c r="T58" s="994"/>
      <c r="U58" s="994"/>
      <c r="V58" s="994" t="s">
        <v>710</v>
      </c>
      <c r="W58" s="994" t="s">
        <v>715</v>
      </c>
    </row>
    <row r="59" spans="3:23" hidden="1" outlineLevel="1" x14ac:dyDescent="0.2">
      <c r="C59" s="717">
        <f>ROUND(C58/C51,6)</f>
        <v>3.2258000000000002E-2</v>
      </c>
      <c r="D59" s="541"/>
      <c r="E59" s="803" t="s">
        <v>398</v>
      </c>
      <c r="G59" s="254"/>
      <c r="H59" s="507"/>
      <c r="I59" s="516"/>
      <c r="J59" s="717">
        <f>IF(ISERROR(ROUND(J58/J51,6)),0,(ROUND(J58/J51,6)))</f>
        <v>0</v>
      </c>
      <c r="K59" s="543"/>
      <c r="L59" s="717">
        <f>IF(ISERROR(ROUND(L58/L51,6)),0,(ROUND(L58/L51,6)))</f>
        <v>0</v>
      </c>
      <c r="M59" s="543"/>
      <c r="N59" s="717">
        <f>IF(ISERROR(ROUND(N58/N51,6)),0,(ROUND(N58/N51,6)))</f>
        <v>0</v>
      </c>
      <c r="O59" s="543"/>
      <c r="P59" s="510"/>
      <c r="Q59" s="994"/>
      <c r="R59" s="994"/>
      <c r="S59" s="994"/>
      <c r="T59" s="994"/>
      <c r="U59" s="994"/>
      <c r="V59" s="994"/>
      <c r="W59" s="994"/>
    </row>
    <row r="60" spans="3:23" hidden="1" outlineLevel="1" x14ac:dyDescent="0.2">
      <c r="C60" s="540">
        <f>ROUND(IF(NOT(C44=0),C59*ROUND(F44,2),0),2)</f>
        <v>0</v>
      </c>
      <c r="D60" s="540"/>
      <c r="E60" s="803" t="s">
        <v>413</v>
      </c>
      <c r="G60" s="254"/>
      <c r="H60" s="507"/>
      <c r="I60" s="516"/>
      <c r="J60" s="510">
        <f>IF(NOT(J42=0),ROUND(J59*E41,0),0)</f>
        <v>0</v>
      </c>
      <c r="K60" s="510"/>
      <c r="L60" s="510">
        <f>IF(NOT(L42=0),ROUND(L59*E41,0),0)</f>
        <v>0</v>
      </c>
      <c r="M60" s="510"/>
      <c r="N60" s="510">
        <f>IF(NOT(N42=0),ROUND(N59*E41,0),0)</f>
        <v>0</v>
      </c>
      <c r="O60" s="510"/>
      <c r="P60" s="510"/>
      <c r="Q60" s="994"/>
      <c r="R60" s="994"/>
      <c r="S60" s="994"/>
      <c r="T60" s="994"/>
      <c r="U60" s="994"/>
      <c r="V60" s="1118">
        <f>IF(AND($E$9&gt;0,$R$4&gt;0,C44&gt;0),IF(OR(C44&lt;$E$9,C44&gt;$R$4),1,0),0)</f>
        <v>0</v>
      </c>
      <c r="W60" s="1118" t="s">
        <v>716</v>
      </c>
    </row>
    <row r="61" spans="3:23" ht="13.5" hidden="1" outlineLevel="1" thickBot="1" x14ac:dyDescent="0.25">
      <c r="C61" s="540"/>
      <c r="D61" s="540"/>
      <c r="E61" s="803"/>
      <c r="G61" s="254"/>
      <c r="H61" s="507"/>
      <c r="I61" s="516" t="s">
        <v>412</v>
      </c>
      <c r="J61" s="545">
        <f t="shared" ref="J61:M61" si="16">J55+J60</f>
        <v>0</v>
      </c>
      <c r="K61" s="545">
        <f t="shared" si="16"/>
        <v>0</v>
      </c>
      <c r="L61" s="545">
        <f t="shared" si="16"/>
        <v>0</v>
      </c>
      <c r="M61" s="545">
        <f t="shared" si="16"/>
        <v>0</v>
      </c>
      <c r="N61" s="545">
        <f>N55+N60</f>
        <v>0</v>
      </c>
      <c r="O61" s="545">
        <f>O55+O60</f>
        <v>0</v>
      </c>
      <c r="P61" s="551"/>
      <c r="Q61" s="994"/>
      <c r="R61" s="994"/>
      <c r="S61" s="994"/>
      <c r="T61" s="994"/>
      <c r="U61" s="994"/>
      <c r="V61" s="1118">
        <f>IF(AND($E$9&gt;0,$R$4&gt;0,D44&gt;0),IF(OR(D44&lt;$E$9,D44&gt;$R$4),1,0),0)</f>
        <v>0</v>
      </c>
      <c r="W61" s="1118" t="s">
        <v>717</v>
      </c>
    </row>
    <row r="62" spans="3:23" ht="13.5" collapsed="1" thickBot="1" x14ac:dyDescent="0.25">
      <c r="C62" s="509">
        <f>C55+C60</f>
        <v>0</v>
      </c>
      <c r="D62" s="509">
        <f>D55+D60</f>
        <v>0</v>
      </c>
      <c r="E62" s="832" t="s">
        <v>399</v>
      </c>
      <c r="F62" s="507"/>
      <c r="G62" s="254"/>
      <c r="H62" s="507"/>
      <c r="I62" s="507"/>
      <c r="J62" s="522"/>
      <c r="K62" s="522"/>
      <c r="L62" s="522"/>
      <c r="M62" s="522"/>
      <c r="N62" s="522"/>
      <c r="O62" s="522"/>
      <c r="P62" s="522"/>
      <c r="Q62" s="994"/>
      <c r="R62" s="994"/>
      <c r="S62" s="994"/>
      <c r="T62" s="994"/>
      <c r="U62" s="994"/>
      <c r="V62" s="1119"/>
      <c r="W62" s="1118"/>
    </row>
    <row r="63" spans="3:23" ht="15.75" thickTop="1" x14ac:dyDescent="0.25">
      <c r="C63" s="842" t="str">
        <f>IF(V63&gt;0,"ERROR ALERT:  The date range in your service start/end dates is NOT consistent with the contract start/end dates (top of this page 7), please check your dates and re-enter.","")</f>
        <v/>
      </c>
      <c r="G63" s="52"/>
      <c r="V63" s="994">
        <f>SUM(V59:V62)</f>
        <v>0</v>
      </c>
      <c r="W63" s="994"/>
    </row>
    <row r="64" spans="3:23" ht="15" x14ac:dyDescent="0.25">
      <c r="C64" s="842"/>
      <c r="G64" s="52"/>
      <c r="I64" s="1205" t="s">
        <v>812</v>
      </c>
      <c r="J64" s="1703"/>
      <c r="K64" s="1703"/>
      <c r="L64" s="1703"/>
      <c r="M64" s="1703"/>
      <c r="N64" s="1703"/>
      <c r="O64" s="1703"/>
      <c r="V64" s="994"/>
      <c r="W64" s="994"/>
    </row>
    <row r="65" spans="2:23" ht="15" x14ac:dyDescent="0.25">
      <c r="C65" s="842"/>
      <c r="G65" s="52"/>
      <c r="H65" s="55"/>
      <c r="I65" s="1204" t="s">
        <v>811</v>
      </c>
      <c r="J65" s="1704">
        <f>J44+J64</f>
        <v>0</v>
      </c>
      <c r="K65" s="1704"/>
      <c r="L65" s="1704">
        <f>L44+L64</f>
        <v>0</v>
      </c>
      <c r="M65" s="1704"/>
      <c r="N65" s="1704">
        <f>N44+N64</f>
        <v>0</v>
      </c>
      <c r="O65" s="1704"/>
      <c r="V65" s="994"/>
      <c r="W65" s="994"/>
    </row>
    <row r="66" spans="2:23" ht="15" x14ac:dyDescent="0.25">
      <c r="C66" s="842"/>
      <c r="G66" s="52"/>
      <c r="V66" s="994"/>
      <c r="W66" s="994"/>
    </row>
    <row r="67" spans="2:23" ht="6" customHeight="1" x14ac:dyDescent="0.2">
      <c r="C67" s="52"/>
      <c r="G67" s="52"/>
    </row>
    <row r="68" spans="2:23" ht="15.75" x14ac:dyDescent="0.25">
      <c r="B68" s="1569" t="s">
        <v>692</v>
      </c>
      <c r="C68" s="1569"/>
      <c r="D68" s="1569"/>
      <c r="E68" s="1569"/>
      <c r="F68" s="1569"/>
      <c r="G68" s="1569"/>
      <c r="H68" s="1569"/>
      <c r="I68" s="1569"/>
      <c r="J68" s="1569"/>
      <c r="K68" s="1569"/>
      <c r="L68" s="1569"/>
      <c r="M68" s="1569"/>
      <c r="N68" s="1569"/>
      <c r="O68" s="1569"/>
      <c r="P68" s="790"/>
    </row>
    <row r="69" spans="2:23" ht="15.75" x14ac:dyDescent="0.25">
      <c r="B69" s="525" t="s">
        <v>403</v>
      </c>
      <c r="C69" s="217"/>
      <c r="D69" s="217"/>
      <c r="E69" s="217"/>
      <c r="F69" s="254"/>
      <c r="G69" s="254"/>
      <c r="H69" s="254"/>
      <c r="I69" s="254"/>
      <c r="J69" s="254"/>
      <c r="K69" s="254"/>
      <c r="L69" s="254"/>
      <c r="M69" s="254"/>
      <c r="N69" s="1660" t="s">
        <v>547</v>
      </c>
      <c r="O69" s="1660"/>
      <c r="P69" s="254"/>
    </row>
    <row r="70" spans="2:23" hidden="1" outlineLevel="1" x14ac:dyDescent="0.2">
      <c r="C70" s="219" t="s">
        <v>382</v>
      </c>
      <c r="D70" s="254"/>
      <c r="E70" s="514">
        <f>IF(NOT(C74=0),(YEAR(D74)-YEAR(C74))*12+MONTH(D74)-MONTH(C74)+IF(C78="no",1,0)+IF(D78="yes",-1,0),0)</f>
        <v>0</v>
      </c>
      <c r="G70" s="254"/>
      <c r="H70" s="499"/>
      <c r="I70" s="254"/>
      <c r="J70" s="219"/>
      <c r="K70" s="254"/>
      <c r="L70" s="219"/>
      <c r="M70" s="254"/>
      <c r="N70" s="254"/>
      <c r="O70" s="254"/>
      <c r="P70" s="254"/>
    </row>
    <row r="71" spans="2:23" collapsed="1" x14ac:dyDescent="0.2">
      <c r="B71" s="55"/>
      <c r="C71" s="254"/>
      <c r="D71" s="254"/>
      <c r="E71" s="254"/>
      <c r="F71" s="254"/>
      <c r="G71" s="254"/>
      <c r="H71" s="254"/>
      <c r="I71" s="254"/>
      <c r="J71" s="500" t="s">
        <v>545</v>
      </c>
      <c r="K71" s="501" t="s">
        <v>546</v>
      </c>
      <c r="L71" s="500" t="s">
        <v>545</v>
      </c>
      <c r="M71" s="501" t="s">
        <v>546</v>
      </c>
      <c r="N71" s="500" t="s">
        <v>545</v>
      </c>
      <c r="O71" s="501" t="s">
        <v>546</v>
      </c>
      <c r="P71" s="502"/>
    </row>
    <row r="72" spans="2:23" x14ac:dyDescent="0.2">
      <c r="B72" s="55"/>
      <c r="C72" s="254"/>
      <c r="D72" s="254"/>
      <c r="E72" s="254"/>
      <c r="F72" s="254"/>
      <c r="G72" s="254"/>
      <c r="H72" s="254"/>
      <c r="I72" s="254"/>
      <c r="J72" s="503" t="s">
        <v>510</v>
      </c>
      <c r="K72" s="504" t="s">
        <v>510</v>
      </c>
      <c r="L72" s="503" t="s">
        <v>510</v>
      </c>
      <c r="M72" s="504" t="s">
        <v>510</v>
      </c>
      <c r="N72" s="503" t="s">
        <v>510</v>
      </c>
      <c r="O72" s="504" t="s">
        <v>510</v>
      </c>
      <c r="P72" s="811"/>
    </row>
    <row r="73" spans="2:23" ht="38.25" x14ac:dyDescent="0.2">
      <c r="B73" s="805" t="s">
        <v>464</v>
      </c>
      <c r="C73" s="805" t="s">
        <v>519</v>
      </c>
      <c r="D73" s="805" t="s">
        <v>520</v>
      </c>
      <c r="E73" s="805" t="s">
        <v>351</v>
      </c>
      <c r="F73" s="805" t="s">
        <v>387</v>
      </c>
      <c r="G73" s="1522" t="s">
        <v>388</v>
      </c>
      <c r="H73" s="1709"/>
      <c r="I73" s="1523"/>
      <c r="J73" s="1543" t="s">
        <v>389</v>
      </c>
      <c r="K73" s="1543"/>
      <c r="L73" s="1543" t="s">
        <v>390</v>
      </c>
      <c r="M73" s="1543"/>
      <c r="N73" s="1543" t="s">
        <v>578</v>
      </c>
      <c r="O73" s="1543"/>
      <c r="P73" s="806"/>
    </row>
    <row r="74" spans="2:23" ht="12.75" customHeight="1" x14ac:dyDescent="0.2">
      <c r="B74" s="523"/>
      <c r="C74" s="618"/>
      <c r="D74" s="618">
        <f>$H$9</f>
        <v>42079</v>
      </c>
      <c r="E74" s="552" t="s">
        <v>414</v>
      </c>
      <c r="F74" s="506">
        <f>IF(NOT(C74=0),ROUND(Page3!E105,2),0)</f>
        <v>0</v>
      </c>
      <c r="G74" s="1705">
        <f>IF(C87="yes",C92,E70*F74+C92+D92)</f>
        <v>0</v>
      </c>
      <c r="H74" s="1706"/>
      <c r="I74" s="1707"/>
      <c r="J74" s="1710" t="s">
        <v>510</v>
      </c>
      <c r="K74" s="1710"/>
      <c r="L74" s="1710" t="s">
        <v>510</v>
      </c>
      <c r="M74" s="1710"/>
      <c r="N74" s="1710" t="s">
        <v>510</v>
      </c>
      <c r="O74" s="1710"/>
      <c r="P74" s="621"/>
    </row>
    <row r="75" spans="2:23" hidden="1" outlineLevel="1" x14ac:dyDescent="0.2">
      <c r="C75" s="141">
        <f>C81</f>
        <v>31</v>
      </c>
      <c r="D75" s="141">
        <f>D81</f>
        <v>31</v>
      </c>
      <c r="E75" s="803" t="s">
        <v>391</v>
      </c>
      <c r="G75" s="254"/>
      <c r="H75" s="507"/>
      <c r="I75" s="516"/>
      <c r="J75" s="219"/>
      <c r="K75" s="219"/>
      <c r="L75" s="219"/>
      <c r="M75" s="219"/>
      <c r="N75" s="219"/>
      <c r="O75" s="219"/>
      <c r="P75" s="219"/>
    </row>
    <row r="76" spans="2:23" hidden="1" outlineLevel="1" x14ac:dyDescent="0.2">
      <c r="C76" s="141">
        <v>1</v>
      </c>
      <c r="D76" s="141">
        <v>1</v>
      </c>
      <c r="E76" s="803" t="s">
        <v>392</v>
      </c>
      <c r="G76" s="254"/>
      <c r="H76" s="507"/>
      <c r="I76" s="516"/>
      <c r="J76" s="219"/>
      <c r="K76" s="219"/>
      <c r="L76" s="219"/>
      <c r="M76" s="219"/>
      <c r="N76" s="219"/>
      <c r="O76" s="219"/>
      <c r="P76" s="219"/>
    </row>
    <row r="77" spans="2:23" hidden="1" outlineLevel="1" x14ac:dyDescent="0.2">
      <c r="C77" s="141">
        <f>DAY(C74)</f>
        <v>0</v>
      </c>
      <c r="D77" s="141">
        <f>DAY(D74)</f>
        <v>16</v>
      </c>
      <c r="E77" s="803" t="s">
        <v>393</v>
      </c>
      <c r="G77" s="254"/>
      <c r="H77" s="507"/>
      <c r="I77" s="516"/>
      <c r="J77" s="219"/>
      <c r="K77" s="219"/>
      <c r="L77" s="219"/>
      <c r="M77" s="219"/>
      <c r="N77" s="219"/>
      <c r="O77" s="219"/>
      <c r="P77" s="219"/>
    </row>
    <row r="78" spans="2:23" hidden="1" outlineLevel="1" x14ac:dyDescent="0.2">
      <c r="C78" s="516" t="str">
        <f>IF(C77=C76,"No","Yes")</f>
        <v>Yes</v>
      </c>
      <c r="D78" s="516" t="str">
        <f>IF(D77=D75,"No","Yes")</f>
        <v>Yes</v>
      </c>
      <c r="E78" s="803" t="s">
        <v>394</v>
      </c>
      <c r="G78" s="254"/>
      <c r="H78" s="507"/>
      <c r="I78" s="516"/>
      <c r="J78" s="499"/>
      <c r="K78" s="499"/>
      <c r="L78" s="499"/>
      <c r="M78" s="499"/>
      <c r="N78" s="499"/>
      <c r="O78" s="499"/>
      <c r="P78" s="499"/>
    </row>
    <row r="79" spans="2:23" hidden="1" outlineLevel="1" x14ac:dyDescent="0.2">
      <c r="C79" s="508"/>
      <c r="D79" s="508"/>
      <c r="E79" s="803"/>
      <c r="G79" s="254"/>
      <c r="H79" s="507"/>
      <c r="I79" s="516"/>
      <c r="J79" s="254"/>
      <c r="K79" s="254"/>
      <c r="L79" s="254"/>
      <c r="M79" s="254"/>
      <c r="N79" s="254"/>
      <c r="O79" s="254"/>
      <c r="P79" s="254"/>
    </row>
    <row r="80" spans="2:23" hidden="1" outlineLevel="1" x14ac:dyDescent="0.2">
      <c r="C80" s="518">
        <f>EOMONTH(C74,0)</f>
        <v>31</v>
      </c>
      <c r="D80" s="518">
        <f>EOMONTH(D74,0)</f>
        <v>42094</v>
      </c>
      <c r="E80" s="803" t="s">
        <v>395</v>
      </c>
      <c r="G80" s="254"/>
      <c r="H80" s="507"/>
      <c r="I80" s="516"/>
      <c r="J80" s="550"/>
      <c r="K80" s="550"/>
      <c r="L80" s="550"/>
      <c r="M80" s="550"/>
      <c r="N80" s="550"/>
      <c r="O80" s="550"/>
      <c r="P80" s="550"/>
    </row>
    <row r="81" spans="2:23" hidden="1" outlineLevel="1" x14ac:dyDescent="0.2">
      <c r="C81" s="141">
        <f>DAY(C80)</f>
        <v>31</v>
      </c>
      <c r="D81" s="141">
        <f>DAY(D80)</f>
        <v>31</v>
      </c>
      <c r="E81" s="803" t="s">
        <v>396</v>
      </c>
      <c r="G81" s="254"/>
      <c r="H81" s="507"/>
      <c r="I81" s="516"/>
      <c r="J81" s="219"/>
      <c r="K81" s="219"/>
      <c r="L81" s="219"/>
      <c r="M81" s="219"/>
      <c r="N81" s="219"/>
      <c r="O81" s="219"/>
      <c r="P81" s="219"/>
    </row>
    <row r="82" spans="2:23" hidden="1" outlineLevel="1" x14ac:dyDescent="0.2">
      <c r="C82" s="520">
        <f>C80-C74+1</f>
        <v>32</v>
      </c>
      <c r="D82" s="520">
        <f>D80-D74</f>
        <v>15</v>
      </c>
      <c r="E82" s="803" t="s">
        <v>628</v>
      </c>
      <c r="G82" s="254"/>
      <c r="H82" s="507"/>
      <c r="I82" s="516"/>
      <c r="J82" s="219"/>
      <c r="K82" s="219"/>
      <c r="L82" s="219"/>
      <c r="M82" s="219"/>
      <c r="N82" s="219"/>
      <c r="O82" s="219"/>
      <c r="P82" s="219"/>
    </row>
    <row r="83" spans="2:23" hidden="1" outlineLevel="1" x14ac:dyDescent="0.2">
      <c r="C83" s="141">
        <f>C81-C82</f>
        <v>-1</v>
      </c>
      <c r="D83" s="141">
        <f>D81-D82</f>
        <v>16</v>
      </c>
      <c r="E83" s="803" t="s">
        <v>397</v>
      </c>
      <c r="G83" s="254"/>
      <c r="H83" s="507"/>
      <c r="I83" s="516"/>
      <c r="J83" s="219"/>
      <c r="K83" s="219"/>
      <c r="L83" s="219"/>
      <c r="M83" s="219"/>
      <c r="N83" s="219"/>
      <c r="O83" s="219"/>
      <c r="P83" s="219"/>
    </row>
    <row r="84" spans="2:23" hidden="1" outlineLevel="1" x14ac:dyDescent="0.2">
      <c r="C84" s="716">
        <f>IF(C78="Yes",ROUND(C82/C81,6),0)</f>
        <v>1.0322579999999999</v>
      </c>
      <c r="D84" s="716">
        <f>IF(D78="Yes",ROUND(D83/D81,6),0)</f>
        <v>0.51612899999999995</v>
      </c>
      <c r="E84" s="803" t="s">
        <v>398</v>
      </c>
      <c r="G84" s="254"/>
      <c r="H84" s="507"/>
      <c r="I84" s="516"/>
      <c r="J84" s="549"/>
      <c r="K84" s="549"/>
      <c r="L84" s="549"/>
      <c r="M84" s="549"/>
      <c r="N84" s="549"/>
      <c r="O84" s="549"/>
      <c r="P84" s="549"/>
    </row>
    <row r="85" spans="2:23" ht="13.5" hidden="1" outlineLevel="1" thickBot="1" x14ac:dyDescent="0.25">
      <c r="C85" s="509">
        <f>ROUND(IF(C87="yes",0,C84*F74),2)</f>
        <v>0</v>
      </c>
      <c r="D85" s="509">
        <f>ROUND(IF(C87="yes",0,D84*F74),2)</f>
        <v>0</v>
      </c>
      <c r="E85" s="803" t="s">
        <v>409</v>
      </c>
      <c r="G85" s="254"/>
      <c r="H85" s="507"/>
      <c r="I85" s="516"/>
      <c r="J85" s="510"/>
      <c r="K85" s="510"/>
      <c r="L85" s="510"/>
      <c r="M85" s="510"/>
      <c r="N85" s="510"/>
      <c r="O85" s="510"/>
      <c r="P85" s="510"/>
    </row>
    <row r="86" spans="2:23" ht="13.5" hidden="1" outlineLevel="1" thickTop="1" x14ac:dyDescent="0.2">
      <c r="C86" s="540"/>
      <c r="D86" s="540"/>
      <c r="E86" s="803"/>
      <c r="G86" s="254"/>
      <c r="H86" s="507"/>
      <c r="I86" s="516"/>
      <c r="J86" s="510"/>
      <c r="K86" s="510"/>
      <c r="L86" s="510"/>
      <c r="M86" s="510"/>
      <c r="N86" s="510"/>
      <c r="O86" s="510"/>
      <c r="P86" s="510"/>
    </row>
    <row r="87" spans="2:23" hidden="1" outlineLevel="1" x14ac:dyDescent="0.2">
      <c r="C87" s="542" t="str">
        <f>IF(AND(YEAR(C74)=YEAR(D74),MONTH(C74)=MONTH(D74),C78="YES",D78="YES"),"YES","NO")</f>
        <v>NO</v>
      </c>
      <c r="D87" s="540"/>
      <c r="E87" s="803" t="s">
        <v>410</v>
      </c>
      <c r="G87" s="254"/>
      <c r="H87" s="507"/>
      <c r="I87" s="516"/>
      <c r="J87" s="544"/>
      <c r="K87" s="510"/>
      <c r="L87" s="544"/>
      <c r="M87" s="510"/>
      <c r="N87" s="510"/>
      <c r="O87" s="510"/>
      <c r="P87" s="510"/>
    </row>
    <row r="88" spans="2:23" hidden="1" outlineLevel="1" x14ac:dyDescent="0.2">
      <c r="C88" s="141">
        <f>IF(C87="yes",D74-C74+1,0)</f>
        <v>0</v>
      </c>
      <c r="D88" s="540"/>
      <c r="E88" s="803" t="s">
        <v>411</v>
      </c>
      <c r="G88" s="254"/>
      <c r="H88" s="507"/>
      <c r="I88" s="516"/>
      <c r="J88" s="219"/>
      <c r="K88" s="510"/>
      <c r="L88" s="219"/>
      <c r="M88" s="510"/>
      <c r="N88" s="510"/>
      <c r="O88" s="510"/>
      <c r="P88" s="510"/>
      <c r="V88" s="994" t="s">
        <v>710</v>
      </c>
      <c r="W88" s="994" t="s">
        <v>715</v>
      </c>
    </row>
    <row r="89" spans="2:23" hidden="1" outlineLevel="1" x14ac:dyDescent="0.2">
      <c r="C89" s="717">
        <f>ROUND(C88/C81,6)</f>
        <v>0</v>
      </c>
      <c r="D89" s="541"/>
      <c r="E89" s="803" t="s">
        <v>398</v>
      </c>
      <c r="G89" s="254"/>
      <c r="H89" s="507"/>
      <c r="I89" s="516"/>
      <c r="J89" s="549"/>
      <c r="K89" s="510"/>
      <c r="L89" s="549"/>
      <c r="M89" s="510"/>
      <c r="N89" s="510"/>
      <c r="O89" s="510"/>
      <c r="P89" s="510"/>
      <c r="V89" s="994"/>
      <c r="W89" s="994"/>
    </row>
    <row r="90" spans="2:23" hidden="1" outlineLevel="1" x14ac:dyDescent="0.2">
      <c r="C90" s="540">
        <f>ROUND(IF(NOT(C74=0),C89*F74,0),2)</f>
        <v>0</v>
      </c>
      <c r="D90" s="540"/>
      <c r="E90" s="803" t="s">
        <v>413</v>
      </c>
      <c r="G90" s="254"/>
      <c r="H90" s="507"/>
      <c r="I90" s="516"/>
      <c r="J90" s="510"/>
      <c r="K90" s="510"/>
      <c r="L90" s="510"/>
      <c r="M90" s="510"/>
      <c r="N90" s="510"/>
      <c r="O90" s="510"/>
      <c r="P90" s="510"/>
      <c r="V90" s="1118">
        <f>IF(AND($E$9&gt;0,$R$4&gt;0,C74&gt;0),IF(OR(C74&lt;$E$9,C74&gt;$R$4),1,0),0)</f>
        <v>0</v>
      </c>
      <c r="W90" s="1118" t="s">
        <v>716</v>
      </c>
    </row>
    <row r="91" spans="2:23" hidden="1" outlineLevel="1" x14ac:dyDescent="0.2">
      <c r="C91" s="540"/>
      <c r="D91" s="540"/>
      <c r="E91" s="803"/>
      <c r="G91" s="254"/>
      <c r="H91" s="507"/>
      <c r="I91" s="516"/>
      <c r="J91" s="551"/>
      <c r="K91" s="551"/>
      <c r="L91" s="551"/>
      <c r="M91" s="551"/>
      <c r="N91" s="551"/>
      <c r="O91" s="551"/>
      <c r="P91" s="551"/>
      <c r="V91" s="1118">
        <f>IF(AND($E$9&gt;0,$R$4&gt;0,D74&gt;0),IF(OR(D74&lt;$E$9,D74&gt;$R$4),1,0),0)</f>
        <v>0</v>
      </c>
      <c r="W91" s="1118" t="s">
        <v>717</v>
      </c>
    </row>
    <row r="92" spans="2:23" ht="13.5" collapsed="1" thickBot="1" x14ac:dyDescent="0.25">
      <c r="C92" s="509">
        <f>C85+C90</f>
        <v>0</v>
      </c>
      <c r="D92" s="509">
        <f>D85+D90</f>
        <v>0</v>
      </c>
      <c r="E92" s="832" t="s">
        <v>399</v>
      </c>
      <c r="F92" s="507"/>
      <c r="G92" s="254"/>
      <c r="H92" s="507"/>
      <c r="I92" s="507"/>
      <c r="V92" s="1119"/>
      <c r="W92" s="1118"/>
    </row>
    <row r="93" spans="2:23" ht="15.75" thickTop="1" x14ac:dyDescent="0.25">
      <c r="C93" s="842" t="str">
        <f>IF(V93&gt;0,"ERROR ALERT:  The date range in your service start/end dates is NOT consistent with the contract start/end dates (top of this page 7), please check your dates and re-enter.","")</f>
        <v/>
      </c>
      <c r="D93" s="511"/>
      <c r="E93" s="511"/>
      <c r="F93" s="507"/>
      <c r="G93" s="254"/>
      <c r="H93" s="507"/>
      <c r="I93" s="507"/>
      <c r="V93" s="994">
        <f>SUM(V89:V92)</f>
        <v>0</v>
      </c>
      <c r="W93" s="994"/>
    </row>
    <row r="94" spans="2:23" ht="15.75" x14ac:dyDescent="0.25">
      <c r="B94" s="498" t="s">
        <v>400</v>
      </c>
      <c r="C94" s="508"/>
      <c r="D94" s="508"/>
      <c r="E94" s="508"/>
      <c r="F94" s="507"/>
      <c r="G94" s="254"/>
      <c r="H94" s="507"/>
      <c r="I94" s="507"/>
      <c r="J94" s="507"/>
      <c r="K94" s="507"/>
      <c r="L94" s="507"/>
      <c r="M94" s="507"/>
      <c r="N94" s="1660" t="s">
        <v>547</v>
      </c>
      <c r="O94" s="1660"/>
      <c r="P94" s="507"/>
    </row>
    <row r="95" spans="2:23" hidden="1" outlineLevel="1" x14ac:dyDescent="0.2">
      <c r="C95" s="219" t="s">
        <v>382</v>
      </c>
      <c r="D95" s="254"/>
      <c r="E95" s="514">
        <f>IF(NOT(C99=0),(YEAR(D99)-YEAR(C99))*12+MONTH(D99)-MONTH(C99)+IF(C103="no",1,0)+IF(D103="yes",-1,0),0)</f>
        <v>0</v>
      </c>
      <c r="G95" s="254"/>
      <c r="H95" s="499"/>
      <c r="I95" s="254"/>
      <c r="J95" s="219"/>
      <c r="K95" s="254"/>
      <c r="L95" s="219"/>
      <c r="M95" s="254"/>
      <c r="N95" s="254"/>
      <c r="O95" s="254"/>
      <c r="P95" s="254"/>
    </row>
    <row r="96" spans="2:23" collapsed="1" x14ac:dyDescent="0.2">
      <c r="C96" s="254"/>
      <c r="D96" s="254"/>
      <c r="E96" s="254"/>
      <c r="F96" s="254"/>
      <c r="G96" s="254"/>
      <c r="H96" s="254"/>
      <c r="I96" s="254"/>
      <c r="J96" s="500" t="s">
        <v>545</v>
      </c>
      <c r="K96" s="501" t="s">
        <v>546</v>
      </c>
      <c r="L96" s="500" t="s">
        <v>545</v>
      </c>
      <c r="M96" s="501" t="s">
        <v>546</v>
      </c>
      <c r="N96" s="500" t="s">
        <v>545</v>
      </c>
      <c r="O96" s="501" t="s">
        <v>546</v>
      </c>
      <c r="P96" s="502"/>
    </row>
    <row r="97" spans="2:16" x14ac:dyDescent="0.2">
      <c r="C97" s="254"/>
      <c r="D97" s="254"/>
      <c r="E97" s="254"/>
      <c r="F97" s="254"/>
      <c r="G97" s="254"/>
      <c r="H97" s="254"/>
      <c r="I97" s="254"/>
      <c r="J97" s="503" t="s">
        <v>510</v>
      </c>
      <c r="K97" s="504" t="s">
        <v>510</v>
      </c>
      <c r="L97" s="503" t="s">
        <v>510</v>
      </c>
      <c r="M97" s="504" t="s">
        <v>510</v>
      </c>
      <c r="N97" s="503" t="s">
        <v>510</v>
      </c>
      <c r="O97" s="504" t="s">
        <v>510</v>
      </c>
      <c r="P97" s="811"/>
    </row>
    <row r="98" spans="2:16" ht="38.25" x14ac:dyDescent="0.2">
      <c r="B98" s="805" t="s">
        <v>464</v>
      </c>
      <c r="C98" s="833" t="s">
        <v>519</v>
      </c>
      <c r="D98" s="833" t="s">
        <v>520</v>
      </c>
      <c r="E98" s="805" t="s">
        <v>351</v>
      </c>
      <c r="F98" s="833" t="s">
        <v>387</v>
      </c>
      <c r="G98" s="1522" t="s">
        <v>388</v>
      </c>
      <c r="H98" s="1709"/>
      <c r="I98" s="1523"/>
      <c r="J98" s="1543" t="s">
        <v>389</v>
      </c>
      <c r="K98" s="1543"/>
      <c r="L98" s="1543" t="s">
        <v>390</v>
      </c>
      <c r="M98" s="1543"/>
      <c r="N98" s="1543" t="s">
        <v>578</v>
      </c>
      <c r="O98" s="1543"/>
      <c r="P98" s="806"/>
    </row>
    <row r="99" spans="2:16" x14ac:dyDescent="0.2">
      <c r="B99" s="794"/>
      <c r="C99" s="618"/>
      <c r="D99" s="618"/>
      <c r="E99" s="552" t="s">
        <v>414</v>
      </c>
      <c r="F99" s="513"/>
      <c r="G99" s="1705">
        <f>IF(C112="yes",C117,E95*ROUND(F99,2)+C117+D117)</f>
        <v>0</v>
      </c>
      <c r="H99" s="1706"/>
      <c r="I99" s="1707"/>
      <c r="J99" s="1710" t="s">
        <v>510</v>
      </c>
      <c r="K99" s="1710"/>
      <c r="L99" s="1710" t="s">
        <v>510</v>
      </c>
      <c r="M99" s="1710"/>
      <c r="N99" s="1710" t="s">
        <v>510</v>
      </c>
      <c r="O99" s="1710"/>
      <c r="P99" s="621"/>
    </row>
    <row r="100" spans="2:16" hidden="1" outlineLevel="1" x14ac:dyDescent="0.2">
      <c r="C100" s="141">
        <f>C106</f>
        <v>31</v>
      </c>
      <c r="D100" s="141">
        <f>D106</f>
        <v>31</v>
      </c>
      <c r="E100" s="803" t="s">
        <v>391</v>
      </c>
      <c r="G100" s="254"/>
      <c r="H100" s="507"/>
      <c r="I100" s="516"/>
      <c r="J100" s="219"/>
      <c r="K100" s="219"/>
      <c r="L100" s="219"/>
      <c r="M100" s="219"/>
      <c r="N100" s="219"/>
      <c r="O100" s="219"/>
      <c r="P100" s="219"/>
    </row>
    <row r="101" spans="2:16" hidden="1" outlineLevel="1" x14ac:dyDescent="0.2">
      <c r="C101" s="141">
        <v>1</v>
      </c>
      <c r="D101" s="141">
        <v>1</v>
      </c>
      <c r="E101" s="803" t="s">
        <v>392</v>
      </c>
      <c r="G101" s="254"/>
      <c r="H101" s="507"/>
      <c r="I101" s="516"/>
      <c r="J101" s="219"/>
      <c r="K101" s="219"/>
      <c r="L101" s="219"/>
      <c r="M101" s="219"/>
      <c r="N101" s="219"/>
      <c r="O101" s="219"/>
      <c r="P101" s="219"/>
    </row>
    <row r="102" spans="2:16" hidden="1" outlineLevel="1" x14ac:dyDescent="0.2">
      <c r="C102" s="141">
        <f>DAY(C99)</f>
        <v>0</v>
      </c>
      <c r="D102" s="141">
        <f>DAY(D99)</f>
        <v>0</v>
      </c>
      <c r="E102" s="803" t="s">
        <v>393</v>
      </c>
      <c r="G102" s="254"/>
      <c r="H102" s="507"/>
      <c r="I102" s="516"/>
      <c r="J102" s="219"/>
      <c r="K102" s="219"/>
      <c r="L102" s="219"/>
      <c r="M102" s="219"/>
      <c r="N102" s="219"/>
      <c r="O102" s="219"/>
      <c r="P102" s="219"/>
    </row>
    <row r="103" spans="2:16" hidden="1" outlineLevel="1" x14ac:dyDescent="0.2">
      <c r="C103" s="516" t="str">
        <f>IF(C102=C101,"No","Yes")</f>
        <v>Yes</v>
      </c>
      <c r="D103" s="516" t="str">
        <f>IF(D102=D100,"No","Yes")</f>
        <v>Yes</v>
      </c>
      <c r="E103" s="803" t="s">
        <v>394</v>
      </c>
      <c r="G103" s="254"/>
      <c r="H103" s="507"/>
      <c r="I103" s="516"/>
      <c r="J103" s="499"/>
      <c r="K103" s="499"/>
      <c r="L103" s="499"/>
      <c r="M103" s="499"/>
      <c r="N103" s="499"/>
      <c r="O103" s="499"/>
      <c r="P103" s="499"/>
    </row>
    <row r="104" spans="2:16" hidden="1" outlineLevel="1" x14ac:dyDescent="0.2">
      <c r="C104" s="141"/>
      <c r="D104" s="141"/>
      <c r="E104" s="803"/>
      <c r="G104" s="254"/>
      <c r="H104" s="507"/>
      <c r="I104" s="516"/>
      <c r="J104" s="254"/>
      <c r="K104" s="254"/>
      <c r="L104" s="254"/>
      <c r="M104" s="254"/>
      <c r="N104" s="254"/>
      <c r="O104" s="254"/>
      <c r="P104" s="254"/>
    </row>
    <row r="105" spans="2:16" hidden="1" outlineLevel="1" x14ac:dyDescent="0.2">
      <c r="C105" s="518">
        <f>EOMONTH(C99,0)</f>
        <v>31</v>
      </c>
      <c r="D105" s="518">
        <f>EOMONTH(D99,0)</f>
        <v>31</v>
      </c>
      <c r="E105" s="803" t="s">
        <v>395</v>
      </c>
      <c r="G105" s="254"/>
      <c r="H105" s="507"/>
      <c r="I105" s="516"/>
      <c r="J105" s="550"/>
      <c r="K105" s="550"/>
      <c r="L105" s="550"/>
      <c r="M105" s="550"/>
      <c r="N105" s="550"/>
      <c r="O105" s="550"/>
      <c r="P105" s="550"/>
    </row>
    <row r="106" spans="2:16" hidden="1" outlineLevel="1" x14ac:dyDescent="0.2">
      <c r="C106" s="141">
        <f>DAY(C105)</f>
        <v>31</v>
      </c>
      <c r="D106" s="141">
        <f>DAY(D105)</f>
        <v>31</v>
      </c>
      <c r="E106" s="803" t="s">
        <v>396</v>
      </c>
      <c r="G106" s="254"/>
      <c r="H106" s="507"/>
      <c r="I106" s="516"/>
      <c r="J106" s="219"/>
      <c r="K106" s="219"/>
      <c r="L106" s="219"/>
      <c r="M106" s="219"/>
      <c r="N106" s="219"/>
      <c r="O106" s="219"/>
      <c r="P106" s="219"/>
    </row>
    <row r="107" spans="2:16" hidden="1" outlineLevel="1" x14ac:dyDescent="0.2">
      <c r="C107" s="520">
        <f>C105-C99+1</f>
        <v>32</v>
      </c>
      <c r="D107" s="520">
        <f>D105-D99</f>
        <v>31</v>
      </c>
      <c r="E107" s="803" t="s">
        <v>628</v>
      </c>
      <c r="G107" s="254"/>
      <c r="H107" s="507"/>
      <c r="I107" s="516"/>
      <c r="J107" s="219"/>
      <c r="K107" s="219"/>
      <c r="L107" s="219"/>
      <c r="M107" s="219"/>
      <c r="N107" s="219"/>
      <c r="O107" s="219"/>
      <c r="P107" s="219"/>
    </row>
    <row r="108" spans="2:16" hidden="1" outlineLevel="1" x14ac:dyDescent="0.2">
      <c r="C108" s="141">
        <f>C106-C107</f>
        <v>-1</v>
      </c>
      <c r="D108" s="141">
        <f>D106-D107</f>
        <v>0</v>
      </c>
      <c r="E108" s="803" t="s">
        <v>397</v>
      </c>
      <c r="G108" s="254"/>
      <c r="H108" s="507"/>
      <c r="I108" s="516"/>
      <c r="J108" s="219"/>
      <c r="K108" s="219"/>
      <c r="L108" s="219"/>
      <c r="M108" s="219"/>
      <c r="N108" s="219"/>
      <c r="O108" s="219"/>
      <c r="P108" s="219"/>
    </row>
    <row r="109" spans="2:16" hidden="1" outlineLevel="1" x14ac:dyDescent="0.2">
      <c r="C109" s="716">
        <f>IF(C103="Yes",ROUND(C107/C106,6),0)</f>
        <v>1.0322579999999999</v>
      </c>
      <c r="D109" s="716">
        <f>IF(D103="Yes",ROUND(D108/D106,6),0)</f>
        <v>0</v>
      </c>
      <c r="E109" s="803" t="s">
        <v>398</v>
      </c>
      <c r="G109" s="254"/>
      <c r="H109" s="507"/>
      <c r="I109" s="516"/>
      <c r="J109" s="549"/>
      <c r="K109" s="549"/>
      <c r="L109" s="549"/>
      <c r="M109" s="549"/>
      <c r="N109" s="549"/>
      <c r="O109" s="549"/>
      <c r="P109" s="549"/>
    </row>
    <row r="110" spans="2:16" ht="13.5" hidden="1" outlineLevel="1" thickBot="1" x14ac:dyDescent="0.25">
      <c r="C110" s="509">
        <f>ROUND(IF(C112="yes",0,C109*ROUND(F99,2)),2)</f>
        <v>0</v>
      </c>
      <c r="D110" s="509">
        <f>ROUND(IF(C112="yes",0,D109*ROUND(F99,2)),2)</f>
        <v>0</v>
      </c>
      <c r="E110" s="803" t="s">
        <v>409</v>
      </c>
      <c r="G110" s="254"/>
      <c r="H110" s="507"/>
      <c r="I110" s="516"/>
      <c r="J110" s="510"/>
      <c r="K110" s="510"/>
      <c r="L110" s="510"/>
      <c r="M110" s="510"/>
      <c r="N110" s="510"/>
      <c r="O110" s="510"/>
      <c r="P110" s="510"/>
    </row>
    <row r="111" spans="2:16" ht="13.5" hidden="1" outlineLevel="1" thickTop="1" x14ac:dyDescent="0.2">
      <c r="C111" s="547"/>
      <c r="D111" s="547"/>
      <c r="E111" s="803"/>
      <c r="G111" s="254"/>
      <c r="H111" s="507"/>
      <c r="I111" s="516"/>
      <c r="J111" s="522"/>
      <c r="K111" s="522"/>
      <c r="L111" s="522"/>
      <c r="M111" s="522"/>
      <c r="N111" s="522"/>
      <c r="O111" s="522"/>
      <c r="P111" s="522"/>
    </row>
    <row r="112" spans="2:16" hidden="1" outlineLevel="1" x14ac:dyDescent="0.2">
      <c r="C112" s="542" t="str">
        <f>IF(AND(YEAR(C99)=YEAR(D99),MONTH(C99)=MONTH(D99),C103="YES",D103="YES"),"YES","NO")</f>
        <v>YES</v>
      </c>
      <c r="D112" s="540"/>
      <c r="E112" s="803" t="s">
        <v>410</v>
      </c>
      <c r="G112" s="254"/>
      <c r="H112" s="507"/>
      <c r="I112" s="516"/>
      <c r="J112" s="544"/>
      <c r="K112" s="510"/>
      <c r="L112" s="544"/>
      <c r="M112" s="510"/>
      <c r="N112" s="510"/>
      <c r="O112" s="510"/>
      <c r="P112" s="510"/>
    </row>
    <row r="113" spans="2:23" hidden="1" outlineLevel="1" x14ac:dyDescent="0.2">
      <c r="C113" s="141">
        <f>IF(C112="yes",D99-C99+1,0)</f>
        <v>1</v>
      </c>
      <c r="D113" s="540"/>
      <c r="E113" s="803" t="s">
        <v>411</v>
      </c>
      <c r="G113" s="254"/>
      <c r="H113" s="507"/>
      <c r="I113" s="516"/>
      <c r="J113" s="219"/>
      <c r="K113" s="510"/>
      <c r="L113" s="219"/>
      <c r="M113" s="510"/>
      <c r="N113" s="510"/>
      <c r="O113" s="510"/>
      <c r="P113" s="510"/>
      <c r="V113" s="994" t="s">
        <v>710</v>
      </c>
      <c r="W113" s="994" t="s">
        <v>715</v>
      </c>
    </row>
    <row r="114" spans="2:23" hidden="1" outlineLevel="1" x14ac:dyDescent="0.2">
      <c r="C114" s="717">
        <f>ROUND(C113/C106,6)</f>
        <v>3.2258000000000002E-2</v>
      </c>
      <c r="D114" s="541"/>
      <c r="E114" s="803" t="s">
        <v>398</v>
      </c>
      <c r="G114" s="254"/>
      <c r="H114" s="507"/>
      <c r="I114" s="516"/>
      <c r="J114" s="549"/>
      <c r="K114" s="510"/>
      <c r="L114" s="549"/>
      <c r="M114" s="510"/>
      <c r="N114" s="510"/>
      <c r="O114" s="510"/>
      <c r="P114" s="510"/>
      <c r="V114" s="994"/>
      <c r="W114" s="994"/>
    </row>
    <row r="115" spans="2:23" hidden="1" outlineLevel="1" x14ac:dyDescent="0.2">
      <c r="C115" s="540">
        <f>ROUND(IF(NOT(C99=0),C114*ROUND(F99,2),0),2)</f>
        <v>0</v>
      </c>
      <c r="D115" s="540"/>
      <c r="E115" s="803" t="s">
        <v>413</v>
      </c>
      <c r="G115" s="254"/>
      <c r="H115" s="507"/>
      <c r="I115" s="516"/>
      <c r="J115" s="510"/>
      <c r="K115" s="510"/>
      <c r="L115" s="510"/>
      <c r="M115" s="510"/>
      <c r="N115" s="510"/>
      <c r="O115" s="510"/>
      <c r="P115" s="510"/>
      <c r="V115" s="1118">
        <f>IF(AND($E$9&gt;0,$R$4&gt;0,C99&gt;0),IF(OR(C99&lt;$E$9,C99&gt;$R$4),1,0),0)</f>
        <v>0</v>
      </c>
      <c r="W115" s="1118" t="s">
        <v>716</v>
      </c>
    </row>
    <row r="116" spans="2:23" hidden="1" outlineLevel="1" x14ac:dyDescent="0.2">
      <c r="C116" s="540"/>
      <c r="D116" s="540"/>
      <c r="E116" s="803"/>
      <c r="G116" s="254"/>
      <c r="H116" s="507"/>
      <c r="I116" s="516"/>
      <c r="J116" s="551"/>
      <c r="K116" s="551"/>
      <c r="L116" s="551"/>
      <c r="M116" s="551"/>
      <c r="N116" s="551"/>
      <c r="O116" s="551"/>
      <c r="P116" s="551"/>
      <c r="V116" s="1118">
        <f>IF(AND($E$9&gt;0,$R$4&gt;0,D99&gt;0),IF(OR(D99&lt;$E$9,D99&gt;$R$4),1,0),0)</f>
        <v>0</v>
      </c>
      <c r="W116" s="1118" t="s">
        <v>717</v>
      </c>
    </row>
    <row r="117" spans="2:23" ht="13.5" collapsed="1" thickBot="1" x14ac:dyDescent="0.25">
      <c r="C117" s="509">
        <f>C110+C115</f>
        <v>0</v>
      </c>
      <c r="D117" s="509">
        <f>D110+D115</f>
        <v>0</v>
      </c>
      <c r="E117" s="832" t="s">
        <v>399</v>
      </c>
      <c r="F117" s="507"/>
      <c r="G117" s="254"/>
      <c r="H117" s="507"/>
      <c r="I117" s="507"/>
      <c r="J117" s="522"/>
      <c r="K117" s="522"/>
      <c r="L117" s="522"/>
      <c r="M117" s="522"/>
      <c r="N117" s="522"/>
      <c r="O117" s="522"/>
      <c r="P117" s="522"/>
      <c r="V117" s="1119"/>
      <c r="W117" s="1118"/>
    </row>
    <row r="118" spans="2:23" ht="15.75" thickTop="1" x14ac:dyDescent="0.25">
      <c r="C118" s="842" t="str">
        <f>IF(V118&gt;0,"ERROR ALERT:  The date range in your service start/end dates is NOT consistent with the contract start/end dates (top of this page 7), please check your dates and re-enter.","")</f>
        <v/>
      </c>
      <c r="G118" s="52"/>
      <c r="V118" s="994">
        <f>SUM(V114:V117)</f>
        <v>0</v>
      </c>
      <c r="W118" s="994"/>
    </row>
    <row r="119" spans="2:23" ht="6.75" customHeight="1" x14ac:dyDescent="0.2">
      <c r="C119" s="52"/>
      <c r="G119" s="52"/>
    </row>
    <row r="120" spans="2:23" ht="15.75" thickBot="1" x14ac:dyDescent="0.3">
      <c r="B120" s="1708" t="s">
        <v>463</v>
      </c>
      <c r="C120" s="1708"/>
      <c r="D120" s="1708"/>
      <c r="E120" s="1708"/>
      <c r="G120" s="52"/>
    </row>
    <row r="121" spans="2:23" x14ac:dyDescent="0.2">
      <c r="B121" s="1711"/>
      <c r="C121" s="1712"/>
      <c r="D121" s="1712"/>
      <c r="E121" s="1712"/>
      <c r="F121" s="1712"/>
      <c r="G121" s="1712"/>
      <c r="H121" s="1712"/>
      <c r="I121" s="1712"/>
      <c r="J121" s="1712"/>
      <c r="K121" s="1712"/>
      <c r="L121" s="1712"/>
      <c r="M121" s="1712"/>
      <c r="N121" s="1712"/>
      <c r="O121" s="1713"/>
      <c r="P121" s="672"/>
    </row>
    <row r="122" spans="2:23" x14ac:dyDescent="0.2">
      <c r="B122" s="1714"/>
      <c r="C122" s="1303"/>
      <c r="D122" s="1303"/>
      <c r="E122" s="1303"/>
      <c r="F122" s="1303"/>
      <c r="G122" s="1303"/>
      <c r="H122" s="1303"/>
      <c r="I122" s="1303"/>
      <c r="J122" s="1303"/>
      <c r="K122" s="1303"/>
      <c r="L122" s="1303"/>
      <c r="M122" s="1303"/>
      <c r="N122" s="1303"/>
      <c r="O122" s="1715"/>
      <c r="P122" s="672"/>
    </row>
    <row r="123" spans="2:23" x14ac:dyDescent="0.2">
      <c r="B123" s="1714"/>
      <c r="C123" s="1303"/>
      <c r="D123" s="1303"/>
      <c r="E123" s="1303"/>
      <c r="F123" s="1303"/>
      <c r="G123" s="1303"/>
      <c r="H123" s="1303"/>
      <c r="I123" s="1303"/>
      <c r="J123" s="1303"/>
      <c r="K123" s="1303"/>
      <c r="L123" s="1303"/>
      <c r="M123" s="1303"/>
      <c r="N123" s="1303"/>
      <c r="O123" s="1715"/>
      <c r="P123" s="672"/>
    </row>
    <row r="124" spans="2:23" x14ac:dyDescent="0.2">
      <c r="B124" s="1714"/>
      <c r="C124" s="1303"/>
      <c r="D124" s="1303"/>
      <c r="E124" s="1303"/>
      <c r="F124" s="1303"/>
      <c r="G124" s="1303"/>
      <c r="H124" s="1303"/>
      <c r="I124" s="1303"/>
      <c r="J124" s="1303"/>
      <c r="K124" s="1303"/>
      <c r="L124" s="1303"/>
      <c r="M124" s="1303"/>
      <c r="N124" s="1303"/>
      <c r="O124" s="1715"/>
      <c r="P124" s="672"/>
    </row>
    <row r="125" spans="2:23" ht="13.5" thickBot="1" x14ac:dyDescent="0.25">
      <c r="B125" s="1716"/>
      <c r="C125" s="1717"/>
      <c r="D125" s="1717"/>
      <c r="E125" s="1717"/>
      <c r="F125" s="1717"/>
      <c r="G125" s="1717"/>
      <c r="H125" s="1717"/>
      <c r="I125" s="1717"/>
      <c r="J125" s="1717"/>
      <c r="K125" s="1717"/>
      <c r="L125" s="1717"/>
      <c r="M125" s="1717"/>
      <c r="N125" s="1717"/>
      <c r="O125" s="1718"/>
      <c r="P125" s="672"/>
    </row>
    <row r="126" spans="2:23" ht="8.25" customHeight="1" x14ac:dyDescent="0.2"/>
    <row r="127" spans="2:23" ht="15" customHeight="1" x14ac:dyDescent="0.25">
      <c r="B127" s="1613" t="s">
        <v>401</v>
      </c>
      <c r="C127" s="1613"/>
      <c r="D127" s="1613"/>
      <c r="E127" s="1613"/>
      <c r="F127" s="1613"/>
      <c r="G127" s="1613"/>
      <c r="H127" s="1613"/>
      <c r="I127" s="1613"/>
      <c r="J127" s="1613"/>
      <c r="K127" s="1613"/>
      <c r="L127" s="1613"/>
      <c r="M127" s="1613"/>
      <c r="N127" s="1613"/>
      <c r="O127" s="1613"/>
      <c r="P127" s="852"/>
    </row>
    <row r="128" spans="2:23" ht="15" x14ac:dyDescent="0.25">
      <c r="B128" s="627" t="s">
        <v>521</v>
      </c>
      <c r="C128" s="141"/>
      <c r="D128" s="141"/>
      <c r="E128" s="141"/>
      <c r="F128" s="141"/>
      <c r="G128" s="141"/>
      <c r="H128" s="141"/>
      <c r="I128" s="141"/>
      <c r="J128" s="141"/>
      <c r="K128" s="141"/>
      <c r="L128" s="141"/>
      <c r="M128" s="141"/>
      <c r="N128" s="141"/>
      <c r="O128" s="141"/>
      <c r="P128" s="216"/>
    </row>
    <row r="129" spans="2:16" ht="12.75" customHeight="1" x14ac:dyDescent="0.2">
      <c r="B129" s="628">
        <v>1</v>
      </c>
      <c r="C129" s="1611" t="s">
        <v>753</v>
      </c>
      <c r="D129" s="1611"/>
      <c r="E129" s="1611"/>
      <c r="F129" s="1611"/>
      <c r="G129" s="1611"/>
      <c r="H129" s="1611"/>
      <c r="I129" s="1611"/>
      <c r="J129" s="1611"/>
      <c r="K129" s="1611"/>
      <c r="L129" s="1611"/>
      <c r="M129" s="1611"/>
      <c r="N129" s="1611"/>
      <c r="O129" s="1611"/>
      <c r="P129" s="854"/>
    </row>
    <row r="130" spans="2:16" ht="6.95" customHeight="1" x14ac:dyDescent="0.2">
      <c r="B130" s="628"/>
      <c r="C130" s="850"/>
      <c r="D130" s="850"/>
      <c r="E130" s="850"/>
      <c r="F130" s="850"/>
      <c r="G130" s="850"/>
      <c r="H130" s="850"/>
      <c r="I130" s="850"/>
      <c r="J130" s="850"/>
      <c r="K130" s="850"/>
      <c r="L130" s="850"/>
      <c r="M130" s="850"/>
      <c r="N130" s="850"/>
      <c r="O130" s="850"/>
      <c r="P130" s="854"/>
    </row>
    <row r="131" spans="2:16" ht="27" customHeight="1" x14ac:dyDescent="0.2">
      <c r="B131" s="628">
        <f>B129+1</f>
        <v>2</v>
      </c>
      <c r="C131" s="1611" t="s">
        <v>754</v>
      </c>
      <c r="D131" s="1611"/>
      <c r="E131" s="1611"/>
      <c r="F131" s="1611"/>
      <c r="G131" s="1611"/>
      <c r="H131" s="1611"/>
      <c r="I131" s="1611"/>
      <c r="J131" s="1611"/>
      <c r="K131" s="1611"/>
      <c r="L131" s="1611"/>
      <c r="M131" s="1611"/>
      <c r="N131" s="1611"/>
      <c r="O131" s="1611"/>
      <c r="P131" s="854"/>
    </row>
    <row r="132" spans="2:16" ht="6.95" customHeight="1" x14ac:dyDescent="0.2">
      <c r="B132" s="628"/>
      <c r="C132" s="850"/>
      <c r="D132" s="850"/>
      <c r="E132" s="850"/>
      <c r="F132" s="850"/>
      <c r="G132" s="850"/>
      <c r="H132" s="850"/>
      <c r="I132" s="850"/>
      <c r="J132" s="850"/>
      <c r="K132" s="850"/>
      <c r="L132" s="850"/>
      <c r="M132" s="850"/>
      <c r="N132" s="850"/>
      <c r="O132" s="850"/>
      <c r="P132" s="854"/>
    </row>
    <row r="133" spans="2:16" ht="42" customHeight="1" x14ac:dyDescent="0.2">
      <c r="B133" s="628">
        <f t="shared" ref="B133" si="17">B131+1</f>
        <v>3</v>
      </c>
      <c r="C133" s="1611" t="s">
        <v>755</v>
      </c>
      <c r="D133" s="1611"/>
      <c r="E133" s="1611"/>
      <c r="F133" s="1611"/>
      <c r="G133" s="1611"/>
      <c r="H133" s="1611"/>
      <c r="I133" s="1611"/>
      <c r="J133" s="1611"/>
      <c r="K133" s="1611"/>
      <c r="L133" s="1611"/>
      <c r="M133" s="1611"/>
      <c r="N133" s="1611"/>
      <c r="O133" s="1611"/>
      <c r="P133" s="854"/>
    </row>
    <row r="134" spans="2:16" ht="28.5" customHeight="1" x14ac:dyDescent="0.2">
      <c r="B134" s="628"/>
      <c r="C134" s="1612" t="s">
        <v>756</v>
      </c>
      <c r="D134" s="1612"/>
      <c r="E134" s="1612"/>
      <c r="F134" s="1612"/>
      <c r="G134" s="1612"/>
      <c r="H134" s="1612"/>
      <c r="I134" s="1612"/>
      <c r="J134" s="1612"/>
      <c r="K134" s="1612"/>
      <c r="L134" s="1612"/>
      <c r="M134" s="1612"/>
      <c r="N134" s="1612"/>
      <c r="O134" s="1612"/>
      <c r="P134" s="854"/>
    </row>
    <row r="135" spans="2:16" ht="6.95" customHeight="1" x14ac:dyDescent="0.2">
      <c r="B135" s="628"/>
      <c r="C135" s="850"/>
      <c r="D135" s="850"/>
      <c r="E135" s="850"/>
      <c r="F135" s="850"/>
      <c r="G135" s="850"/>
      <c r="H135" s="850"/>
      <c r="I135" s="850"/>
      <c r="J135" s="850"/>
      <c r="K135" s="850"/>
      <c r="L135" s="850"/>
      <c r="M135" s="850"/>
      <c r="N135" s="850"/>
      <c r="O135" s="850"/>
      <c r="P135" s="854"/>
    </row>
    <row r="136" spans="2:16" ht="42" customHeight="1" x14ac:dyDescent="0.2">
      <c r="B136" s="628">
        <f>B133+1</f>
        <v>4</v>
      </c>
      <c r="C136" s="1611" t="s">
        <v>757</v>
      </c>
      <c r="D136" s="1611"/>
      <c r="E136" s="1611"/>
      <c r="F136" s="1611"/>
      <c r="G136" s="1611"/>
      <c r="H136" s="1611"/>
      <c r="I136" s="1611"/>
      <c r="J136" s="1611"/>
      <c r="K136" s="1611"/>
      <c r="L136" s="1611"/>
      <c r="M136" s="1611"/>
      <c r="N136" s="1611"/>
      <c r="O136" s="1611"/>
      <c r="P136" s="854"/>
    </row>
    <row r="137" spans="2:16" ht="6.95" customHeight="1" x14ac:dyDescent="0.2">
      <c r="B137" s="628"/>
      <c r="C137" s="850"/>
      <c r="D137" s="850"/>
      <c r="E137" s="850"/>
      <c r="F137" s="850"/>
      <c r="G137" s="850"/>
      <c r="H137" s="850"/>
      <c r="I137" s="850"/>
      <c r="J137" s="850"/>
      <c r="K137" s="850"/>
      <c r="L137" s="850"/>
      <c r="M137" s="850"/>
      <c r="N137" s="850"/>
      <c r="O137" s="850"/>
      <c r="P137" s="854"/>
    </row>
    <row r="138" spans="2:16" ht="13.5" customHeight="1" x14ac:dyDescent="0.2">
      <c r="B138" s="628">
        <f>B136+1</f>
        <v>5</v>
      </c>
      <c r="C138" s="1611" t="s">
        <v>404</v>
      </c>
      <c r="D138" s="1611"/>
      <c r="E138" s="1611"/>
      <c r="F138" s="1611"/>
      <c r="G138" s="1611"/>
      <c r="H138" s="1611"/>
      <c r="I138" s="1611"/>
      <c r="J138" s="1611"/>
      <c r="K138" s="1611"/>
      <c r="L138" s="1611"/>
      <c r="M138" s="1611"/>
      <c r="N138" s="1611"/>
      <c r="O138" s="1611"/>
      <c r="P138" s="854"/>
    </row>
    <row r="139" spans="2:16" ht="6.95" customHeight="1" x14ac:dyDescent="0.2">
      <c r="B139" s="628"/>
      <c r="C139" s="850"/>
      <c r="D139" s="850"/>
      <c r="E139" s="850"/>
      <c r="F139" s="850"/>
      <c r="G139" s="850"/>
      <c r="H139" s="850"/>
      <c r="I139" s="850"/>
      <c r="J139" s="850"/>
      <c r="K139" s="850"/>
      <c r="L139" s="850"/>
      <c r="M139" s="850"/>
      <c r="N139" s="850"/>
      <c r="O139" s="850"/>
      <c r="P139" s="854"/>
    </row>
    <row r="140" spans="2:16" x14ac:dyDescent="0.2">
      <c r="B140" s="628">
        <f>B138+1</f>
        <v>6</v>
      </c>
      <c r="C140" s="1611" t="s">
        <v>758</v>
      </c>
      <c r="D140" s="1611"/>
      <c r="E140" s="1611"/>
      <c r="F140" s="1611"/>
      <c r="G140" s="1611"/>
      <c r="H140" s="1611"/>
      <c r="I140" s="1611"/>
      <c r="J140" s="1611"/>
      <c r="K140" s="1611"/>
      <c r="L140" s="1611"/>
      <c r="M140" s="1611"/>
      <c r="N140" s="1611"/>
      <c r="O140" s="1611"/>
      <c r="P140" s="854"/>
    </row>
    <row r="141" spans="2:16" ht="6.95" customHeight="1" x14ac:dyDescent="0.2">
      <c r="B141" s="628"/>
      <c r="C141" s="850"/>
      <c r="D141" s="850"/>
      <c r="E141" s="850"/>
      <c r="F141" s="850"/>
      <c r="G141" s="850"/>
      <c r="H141" s="850"/>
      <c r="I141" s="850"/>
      <c r="J141" s="850"/>
      <c r="K141" s="850"/>
      <c r="L141" s="850"/>
      <c r="M141" s="850"/>
      <c r="N141" s="850"/>
      <c r="O141" s="850"/>
      <c r="P141" s="854"/>
    </row>
    <row r="142" spans="2:16" ht="12.75" customHeight="1" x14ac:dyDescent="0.2">
      <c r="B142" s="628">
        <f>B140+1</f>
        <v>7</v>
      </c>
      <c r="C142" s="1611" t="s">
        <v>728</v>
      </c>
      <c r="D142" s="1611"/>
      <c r="E142" s="1611"/>
      <c r="F142" s="1611"/>
      <c r="G142" s="1611"/>
      <c r="H142" s="1611"/>
      <c r="I142" s="1611"/>
      <c r="J142" s="1611"/>
      <c r="K142" s="1611"/>
      <c r="L142" s="1611"/>
      <c r="M142" s="1611"/>
      <c r="N142" s="1611"/>
      <c r="O142" s="1611"/>
      <c r="P142" s="854"/>
    </row>
    <row r="143" spans="2:16" ht="10.5" customHeight="1" x14ac:dyDescent="0.2">
      <c r="B143" s="141"/>
      <c r="C143" s="629"/>
      <c r="D143" s="629"/>
      <c r="E143" s="629"/>
      <c r="F143" s="629"/>
      <c r="G143" s="629"/>
      <c r="H143" s="629"/>
      <c r="I143" s="629"/>
      <c r="J143" s="629"/>
      <c r="K143" s="629"/>
      <c r="L143" s="629"/>
      <c r="M143" s="629"/>
      <c r="N143" s="629"/>
      <c r="O143" s="629"/>
      <c r="P143" s="630"/>
    </row>
    <row r="144" spans="2:16" ht="15" x14ac:dyDescent="0.25">
      <c r="B144" s="627" t="s">
        <v>583</v>
      </c>
      <c r="C144" s="629"/>
      <c r="D144" s="629"/>
      <c r="E144" s="629"/>
      <c r="F144" s="629"/>
      <c r="G144" s="629"/>
      <c r="H144" s="629"/>
      <c r="I144" s="629"/>
      <c r="J144" s="629"/>
      <c r="K144" s="629"/>
      <c r="L144" s="629"/>
      <c r="M144" s="629"/>
      <c r="N144" s="629"/>
      <c r="O144" s="629"/>
      <c r="P144" s="630"/>
    </row>
    <row r="145" spans="2:17" ht="29.25" customHeight="1" x14ac:dyDescent="0.2">
      <c r="B145" s="628">
        <v>1</v>
      </c>
      <c r="C145" s="1611" t="s">
        <v>729</v>
      </c>
      <c r="D145" s="1611"/>
      <c r="E145" s="1611"/>
      <c r="F145" s="1611"/>
      <c r="G145" s="1611"/>
      <c r="H145" s="1611"/>
      <c r="I145" s="1611"/>
      <c r="J145" s="1611"/>
      <c r="K145" s="1611"/>
      <c r="L145" s="1611"/>
      <c r="M145" s="1611"/>
      <c r="N145" s="1611"/>
      <c r="O145" s="1611"/>
      <c r="P145" s="854"/>
    </row>
    <row r="146" spans="2:17" ht="30.75" customHeight="1" x14ac:dyDescent="0.2">
      <c r="B146" s="140"/>
      <c r="C146" s="1611" t="s">
        <v>703</v>
      </c>
      <c r="D146" s="1611"/>
      <c r="E146" s="1611"/>
      <c r="F146" s="1611"/>
      <c r="G146" s="1611"/>
      <c r="H146" s="1611"/>
      <c r="I146" s="1611"/>
      <c r="J146" s="1611"/>
      <c r="K146" s="1611"/>
      <c r="L146" s="1611"/>
      <c r="M146" s="1611"/>
      <c r="N146" s="1611"/>
      <c r="O146" s="1611"/>
      <c r="P146" s="854"/>
    </row>
    <row r="147" spans="2:17" ht="6.95" customHeight="1" x14ac:dyDescent="0.2">
      <c r="B147" s="140"/>
      <c r="C147" s="850"/>
      <c r="D147" s="850"/>
      <c r="E147" s="850"/>
      <c r="F147" s="850"/>
      <c r="G147" s="850"/>
      <c r="H147" s="850"/>
      <c r="I147" s="850"/>
      <c r="J147" s="850"/>
      <c r="K147" s="850"/>
      <c r="L147" s="850"/>
      <c r="M147" s="850"/>
      <c r="N147" s="850"/>
      <c r="O147" s="850"/>
      <c r="P147" s="854"/>
    </row>
    <row r="148" spans="2:17" ht="15.75" customHeight="1" x14ac:dyDescent="0.2">
      <c r="B148" s="628">
        <v>2</v>
      </c>
      <c r="C148" s="1611" t="s">
        <v>742</v>
      </c>
      <c r="D148" s="1611"/>
      <c r="E148" s="1611"/>
      <c r="F148" s="1611"/>
      <c r="G148" s="1611"/>
      <c r="H148" s="1611"/>
      <c r="I148" s="1611"/>
      <c r="J148" s="1611"/>
      <c r="K148" s="1611"/>
      <c r="L148" s="1611"/>
      <c r="M148" s="1611"/>
      <c r="N148" s="1611"/>
      <c r="O148" s="1611"/>
      <c r="P148" s="854"/>
    </row>
    <row r="149" spans="2:17" ht="12.75" customHeight="1" x14ac:dyDescent="0.2">
      <c r="B149" s="140"/>
      <c r="C149" s="1611" t="s">
        <v>743</v>
      </c>
      <c r="D149" s="1611"/>
      <c r="E149" s="1611"/>
      <c r="F149" s="1611"/>
      <c r="G149" s="1611"/>
      <c r="H149" s="1611"/>
      <c r="I149" s="1611"/>
      <c r="J149" s="1611"/>
      <c r="K149" s="1611"/>
      <c r="L149" s="1611"/>
      <c r="M149" s="1611"/>
      <c r="N149" s="1611"/>
      <c r="O149" s="1611"/>
      <c r="P149" s="854"/>
    </row>
    <row r="150" spans="2:17" ht="6.95" customHeight="1" x14ac:dyDescent="0.2">
      <c r="B150" s="140"/>
      <c r="C150" s="850"/>
      <c r="D150" s="850"/>
      <c r="E150" s="850"/>
      <c r="F150" s="850"/>
      <c r="G150" s="850"/>
      <c r="H150" s="850"/>
      <c r="I150" s="850"/>
      <c r="J150" s="850"/>
      <c r="K150" s="850"/>
      <c r="L150" s="850"/>
      <c r="M150" s="850"/>
      <c r="N150" s="850"/>
      <c r="O150" s="850"/>
      <c r="P150" s="854"/>
    </row>
    <row r="151" spans="2:17" ht="135.75" customHeight="1" x14ac:dyDescent="0.2">
      <c r="B151" s="628">
        <v>3</v>
      </c>
      <c r="C151" s="1611" t="s">
        <v>759</v>
      </c>
      <c r="D151" s="1611"/>
      <c r="E151" s="1611"/>
      <c r="F151" s="1611"/>
      <c r="G151" s="1611"/>
      <c r="H151" s="1611"/>
      <c r="I151" s="1611"/>
      <c r="J151" s="1611"/>
      <c r="K151" s="1611"/>
      <c r="L151" s="1611"/>
      <c r="M151" s="1611"/>
      <c r="N151" s="1611"/>
      <c r="O151" s="1611"/>
      <c r="P151" s="854"/>
    </row>
    <row r="152" spans="2:17" ht="6.95" customHeight="1" x14ac:dyDescent="0.2">
      <c r="B152" s="628"/>
      <c r="C152" s="850"/>
      <c r="D152" s="850"/>
      <c r="E152" s="850"/>
      <c r="F152" s="850"/>
      <c r="G152" s="850"/>
      <c r="H152" s="850"/>
      <c r="I152" s="850"/>
      <c r="J152" s="850"/>
      <c r="K152" s="850"/>
      <c r="L152" s="850"/>
      <c r="M152" s="850"/>
      <c r="N152" s="850"/>
      <c r="O152" s="850"/>
      <c r="P152" s="854"/>
    </row>
    <row r="153" spans="2:17" ht="30.6" customHeight="1" x14ac:dyDescent="0.2">
      <c r="B153" s="628"/>
      <c r="C153" s="1612" t="s">
        <v>406</v>
      </c>
      <c r="D153" s="1612"/>
      <c r="E153" s="1612"/>
      <c r="F153" s="1612"/>
      <c r="G153" s="1612"/>
      <c r="H153" s="1612"/>
      <c r="I153" s="1612"/>
      <c r="J153" s="1612"/>
      <c r="K153" s="1612"/>
      <c r="L153" s="1612"/>
      <c r="M153" s="1612"/>
      <c r="N153" s="1612"/>
      <c r="O153" s="1612"/>
      <c r="P153" s="857"/>
    </row>
    <row r="154" spans="2:17" ht="6.95" customHeight="1" x14ac:dyDescent="0.2">
      <c r="B154" s="628"/>
      <c r="C154" s="851"/>
      <c r="D154" s="851"/>
      <c r="E154" s="851"/>
      <c r="F154" s="851"/>
      <c r="G154" s="851"/>
      <c r="H154" s="851"/>
      <c r="I154" s="851"/>
      <c r="J154" s="851"/>
      <c r="K154" s="851"/>
      <c r="L154" s="851"/>
      <c r="M154" s="851"/>
      <c r="N154" s="851"/>
      <c r="O154" s="851"/>
      <c r="P154" s="857"/>
    </row>
    <row r="155" spans="2:17" x14ac:dyDescent="0.2">
      <c r="B155" s="628">
        <v>4</v>
      </c>
      <c r="C155" s="1615" t="s">
        <v>746</v>
      </c>
      <c r="D155" s="1615"/>
      <c r="E155" s="1615"/>
      <c r="F155" s="1615"/>
      <c r="G155" s="1615"/>
      <c r="H155" s="1615"/>
      <c r="I155" s="1615"/>
      <c r="J155" s="1615"/>
      <c r="K155" s="1615"/>
      <c r="L155" s="1615"/>
      <c r="M155" s="1615"/>
      <c r="N155" s="1615"/>
      <c r="O155" s="1615"/>
      <c r="P155" s="646"/>
      <c r="Q155" s="1120"/>
    </row>
    <row r="156" spans="2:17" ht="12.75" customHeight="1" x14ac:dyDescent="0.2">
      <c r="B156" s="140"/>
      <c r="C156" s="1615" t="s">
        <v>734</v>
      </c>
      <c r="D156" s="1615"/>
      <c r="E156" s="1615"/>
      <c r="F156" s="1615"/>
      <c r="G156" s="1615"/>
      <c r="H156" s="1615"/>
      <c r="I156" s="1615"/>
      <c r="J156" s="1615"/>
      <c r="K156" s="1615"/>
      <c r="L156" s="1615"/>
      <c r="M156" s="1615"/>
      <c r="N156" s="1615"/>
      <c r="O156" s="1615"/>
      <c r="P156" s="854"/>
    </row>
    <row r="157" spans="2:17" ht="6.95" customHeight="1" x14ac:dyDescent="0.2">
      <c r="B157" s="140"/>
      <c r="C157" s="850"/>
      <c r="D157" s="850"/>
      <c r="E157" s="850"/>
      <c r="F157" s="850"/>
      <c r="G157" s="850"/>
      <c r="H157" s="850"/>
      <c r="I157" s="850"/>
      <c r="J157" s="850"/>
      <c r="K157" s="850"/>
      <c r="L157" s="850"/>
      <c r="M157" s="850"/>
      <c r="N157" s="850"/>
      <c r="O157" s="850"/>
      <c r="P157" s="854"/>
    </row>
    <row r="158" spans="2:17" x14ac:dyDescent="0.2">
      <c r="B158" s="628">
        <v>5</v>
      </c>
      <c r="C158" s="1615" t="s">
        <v>606</v>
      </c>
      <c r="D158" s="1615"/>
      <c r="E158" s="1615"/>
      <c r="F158" s="1615"/>
      <c r="G158" s="1615"/>
      <c r="H158" s="1615"/>
      <c r="I158" s="1615"/>
      <c r="J158" s="1615"/>
      <c r="K158" s="1615"/>
      <c r="L158" s="1615"/>
      <c r="M158" s="1615"/>
      <c r="N158" s="1615"/>
      <c r="O158" s="1615"/>
      <c r="P158" s="854"/>
    </row>
    <row r="159" spans="2:17" ht="14.25" customHeight="1" x14ac:dyDescent="0.2">
      <c r="B159" s="628"/>
      <c r="C159" s="1615" t="s">
        <v>704</v>
      </c>
      <c r="D159" s="1615"/>
      <c r="E159" s="1615"/>
      <c r="F159" s="1615"/>
      <c r="G159" s="1615"/>
      <c r="H159" s="1615"/>
      <c r="I159" s="1615"/>
      <c r="J159" s="1615"/>
      <c r="K159" s="1615"/>
      <c r="L159" s="1615"/>
      <c r="M159" s="1615"/>
      <c r="N159" s="1615"/>
      <c r="O159" s="1615"/>
      <c r="P159" s="854"/>
    </row>
    <row r="160" spans="2:17" x14ac:dyDescent="0.2">
      <c r="B160" s="140"/>
      <c r="C160" s="141"/>
      <c r="D160" s="141"/>
      <c r="E160" s="141"/>
      <c r="F160" s="141"/>
      <c r="G160" s="141"/>
      <c r="H160" s="141"/>
      <c r="I160" s="141"/>
      <c r="J160" s="141"/>
      <c r="K160" s="141"/>
      <c r="L160" s="141"/>
      <c r="M160" s="141"/>
      <c r="N160" s="141"/>
      <c r="O160" s="141"/>
      <c r="P160" s="216"/>
    </row>
    <row r="161" spans="2:23" ht="15" x14ac:dyDescent="0.25">
      <c r="B161" s="627" t="s">
        <v>584</v>
      </c>
    </row>
    <row r="162" spans="2:23" ht="30" customHeight="1" x14ac:dyDescent="0.2">
      <c r="B162" s="536"/>
      <c r="C162" s="1615" t="s">
        <v>747</v>
      </c>
      <c r="D162" s="1615"/>
      <c r="E162" s="1615"/>
      <c r="F162" s="1615"/>
      <c r="G162" s="1615"/>
      <c r="H162" s="1615"/>
      <c r="I162" s="1615"/>
      <c r="J162" s="1615"/>
      <c r="K162" s="1615"/>
      <c r="L162" s="1615"/>
      <c r="M162" s="1615"/>
      <c r="N162" s="1615"/>
      <c r="O162" s="1615"/>
    </row>
    <row r="163" spans="2:23" ht="6.95" customHeight="1" x14ac:dyDescent="0.2">
      <c r="B163" s="140"/>
      <c r="C163" s="850"/>
      <c r="D163" s="850"/>
      <c r="E163" s="850"/>
      <c r="F163" s="850"/>
      <c r="G163" s="850"/>
      <c r="H163" s="850"/>
      <c r="I163" s="850"/>
      <c r="J163" s="850"/>
      <c r="K163" s="850"/>
      <c r="L163" s="850"/>
      <c r="M163" s="850"/>
      <c r="N163" s="850"/>
      <c r="O163" s="850"/>
      <c r="P163" s="854"/>
    </row>
    <row r="164" spans="2:23" s="52" customFormat="1" x14ac:dyDescent="0.2">
      <c r="B164" s="628">
        <v>1</v>
      </c>
      <c r="C164" s="1615" t="s">
        <v>760</v>
      </c>
      <c r="D164" s="1615"/>
      <c r="E164" s="1615"/>
      <c r="F164" s="1615"/>
      <c r="G164" s="1615"/>
      <c r="H164" s="1615"/>
      <c r="I164" s="1615"/>
      <c r="J164" s="1615"/>
      <c r="K164" s="1615"/>
      <c r="L164" s="1615"/>
      <c r="M164" s="1615"/>
      <c r="N164" s="1615"/>
      <c r="O164" s="1615"/>
      <c r="Q164" s="992"/>
      <c r="R164" s="992"/>
      <c r="S164" s="992"/>
      <c r="T164" s="992"/>
      <c r="U164" s="992"/>
      <c r="V164" s="992"/>
      <c r="W164" s="992"/>
    </row>
    <row r="165" spans="2:23" ht="6.95" customHeight="1" x14ac:dyDescent="0.2">
      <c r="B165" s="140"/>
      <c r="C165" s="850"/>
      <c r="D165" s="850"/>
      <c r="E165" s="850"/>
      <c r="F165" s="850"/>
      <c r="G165" s="850"/>
      <c r="H165" s="850"/>
      <c r="I165" s="850"/>
      <c r="J165" s="850"/>
      <c r="K165" s="850"/>
      <c r="L165" s="850"/>
      <c r="M165" s="850"/>
      <c r="N165" s="850"/>
      <c r="O165" s="850"/>
      <c r="P165" s="854"/>
    </row>
    <row r="166" spans="2:23" ht="30" customHeight="1" x14ac:dyDescent="0.2">
      <c r="B166" s="628">
        <v>2</v>
      </c>
      <c r="C166" s="1615" t="s">
        <v>761</v>
      </c>
      <c r="D166" s="1615"/>
      <c r="E166" s="1615"/>
      <c r="F166" s="1615"/>
      <c r="G166" s="1615"/>
      <c r="H166" s="1615"/>
      <c r="I166" s="1615"/>
      <c r="J166" s="1615"/>
      <c r="K166" s="1615"/>
      <c r="L166" s="1615"/>
      <c r="M166" s="1615"/>
      <c r="N166" s="1615"/>
      <c r="O166" s="1615"/>
    </row>
    <row r="167" spans="2:23" x14ac:dyDescent="0.2">
      <c r="B167" s="628"/>
      <c r="C167" s="1615" t="s">
        <v>707</v>
      </c>
      <c r="D167" s="1615"/>
      <c r="E167" s="1615"/>
      <c r="F167" s="1615"/>
      <c r="G167" s="1615"/>
      <c r="H167" s="1615"/>
      <c r="I167" s="1615"/>
      <c r="J167" s="1615"/>
      <c r="K167" s="1615"/>
      <c r="L167" s="1615"/>
      <c r="M167" s="1615"/>
      <c r="N167" s="1615"/>
      <c r="O167" s="1615"/>
    </row>
    <row r="168" spans="2:23" ht="6.95" customHeight="1" x14ac:dyDescent="0.2">
      <c r="B168" s="140"/>
      <c r="C168" s="850"/>
      <c r="D168" s="850"/>
      <c r="E168" s="850"/>
      <c r="F168" s="850"/>
      <c r="G168" s="850"/>
      <c r="H168" s="850"/>
      <c r="I168" s="850"/>
      <c r="J168" s="850"/>
      <c r="K168" s="850"/>
      <c r="L168" s="850"/>
      <c r="M168" s="850"/>
      <c r="N168" s="850"/>
      <c r="O168" s="850"/>
      <c r="P168" s="854"/>
    </row>
    <row r="169" spans="2:23" x14ac:dyDescent="0.2">
      <c r="B169" s="628">
        <v>3</v>
      </c>
      <c r="C169" s="1615" t="s">
        <v>751</v>
      </c>
      <c r="D169" s="1615"/>
      <c r="E169" s="1615"/>
      <c r="F169" s="1615"/>
      <c r="G169" s="1615"/>
      <c r="H169" s="1615"/>
      <c r="I169" s="1615"/>
      <c r="J169" s="1615"/>
      <c r="K169" s="1615"/>
      <c r="L169" s="1615"/>
      <c r="M169" s="1615"/>
      <c r="N169" s="1615"/>
      <c r="O169" s="1615"/>
    </row>
    <row r="170" spans="2:23" x14ac:dyDescent="0.2">
      <c r="B170" s="628"/>
      <c r="C170" s="1615" t="s">
        <v>752</v>
      </c>
      <c r="D170" s="1615"/>
      <c r="E170" s="1615"/>
      <c r="F170" s="1615"/>
      <c r="G170" s="1615"/>
      <c r="H170" s="1615"/>
      <c r="I170" s="1615"/>
      <c r="J170" s="1615"/>
      <c r="K170" s="1615"/>
      <c r="L170" s="1615"/>
      <c r="M170" s="1615"/>
      <c r="N170" s="1615"/>
      <c r="O170" s="1615"/>
    </row>
    <row r="171" spans="2:23" ht="6.95" customHeight="1" x14ac:dyDescent="0.2">
      <c r="B171" s="140"/>
      <c r="C171" s="850"/>
      <c r="D171" s="850"/>
      <c r="E171" s="850"/>
      <c r="F171" s="850"/>
      <c r="G171" s="850"/>
      <c r="H171" s="850"/>
      <c r="I171" s="850"/>
      <c r="J171" s="850"/>
      <c r="K171" s="850"/>
      <c r="L171" s="850"/>
      <c r="M171" s="850"/>
      <c r="N171" s="850"/>
      <c r="O171" s="850"/>
      <c r="P171" s="854"/>
    </row>
    <row r="172" spans="2:23" x14ac:dyDescent="0.2">
      <c r="B172" s="628">
        <v>4</v>
      </c>
      <c r="C172" s="1615" t="s">
        <v>606</v>
      </c>
      <c r="D172" s="1615"/>
      <c r="E172" s="1615"/>
      <c r="F172" s="1615"/>
      <c r="G172" s="1615"/>
      <c r="H172" s="1615"/>
      <c r="I172" s="1615"/>
      <c r="J172" s="1615"/>
      <c r="K172" s="1615"/>
      <c r="L172" s="1615"/>
      <c r="M172" s="1615"/>
      <c r="N172" s="1615"/>
      <c r="O172" s="1615"/>
    </row>
    <row r="173" spans="2:23" x14ac:dyDescent="0.2">
      <c r="P173" s="34"/>
    </row>
    <row r="174" spans="2:23" ht="15" x14ac:dyDescent="0.25">
      <c r="B174" s="627" t="s">
        <v>812</v>
      </c>
      <c r="C174" s="646"/>
      <c r="D174" s="646"/>
      <c r="E174" s="646"/>
      <c r="F174" s="646"/>
      <c r="G174" s="646"/>
      <c r="H174" s="646"/>
      <c r="I174" s="646"/>
      <c r="J174" s="646"/>
      <c r="K174" s="646"/>
      <c r="L174" s="646"/>
      <c r="M174" s="646"/>
      <c r="N174" s="646"/>
      <c r="O174" s="646"/>
    </row>
    <row r="175" spans="2:23" x14ac:dyDescent="0.2">
      <c r="C175" s="1615"/>
      <c r="D175" s="1615"/>
      <c r="E175" s="1615"/>
      <c r="F175" s="1615"/>
      <c r="G175" s="1615"/>
      <c r="H175" s="1615"/>
      <c r="I175" s="1615"/>
      <c r="J175" s="1615"/>
      <c r="K175" s="1615"/>
      <c r="L175" s="1615"/>
      <c r="M175" s="1615"/>
      <c r="N175" s="1615"/>
      <c r="O175" s="1615"/>
    </row>
    <row r="176" spans="2:23" ht="55.5" customHeight="1" x14ac:dyDescent="0.2">
      <c r="C176" s="1615" t="s">
        <v>840</v>
      </c>
      <c r="D176" s="1615"/>
      <c r="E176" s="1615"/>
      <c r="F176" s="1615"/>
      <c r="G176" s="1615"/>
      <c r="H176" s="1615"/>
      <c r="I176" s="1615"/>
      <c r="J176" s="1615"/>
      <c r="K176" s="1615"/>
      <c r="L176" s="1615"/>
      <c r="M176" s="1615"/>
    </row>
    <row r="177" spans="3:13" ht="13.5" customHeight="1" x14ac:dyDescent="0.2">
      <c r="C177" s="1261"/>
      <c r="D177" s="1261"/>
      <c r="E177" s="1261"/>
      <c r="F177" s="1261"/>
      <c r="G177" s="1261"/>
      <c r="H177" s="1261"/>
      <c r="I177" s="1261"/>
      <c r="J177" s="1261"/>
      <c r="K177" s="1261"/>
      <c r="L177" s="1261"/>
      <c r="M177" s="1261"/>
    </row>
    <row r="178" spans="3:13" ht="13.5" customHeight="1" x14ac:dyDescent="0.2">
      <c r="C178" s="1615"/>
      <c r="D178" s="1615"/>
      <c r="E178" s="1615"/>
      <c r="F178" s="1615"/>
      <c r="G178" s="1615"/>
      <c r="H178" s="1615"/>
      <c r="I178" s="1615"/>
      <c r="J178" s="1615"/>
      <c r="K178" s="1615"/>
      <c r="L178" s="1615"/>
      <c r="M178" s="1615"/>
    </row>
  </sheetData>
  <sheetProtection password="DCF0" sheet="1" objects="1" scenarios="1"/>
  <mergeCells count="85">
    <mergeCell ref="B1:O1"/>
    <mergeCell ref="B2:O2"/>
    <mergeCell ref="B3:O3"/>
    <mergeCell ref="B4:O4"/>
    <mergeCell ref="N13:O13"/>
    <mergeCell ref="C9:D9"/>
    <mergeCell ref="B11:O11"/>
    <mergeCell ref="F9:G9"/>
    <mergeCell ref="H9:J9"/>
    <mergeCell ref="K9:M9"/>
    <mergeCell ref="N9:O9"/>
    <mergeCell ref="N8:O8"/>
    <mergeCell ref="C162:O162"/>
    <mergeCell ref="C164:O164"/>
    <mergeCell ref="B68:O68"/>
    <mergeCell ref="C140:O140"/>
    <mergeCell ref="C142:O142"/>
    <mergeCell ref="N98:O98"/>
    <mergeCell ref="N99:O99"/>
    <mergeCell ref="B121:O125"/>
    <mergeCell ref="J99:K99"/>
    <mergeCell ref="L99:M99"/>
    <mergeCell ref="G74:I74"/>
    <mergeCell ref="J74:K74"/>
    <mergeCell ref="L74:M74"/>
    <mergeCell ref="N69:O69"/>
    <mergeCell ref="N73:O73"/>
    <mergeCell ref="N74:O74"/>
    <mergeCell ref="G17:I17"/>
    <mergeCell ref="J17:K17"/>
    <mergeCell ref="L17:M17"/>
    <mergeCell ref="G18:I18"/>
    <mergeCell ref="J18:K18"/>
    <mergeCell ref="L18:M18"/>
    <mergeCell ref="N17:O17"/>
    <mergeCell ref="N18:O18"/>
    <mergeCell ref="N43:O43"/>
    <mergeCell ref="N44:O44"/>
    <mergeCell ref="N39:O39"/>
    <mergeCell ref="J43:K43"/>
    <mergeCell ref="J73:K73"/>
    <mergeCell ref="G43:I43"/>
    <mergeCell ref="J98:K98"/>
    <mergeCell ref="L98:M98"/>
    <mergeCell ref="G73:I73"/>
    <mergeCell ref="L73:M73"/>
    <mergeCell ref="L43:M43"/>
    <mergeCell ref="J64:K64"/>
    <mergeCell ref="L64:M64"/>
    <mergeCell ref="G98:I98"/>
    <mergeCell ref="G44:I44"/>
    <mergeCell ref="J44:K44"/>
    <mergeCell ref="L44:M44"/>
    <mergeCell ref="C172:O172"/>
    <mergeCell ref="C175:O175"/>
    <mergeCell ref="C166:O166"/>
    <mergeCell ref="C167:O167"/>
    <mergeCell ref="C169:O169"/>
    <mergeCell ref="C170:O170"/>
    <mergeCell ref="C156:O156"/>
    <mergeCell ref="G99:I99"/>
    <mergeCell ref="B120:E120"/>
    <mergeCell ref="C133:O133"/>
    <mergeCell ref="C136:O136"/>
    <mergeCell ref="C138:O138"/>
    <mergeCell ref="C145:O145"/>
    <mergeCell ref="C146:O146"/>
    <mergeCell ref="C149:O149"/>
    <mergeCell ref="C151:O151"/>
    <mergeCell ref="C176:M176"/>
    <mergeCell ref="C178:M178"/>
    <mergeCell ref="N64:O64"/>
    <mergeCell ref="J65:K65"/>
    <mergeCell ref="L65:M65"/>
    <mergeCell ref="N65:O65"/>
    <mergeCell ref="C158:O158"/>
    <mergeCell ref="C148:O148"/>
    <mergeCell ref="C134:O134"/>
    <mergeCell ref="N94:O94"/>
    <mergeCell ref="B127:O127"/>
    <mergeCell ref="C129:O129"/>
    <mergeCell ref="C131:O131"/>
    <mergeCell ref="C159:O159"/>
    <mergeCell ref="C153:O153"/>
    <mergeCell ref="C155:O155"/>
  </mergeCells>
  <conditionalFormatting sqref="C37 C10 C8 C63:C67 C93 C118:C119">
    <cfRule type="containsText" dxfId="3" priority="25" operator="containsText" text="Error">
      <formula>NOT(ISERROR(SEARCH("Error",C8)))</formula>
    </cfRule>
  </conditionalFormatting>
  <conditionalFormatting sqref="G18:I18 G44:I44 G74:I74 G99:I99">
    <cfRule type="cellIs" dxfId="2" priority="21" operator="greaterThan">
      <formula>0</formula>
    </cfRule>
  </conditionalFormatting>
  <dataValidations count="7">
    <dataValidation type="date" operator="greaterThan" allowBlank="1" showInputMessage="1" showErrorMessage="1" error="Must be a date later than the Contract Start Date." sqref="P9">
      <formula1>F9</formula1>
    </dataValidation>
    <dataValidation type="date" allowBlank="1" showInputMessage="1" showErrorMessage="1" error="Must be a date between Service Effective Date and the later of Contract End Date or Special Extended Contract End Date." sqref="D18 D44 D74 D99">
      <formula1>C18</formula1>
      <formula2>$R$4</formula2>
    </dataValidation>
    <dataValidation type="date" errorStyle="warning" allowBlank="1" showInputMessage="1" showErrorMessage="1" errorTitle="READ CAREFULLY " error="The (Special Extended) Contract End Date is not normally allowed to result in a contract duration of more than 2.5 years total - due to Upside/Contracting rules. Please check your date carefully to avoid a problem in Upside." sqref="N9:O9">
      <formula1>$H$9</formula1>
      <formula2>$U$3</formula2>
    </dataValidation>
    <dataValidation type="date" operator="lessThan" allowBlank="1" showInputMessage="1" showErrorMessage="1" error="Must be a date earlier than the Contract End Date" sqref="E9">
      <formula1>$H$9</formula1>
    </dataValidation>
    <dataValidation type="list" allowBlank="1" showInputMessage="1" showErrorMessage="1" sqref="E18 E44">
      <formula1>PTSL</formula1>
    </dataValidation>
    <dataValidation type="date" allowBlank="1" showInputMessage="1" showErrorMessage="1" error="Must be a date later than the Contract Start Date and up to 2 years term." sqref="H9:J9">
      <formula1>$E$9</formula1>
      <formula2>$U$2</formula2>
    </dataValidation>
    <dataValidation type="date" allowBlank="1" showInputMessage="1" showErrorMessage="1" error="Must be a date between Contract Start Date and the later of Contract End Date or Special Extended Contract End Date." sqref="C18 C44 C74 C99">
      <formula1>$E$9</formula1>
      <formula2>$R$4</formula2>
    </dataValidation>
  </dataValidations>
  <pageMargins left="0.39370078740157499" right="0.39370078740157499" top="0.39370078740157499" bottom="0.511811023622047" header="0.31496062992126" footer="0.27559055118110198"/>
  <pageSetup paperSize="5" scale="67" fitToHeight="2" orientation="landscape" r:id="rId1"/>
  <headerFooter>
    <oddFooter>&amp;L&amp;9&amp;F  
Tab: FGT&amp;A&amp;C&amp;9Printed: &amp;D &amp;T&amp;R&amp;9Page &amp;P of &amp;N</oddFooter>
  </headerFooter>
  <rowBreaks count="1" manualBreakCount="1">
    <brk id="159" min="1" max="15"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pageSetUpPr fitToPage="1"/>
  </sheetPr>
  <dimension ref="A1:AF55"/>
  <sheetViews>
    <sheetView showGridLines="0" zoomScaleNormal="100" workbookViewId="0">
      <pane ySplit="6" topLeftCell="A7" activePane="bottomLeft" state="frozen"/>
      <selection activeCell="B8" sqref="B8"/>
      <selection pane="bottomLeft" activeCell="A4" sqref="A4:T4"/>
    </sheetView>
  </sheetViews>
  <sheetFormatPr defaultColWidth="9.140625" defaultRowHeight="13.5" x14ac:dyDescent="0.25"/>
  <cols>
    <col min="1" max="1" width="3.7109375" style="142" customWidth="1"/>
    <col min="2" max="2" width="17.42578125" style="143" customWidth="1"/>
    <col min="3" max="3" width="13" style="143" customWidth="1"/>
    <col min="4" max="4" width="9.7109375" style="143" customWidth="1"/>
    <col min="5" max="5" width="14.28515625" style="143" customWidth="1"/>
    <col min="6" max="6" width="11.5703125" style="143" customWidth="1"/>
    <col min="7" max="7" width="14.7109375" style="143" customWidth="1"/>
    <col min="8" max="8" width="8.42578125" style="143" customWidth="1"/>
    <col min="9" max="9" width="12.85546875" style="143" customWidth="1"/>
    <col min="10" max="10" width="9.42578125" style="143" customWidth="1"/>
    <col min="11" max="11" width="8" style="143" customWidth="1"/>
    <col min="12" max="12" width="7.7109375" style="143" customWidth="1"/>
    <col min="13" max="13" width="8.5703125" style="143" customWidth="1"/>
    <col min="14" max="14" width="9.7109375" style="143" customWidth="1"/>
    <col min="15" max="15" width="9" style="143" customWidth="1"/>
    <col min="16" max="16" width="10.140625" style="143" customWidth="1"/>
    <col min="17" max="17" width="9.28515625" style="143" customWidth="1"/>
    <col min="18" max="18" width="10.42578125" style="143" customWidth="1"/>
    <col min="19" max="19" width="11.42578125" style="143" customWidth="1"/>
    <col min="20" max="20" width="8.42578125" style="143" customWidth="1"/>
    <col min="21" max="21" width="10.28515625" style="143" customWidth="1"/>
    <col min="22" max="22" width="4.5703125" style="175" customWidth="1"/>
    <col min="23" max="23" width="9" style="143" customWidth="1"/>
    <col min="24" max="24" width="9.28515625" style="143" bestFit="1" customWidth="1"/>
    <col min="25" max="16384" width="9.140625" style="143"/>
  </cols>
  <sheetData>
    <row r="1" spans="1:32" s="141" customFormat="1" ht="12.75" x14ac:dyDescent="0.2">
      <c r="A1" s="1274" t="str">
        <f>Instructions!C2</f>
        <v>Funding Template Version of 1Apr13</v>
      </c>
      <c r="B1" s="1274"/>
      <c r="C1" s="1274"/>
      <c r="D1" s="1274"/>
      <c r="E1" s="1274"/>
      <c r="F1" s="1274"/>
      <c r="G1" s="1274"/>
      <c r="H1" s="1274"/>
      <c r="I1" s="1274"/>
      <c r="J1" s="1274"/>
      <c r="K1" s="1274"/>
      <c r="L1" s="1274"/>
      <c r="M1" s="1274"/>
      <c r="N1" s="1274"/>
      <c r="O1" s="1274"/>
      <c r="P1" s="1274"/>
      <c r="Q1" s="1274"/>
      <c r="R1" s="1274"/>
      <c r="S1" s="1274"/>
      <c r="T1" s="1274"/>
      <c r="V1" s="286"/>
    </row>
    <row r="2" spans="1:32" s="141" customFormat="1" ht="20.25" x14ac:dyDescent="0.3">
      <c r="A2" s="1275" t="str">
        <f>Instructions!C3</f>
        <v>Funding Template - Union</v>
      </c>
      <c r="B2" s="1275"/>
      <c r="C2" s="1275"/>
      <c r="D2" s="1275"/>
      <c r="E2" s="1275"/>
      <c r="F2" s="1275"/>
      <c r="G2" s="1275"/>
      <c r="H2" s="1275"/>
      <c r="I2" s="1275"/>
      <c r="J2" s="1275"/>
      <c r="K2" s="1275"/>
      <c r="L2" s="1275"/>
      <c r="M2" s="1275"/>
      <c r="N2" s="1275"/>
      <c r="O2" s="1275"/>
      <c r="P2" s="1275"/>
      <c r="Q2" s="1275"/>
      <c r="R2" s="1275"/>
      <c r="S2" s="1275"/>
      <c r="T2" s="1275"/>
      <c r="V2" s="286"/>
    </row>
    <row r="3" spans="1:32" s="141" customFormat="1" ht="18.75" customHeight="1" x14ac:dyDescent="0.25">
      <c r="A3" s="1388" t="s">
        <v>196</v>
      </c>
      <c r="B3" s="1388"/>
      <c r="C3" s="1388"/>
      <c r="D3" s="1388"/>
      <c r="E3" s="1388"/>
      <c r="F3" s="1388"/>
      <c r="G3" s="1388"/>
      <c r="H3" s="1388"/>
      <c r="I3" s="1388"/>
      <c r="J3" s="1388"/>
      <c r="K3" s="1388"/>
      <c r="L3" s="1388"/>
      <c r="M3" s="1388"/>
      <c r="N3" s="1388"/>
      <c r="O3" s="1388"/>
      <c r="P3" s="1388"/>
      <c r="Q3" s="1388"/>
      <c r="R3" s="1388"/>
      <c r="S3" s="1388"/>
      <c r="T3" s="1388"/>
      <c r="U3" s="37"/>
      <c r="V3" s="286"/>
    </row>
    <row r="4" spans="1:32" s="141" customFormat="1" ht="16.5" x14ac:dyDescent="0.25">
      <c r="A4" s="1724" t="s">
        <v>537</v>
      </c>
      <c r="B4" s="1724"/>
      <c r="C4" s="1724"/>
      <c r="D4" s="1724"/>
      <c r="E4" s="1724"/>
      <c r="F4" s="1724"/>
      <c r="G4" s="1724"/>
      <c r="H4" s="1724"/>
      <c r="I4" s="1724"/>
      <c r="J4" s="1724"/>
      <c r="K4" s="1724"/>
      <c r="L4" s="1724"/>
      <c r="M4" s="1724"/>
      <c r="N4" s="1724"/>
      <c r="O4" s="1724"/>
      <c r="P4" s="1724"/>
      <c r="Q4" s="1724"/>
      <c r="R4" s="1724"/>
      <c r="S4" s="1724"/>
      <c r="T4" s="1724"/>
      <c r="U4" s="656"/>
      <c r="V4" s="286"/>
    </row>
    <row r="5" spans="1:32" s="141" customFormat="1" ht="16.5" x14ac:dyDescent="0.25">
      <c r="A5" s="661"/>
      <c r="B5" s="661"/>
      <c r="C5" s="661"/>
      <c r="D5" s="661"/>
      <c r="E5" s="1344" t="str">
        <f>Page1!D7</f>
        <v>Burnaby Assocication for Community Inclusion</v>
      </c>
      <c r="F5" s="1344"/>
      <c r="G5" s="1344"/>
      <c r="H5" s="1344"/>
      <c r="I5" s="661"/>
      <c r="J5" s="661"/>
      <c r="K5" s="661"/>
      <c r="L5" s="1344">
        <f>Page1!D9</f>
        <v>0</v>
      </c>
      <c r="M5" s="1344"/>
      <c r="N5" s="1344"/>
      <c r="O5" s="1344"/>
      <c r="P5" s="661"/>
      <c r="Q5" s="661"/>
      <c r="R5" s="661"/>
      <c r="S5" s="661"/>
      <c r="T5" s="661"/>
      <c r="U5" s="656"/>
      <c r="V5" s="286"/>
    </row>
    <row r="6" spans="1:32" s="242" customFormat="1" ht="29.25" customHeight="1" x14ac:dyDescent="0.25">
      <c r="A6" s="287" t="s">
        <v>288</v>
      </c>
      <c r="B6" s="288"/>
      <c r="C6" s="289"/>
      <c r="D6" s="289"/>
      <c r="E6" s="289"/>
      <c r="F6" s="145"/>
      <c r="G6" s="145"/>
      <c r="H6" s="290"/>
      <c r="J6" s="290"/>
      <c r="K6" s="290"/>
      <c r="L6" s="290"/>
      <c r="M6" s="290"/>
      <c r="N6" s="290"/>
      <c r="O6" s="290"/>
      <c r="P6" s="290"/>
      <c r="Q6" s="290"/>
      <c r="R6" s="143"/>
      <c r="S6" s="143"/>
      <c r="T6" s="143"/>
      <c r="U6" s="143"/>
      <c r="V6" s="175"/>
      <c r="W6" s="143"/>
      <c r="X6" s="143"/>
      <c r="Y6" s="143"/>
    </row>
    <row r="7" spans="1:32" s="294" customFormat="1" ht="12.75" customHeight="1" x14ac:dyDescent="0.25">
      <c r="A7" s="1724" t="s">
        <v>317</v>
      </c>
      <c r="B7" s="1724"/>
      <c r="C7" s="1724"/>
      <c r="D7" s="1724"/>
      <c r="E7" s="1724"/>
      <c r="F7" s="1724"/>
      <c r="G7" s="1724"/>
      <c r="H7" s="1724"/>
      <c r="I7" s="1724"/>
      <c r="J7" s="1724"/>
      <c r="K7" s="1724"/>
      <c r="L7" s="1724"/>
      <c r="M7" s="1724"/>
      <c r="N7" s="1724"/>
      <c r="O7" s="1724"/>
      <c r="P7" s="1724"/>
      <c r="Q7" s="1724"/>
      <c r="R7" s="1724"/>
      <c r="S7" s="1724"/>
      <c r="T7" s="1724"/>
      <c r="U7" s="292"/>
      <c r="V7" s="293"/>
    </row>
    <row r="8" spans="1:32" s="242" customFormat="1" ht="15" x14ac:dyDescent="0.25">
      <c r="A8" s="295" t="s">
        <v>192</v>
      </c>
      <c r="B8" s="296"/>
      <c r="C8" s="296"/>
      <c r="D8" s="296"/>
      <c r="E8" s="296"/>
      <c r="F8" s="296"/>
      <c r="G8" s="296"/>
      <c r="H8" s="296"/>
      <c r="I8" s="296"/>
      <c r="J8" s="296"/>
      <c r="K8" s="296"/>
      <c r="L8" s="296"/>
      <c r="M8" s="296"/>
      <c r="N8" s="296"/>
      <c r="O8" s="296"/>
      <c r="P8" s="296"/>
      <c r="Q8" s="296"/>
      <c r="R8" s="6"/>
      <c r="S8" s="6"/>
      <c r="T8" s="6"/>
      <c r="U8" s="6"/>
      <c r="V8" s="175"/>
    </row>
    <row r="9" spans="1:32" s="242" customFormat="1" ht="15" x14ac:dyDescent="0.25">
      <c r="A9" s="295"/>
      <c r="B9" s="296" t="s">
        <v>173</v>
      </c>
      <c r="C9" s="296"/>
      <c r="D9" s="296"/>
      <c r="E9" s="296"/>
      <c r="F9" s="296"/>
      <c r="G9" s="296"/>
      <c r="H9" s="296"/>
      <c r="I9" s="296"/>
      <c r="J9" s="296"/>
      <c r="K9" s="296"/>
      <c r="L9" s="296"/>
      <c r="M9" s="296"/>
      <c r="N9" s="296"/>
      <c r="O9" s="296"/>
      <c r="P9" s="296"/>
      <c r="Q9" s="296"/>
      <c r="R9" s="6"/>
      <c r="S9" s="6"/>
      <c r="T9" s="6"/>
      <c r="U9" s="6"/>
      <c r="V9" s="175"/>
    </row>
    <row r="10" spans="1:32" s="242" customFormat="1" ht="15" x14ac:dyDescent="0.25">
      <c r="A10" s="295"/>
      <c r="B10" s="296"/>
      <c r="C10" s="296"/>
      <c r="D10" s="296"/>
      <c r="E10" s="296"/>
      <c r="F10" s="296"/>
      <c r="G10" s="296"/>
      <c r="H10" s="296"/>
      <c r="I10" s="296"/>
      <c r="J10" s="296"/>
      <c r="K10" s="296"/>
      <c r="L10" s="296"/>
      <c r="M10" s="296"/>
      <c r="N10" s="296"/>
      <c r="O10" s="296"/>
      <c r="P10" s="296"/>
      <c r="Q10" s="296"/>
      <c r="R10" s="6"/>
      <c r="S10" s="6"/>
      <c r="T10" s="6"/>
      <c r="U10" s="6"/>
      <c r="V10" s="175"/>
    </row>
    <row r="11" spans="1:32" s="242" customFormat="1" ht="15" x14ac:dyDescent="0.25">
      <c r="A11" s="297"/>
      <c r="B11" s="296" t="s">
        <v>172</v>
      </c>
      <c r="C11" s="296"/>
      <c r="D11" s="296"/>
      <c r="E11" s="296"/>
      <c r="F11" s="296"/>
      <c r="G11" s="296"/>
      <c r="H11" s="296"/>
      <c r="I11" s="296"/>
      <c r="J11" s="296"/>
      <c r="K11" s="296"/>
      <c r="L11" s="296"/>
      <c r="M11" s="296"/>
      <c r="N11" s="296"/>
      <c r="O11" s="296"/>
      <c r="P11" s="296"/>
      <c r="Q11" s="296"/>
      <c r="R11" s="254"/>
      <c r="S11" s="254"/>
      <c r="T11" s="254"/>
      <c r="U11" s="254"/>
      <c r="V11" s="298"/>
    </row>
    <row r="12" spans="1:32" s="242" customFormat="1" ht="15" x14ac:dyDescent="0.25">
      <c r="A12" s="297"/>
      <c r="B12" s="296" t="s">
        <v>158</v>
      </c>
      <c r="C12" s="296"/>
      <c r="D12" s="296"/>
      <c r="E12" s="296"/>
      <c r="F12" s="296"/>
      <c r="G12" s="296"/>
      <c r="H12" s="296"/>
      <c r="I12" s="296"/>
      <c r="J12" s="296"/>
      <c r="K12" s="296"/>
      <c r="L12" s="296"/>
      <c r="M12" s="296"/>
      <c r="N12" s="296"/>
      <c r="O12" s="296"/>
      <c r="P12" s="296"/>
      <c r="Q12" s="296"/>
      <c r="R12" s="145"/>
      <c r="S12" s="254"/>
      <c r="T12" s="254"/>
      <c r="U12" s="254"/>
      <c r="V12" s="298"/>
    </row>
    <row r="13" spans="1:32" s="294" customFormat="1" ht="15.75" x14ac:dyDescent="0.25">
      <c r="A13" s="291"/>
      <c r="B13" s="299"/>
      <c r="C13" s="292"/>
      <c r="D13" s="292"/>
      <c r="E13" s="292"/>
      <c r="F13" s="292"/>
      <c r="G13" s="292"/>
      <c r="H13" s="292"/>
      <c r="I13" s="292"/>
      <c r="J13" s="292"/>
      <c r="K13" s="292"/>
      <c r="L13" s="292"/>
      <c r="M13" s="292"/>
      <c r="N13" s="292"/>
      <c r="O13" s="292"/>
      <c r="P13" s="292"/>
      <c r="Q13" s="292"/>
      <c r="R13" s="292"/>
      <c r="S13" s="292"/>
      <c r="T13" s="292"/>
      <c r="U13" s="292"/>
      <c r="V13" s="185"/>
      <c r="W13" s="145"/>
      <c r="X13" s="145"/>
      <c r="Y13" s="145"/>
      <c r="Z13" s="145"/>
      <c r="AA13" s="145"/>
      <c r="AB13" s="145"/>
      <c r="AC13" s="145"/>
      <c r="AD13" s="145"/>
      <c r="AE13" s="145"/>
      <c r="AF13" s="145"/>
    </row>
    <row r="14" spans="1:32" ht="15.75" x14ac:dyDescent="0.25">
      <c r="A14" s="300" t="s">
        <v>155</v>
      </c>
      <c r="B14" s="301"/>
      <c r="C14" s="301"/>
      <c r="D14" s="302"/>
      <c r="E14" s="303"/>
      <c r="F14" s="303"/>
      <c r="G14" s="304"/>
      <c r="H14" s="305"/>
      <c r="I14" s="305"/>
      <c r="J14" s="305"/>
      <c r="K14" s="305"/>
      <c r="L14" s="305"/>
      <c r="M14" s="305"/>
      <c r="N14" s="305"/>
      <c r="O14" s="305"/>
      <c r="P14" s="305"/>
      <c r="Q14" s="305"/>
      <c r="R14" s="305"/>
      <c r="S14" s="305"/>
      <c r="T14" s="305"/>
      <c r="U14" s="305"/>
      <c r="V14" s="291"/>
      <c r="W14" s="292"/>
      <c r="X14" s="292"/>
      <c r="Y14" s="292"/>
      <c r="Z14" s="292"/>
      <c r="AA14" s="292"/>
      <c r="AB14" s="292"/>
      <c r="AC14" s="292"/>
      <c r="AD14" s="292"/>
      <c r="AE14" s="292"/>
      <c r="AF14" s="292"/>
    </row>
    <row r="15" spans="1:32" s="182" customFormat="1" ht="14.25" customHeight="1" x14ac:dyDescent="0.3">
      <c r="A15" s="306"/>
      <c r="B15" s="307"/>
      <c r="C15" s="307"/>
      <c r="D15" s="308"/>
      <c r="E15" s="309" t="s">
        <v>156</v>
      </c>
      <c r="F15" s="310" t="s">
        <v>193</v>
      </c>
      <c r="G15" s="311" t="s">
        <v>157</v>
      </c>
      <c r="H15" s="3"/>
      <c r="I15" s="3"/>
      <c r="J15" s="3"/>
      <c r="K15" s="3"/>
      <c r="L15" s="3"/>
      <c r="M15" s="3"/>
      <c r="N15" s="3"/>
      <c r="O15" s="3"/>
      <c r="P15" s="3"/>
      <c r="Q15" s="3"/>
      <c r="R15" s="3"/>
      <c r="S15" s="3"/>
      <c r="T15" s="3"/>
      <c r="U15" s="3"/>
      <c r="V15" s="167"/>
      <c r="W15" s="312"/>
      <c r="X15" s="312"/>
      <c r="Y15" s="312"/>
      <c r="Z15" s="312"/>
      <c r="AA15" s="312"/>
      <c r="AB15" s="312"/>
      <c r="AC15" s="312"/>
      <c r="AD15" s="312"/>
      <c r="AE15" s="312"/>
      <c r="AF15" s="168"/>
    </row>
    <row r="16" spans="1:32" s="320" customFormat="1" ht="14.25" x14ac:dyDescent="0.3">
      <c r="A16" s="313">
        <v>1</v>
      </c>
      <c r="B16" s="314" t="s">
        <v>779</v>
      </c>
      <c r="C16" s="315"/>
      <c r="D16" s="316"/>
      <c r="E16" s="317">
        <f>Page1!D45*Page1!D47</f>
        <v>6.201624E-2</v>
      </c>
      <c r="F16" s="317">
        <f>IF(Page1!$J$13="Non-Residential",'LOCK_ME - Page9 - RATES'!$F$117,'LOCK_ME - Page9 - RATES'!$H$117)</f>
        <v>7.5600000000000001E-2</v>
      </c>
      <c r="G16" s="318">
        <f>F16-E16</f>
        <v>1.358376E-2</v>
      </c>
      <c r="H16" s="319"/>
      <c r="I16" s="3"/>
      <c r="J16" s="3"/>
      <c r="K16" s="3"/>
      <c r="L16" s="3"/>
      <c r="M16" s="3"/>
      <c r="N16" s="3"/>
      <c r="O16" s="3"/>
      <c r="P16" s="3"/>
      <c r="Q16" s="3"/>
      <c r="R16" s="3"/>
      <c r="S16" s="3"/>
      <c r="T16" s="3"/>
      <c r="U16" s="3"/>
      <c r="V16" s="167"/>
      <c r="W16" s="168"/>
      <c r="X16" s="168"/>
      <c r="Y16" s="168"/>
      <c r="Z16" s="168"/>
      <c r="AA16" s="168"/>
      <c r="AB16" s="168"/>
      <c r="AC16" s="168"/>
      <c r="AD16" s="168"/>
      <c r="AE16" s="168"/>
      <c r="AF16" s="168"/>
    </row>
    <row r="17" spans="1:32" s="182" customFormat="1" ht="14.25" x14ac:dyDescent="0.3">
      <c r="A17" s="313">
        <f>A16+1</f>
        <v>2</v>
      </c>
      <c r="B17" s="321" t="s">
        <v>135</v>
      </c>
      <c r="C17" s="322"/>
      <c r="D17" s="323"/>
      <c r="E17" s="324">
        <f>Page1!D49</f>
        <v>2.7649999999999997E-2</v>
      </c>
      <c r="F17" s="324">
        <f>IF(Page1!$J$13="Non-Residential",'LOCK_ME - Page9 - RATES'!$F$116,'LOCK_ME - Page9 - RATES'!$H$116)</f>
        <v>4.4999999999999998E-2</v>
      </c>
      <c r="G17" s="325">
        <f>F17-E17</f>
        <v>1.7350000000000001E-2</v>
      </c>
      <c r="H17" s="319"/>
      <c r="I17" s="326"/>
      <c r="J17" s="327"/>
      <c r="K17" s="327"/>
      <c r="L17" s="326"/>
      <c r="M17" s="327"/>
      <c r="N17" s="327"/>
      <c r="O17" s="326"/>
      <c r="P17" s="326"/>
      <c r="Q17" s="327"/>
      <c r="R17" s="327"/>
      <c r="S17" s="326"/>
      <c r="T17" s="327"/>
      <c r="U17" s="327"/>
      <c r="V17" s="194"/>
      <c r="W17" s="267"/>
      <c r="X17" s="267"/>
      <c r="Y17" s="267"/>
      <c r="Z17" s="267"/>
      <c r="AA17" s="267"/>
      <c r="AB17" s="267"/>
      <c r="AC17" s="267"/>
      <c r="AD17" s="267"/>
      <c r="AE17" s="267"/>
      <c r="AF17" s="267"/>
    </row>
    <row r="18" spans="1:32" s="320" customFormat="1" ht="14.25" x14ac:dyDescent="0.3">
      <c r="A18" s="328"/>
      <c r="B18" s="241"/>
      <c r="C18" s="241"/>
      <c r="D18" s="241"/>
      <c r="E18" s="241"/>
      <c r="F18" s="3"/>
      <c r="G18" s="3"/>
      <c r="H18" s="3"/>
      <c r="I18" s="3"/>
      <c r="J18" s="3"/>
      <c r="K18" s="3"/>
      <c r="L18" s="3"/>
      <c r="M18" s="3"/>
      <c r="N18" s="3"/>
      <c r="O18" s="3"/>
      <c r="P18" s="3"/>
      <c r="Q18" s="3"/>
      <c r="R18" s="3"/>
      <c r="S18" s="3"/>
      <c r="T18" s="3"/>
      <c r="U18" s="3"/>
      <c r="V18" s="167"/>
      <c r="W18" s="168"/>
      <c r="X18" s="168"/>
      <c r="Y18" s="168"/>
      <c r="Z18" s="168"/>
      <c r="AA18" s="168"/>
      <c r="AB18" s="168"/>
      <c r="AC18" s="168"/>
      <c r="AD18" s="168"/>
      <c r="AE18" s="168"/>
      <c r="AF18" s="168"/>
    </row>
    <row r="19" spans="1:32" s="182" customFormat="1" ht="14.25" x14ac:dyDescent="0.3">
      <c r="A19" s="328"/>
      <c r="B19" s="241"/>
      <c r="C19" s="241"/>
      <c r="D19" s="241"/>
      <c r="E19" s="241"/>
      <c r="F19" s="329"/>
      <c r="G19" s="327"/>
      <c r="H19" s="327"/>
      <c r="I19" s="326"/>
      <c r="J19" s="327"/>
      <c r="K19" s="327"/>
      <c r="L19" s="326"/>
      <c r="M19" s="327"/>
      <c r="N19" s="327"/>
      <c r="O19" s="326"/>
      <c r="P19" s="326"/>
      <c r="Q19" s="327"/>
      <c r="R19" s="327"/>
      <c r="S19" s="326"/>
      <c r="T19" s="327"/>
      <c r="U19" s="327"/>
      <c r="V19" s="194"/>
      <c r="W19" s="267"/>
      <c r="X19" s="267"/>
      <c r="Y19" s="267"/>
      <c r="Z19" s="267"/>
      <c r="AA19" s="267"/>
      <c r="AB19" s="267"/>
      <c r="AC19" s="267"/>
      <c r="AD19" s="267"/>
      <c r="AE19" s="267"/>
      <c r="AF19" s="267"/>
    </row>
    <row r="20" spans="1:32" s="182" customFormat="1" ht="13.5" customHeight="1" x14ac:dyDescent="0.3">
      <c r="A20" s="82" t="s">
        <v>179</v>
      </c>
      <c r="B20" s="330"/>
      <c r="C20" s="330"/>
      <c r="D20" s="330"/>
      <c r="E20" s="331"/>
      <c r="F20" s="332" t="s">
        <v>0</v>
      </c>
      <c r="G20" s="333" t="s">
        <v>1</v>
      </c>
      <c r="H20" s="334"/>
      <c r="I20" s="1723" t="s">
        <v>258</v>
      </c>
      <c r="J20" s="1723"/>
      <c r="K20" s="1723"/>
      <c r="L20" s="1723"/>
      <c r="M20" s="1723"/>
      <c r="N20" s="1723"/>
      <c r="O20" s="1723"/>
      <c r="P20" s="1723"/>
      <c r="Q20" s="334"/>
      <c r="R20" s="334"/>
      <c r="S20" s="326"/>
      <c r="T20" s="334"/>
      <c r="U20" s="334"/>
      <c r="V20" s="194"/>
      <c r="W20" s="267"/>
      <c r="X20" s="267"/>
      <c r="Y20" s="267"/>
      <c r="Z20" s="267"/>
      <c r="AA20" s="267"/>
      <c r="AB20" s="267"/>
      <c r="AC20" s="267"/>
      <c r="AD20" s="267"/>
      <c r="AE20" s="267"/>
      <c r="AF20" s="267"/>
    </row>
    <row r="21" spans="1:32" s="182" customFormat="1" ht="13.5" customHeight="1" x14ac:dyDescent="0.3">
      <c r="A21" s="335"/>
      <c r="B21" s="336"/>
      <c r="C21" s="336"/>
      <c r="D21" s="336"/>
      <c r="E21" s="337"/>
      <c r="F21" s="338" t="s">
        <v>8</v>
      </c>
      <c r="G21" s="311" t="s">
        <v>8</v>
      </c>
      <c r="H21" s="334"/>
      <c r="I21" s="1723"/>
      <c r="J21" s="1723"/>
      <c r="K21" s="1723"/>
      <c r="L21" s="1723"/>
      <c r="M21" s="1723"/>
      <c r="N21" s="1723"/>
      <c r="O21" s="1723"/>
      <c r="P21" s="1723"/>
      <c r="Q21" s="334"/>
      <c r="R21" s="334"/>
      <c r="S21" s="326"/>
      <c r="T21" s="334"/>
      <c r="U21" s="334"/>
      <c r="V21" s="194"/>
      <c r="W21" s="267"/>
      <c r="X21" s="267"/>
      <c r="Y21" s="267"/>
      <c r="Z21" s="267"/>
      <c r="AA21" s="267"/>
      <c r="AB21" s="267"/>
      <c r="AC21" s="267"/>
      <c r="AD21" s="267"/>
      <c r="AE21" s="267"/>
      <c r="AF21" s="267"/>
    </row>
    <row r="22" spans="1:32" s="182" customFormat="1" ht="14.25" x14ac:dyDescent="0.3">
      <c r="A22" s="339">
        <f>A17+1</f>
        <v>3</v>
      </c>
      <c r="B22" s="340" t="s">
        <v>57</v>
      </c>
      <c r="C22" s="341"/>
      <c r="D22" s="341"/>
      <c r="E22" s="341"/>
      <c r="F22" s="342">
        <f>Page3!N28-Page3!E28</f>
        <v>42.5</v>
      </c>
      <c r="G22" s="343">
        <f>Page3!O28-Page3!F28</f>
        <v>510</v>
      </c>
      <c r="H22" s="334"/>
      <c r="I22" s="1723"/>
      <c r="J22" s="1723"/>
      <c r="K22" s="1723"/>
      <c r="L22" s="1723"/>
      <c r="M22" s="1723"/>
      <c r="N22" s="1723"/>
      <c r="O22" s="1723"/>
      <c r="P22" s="1723"/>
      <c r="Q22" s="334"/>
      <c r="R22" s="334"/>
      <c r="S22" s="326"/>
      <c r="T22" s="334"/>
      <c r="U22" s="334"/>
      <c r="V22" s="194"/>
      <c r="W22" s="267"/>
      <c r="X22" s="267"/>
      <c r="Y22" s="267"/>
      <c r="Z22" s="267"/>
      <c r="AA22" s="267"/>
      <c r="AB22" s="267"/>
      <c r="AC22" s="267"/>
      <c r="AD22" s="267"/>
      <c r="AE22" s="267"/>
      <c r="AF22" s="267"/>
    </row>
    <row r="23" spans="1:32" s="182" customFormat="1" ht="14.25" x14ac:dyDescent="0.3">
      <c r="A23" s="339">
        <f>A22+1</f>
        <v>4</v>
      </c>
      <c r="B23" s="340" t="s">
        <v>367</v>
      </c>
      <c r="C23" s="341"/>
      <c r="D23" s="341"/>
      <c r="E23" s="341"/>
      <c r="F23" s="342">
        <f>Page3!N29-Page3!E29</f>
        <v>4.25</v>
      </c>
      <c r="G23" s="343">
        <f>Page3!O29-Page3!F29</f>
        <v>51</v>
      </c>
      <c r="H23" s="334"/>
      <c r="I23" s="1723"/>
      <c r="J23" s="1723"/>
      <c r="K23" s="1723"/>
      <c r="L23" s="1723"/>
      <c r="M23" s="1723"/>
      <c r="N23" s="1723"/>
      <c r="O23" s="1723"/>
      <c r="P23" s="1723"/>
      <c r="Q23" s="334"/>
      <c r="R23" s="334"/>
      <c r="S23" s="326"/>
      <c r="T23" s="334"/>
      <c r="U23" s="334"/>
      <c r="V23" s="194"/>
      <c r="W23" s="267"/>
      <c r="X23" s="267"/>
      <c r="Y23" s="267"/>
      <c r="Z23" s="267"/>
      <c r="AA23" s="267"/>
      <c r="AB23" s="267"/>
      <c r="AC23" s="267"/>
      <c r="AD23" s="267"/>
      <c r="AE23" s="267"/>
      <c r="AF23" s="267"/>
    </row>
    <row r="24" spans="1:32" s="182" customFormat="1" ht="14.25" x14ac:dyDescent="0.3">
      <c r="A24" s="339">
        <f t="shared" ref="A24:A39" si="0">A23+1</f>
        <v>5</v>
      </c>
      <c r="B24" s="340" t="s">
        <v>58</v>
      </c>
      <c r="C24" s="341"/>
      <c r="D24" s="341"/>
      <c r="E24" s="341"/>
      <c r="F24" s="342">
        <f>Page3!N30-Page3!E30</f>
        <v>0</v>
      </c>
      <c r="G24" s="343">
        <f>Page3!O30-Page3!F30</f>
        <v>0</v>
      </c>
      <c r="H24" s="334"/>
      <c r="I24" s="1723"/>
      <c r="J24" s="1723"/>
      <c r="K24" s="1723"/>
      <c r="L24" s="1723"/>
      <c r="M24" s="1723"/>
      <c r="N24" s="1723"/>
      <c r="O24" s="1723"/>
      <c r="P24" s="1723"/>
      <c r="Q24" s="334"/>
      <c r="R24" s="334"/>
      <c r="S24" s="326"/>
      <c r="T24" s="334"/>
      <c r="U24" s="334"/>
      <c r="V24" s="194"/>
      <c r="W24" s="267"/>
      <c r="X24" s="267"/>
      <c r="Y24" s="267"/>
      <c r="Z24" s="267"/>
      <c r="AA24" s="267"/>
      <c r="AB24" s="267"/>
      <c r="AC24" s="267"/>
      <c r="AD24" s="267"/>
      <c r="AE24" s="267"/>
      <c r="AF24" s="267"/>
    </row>
    <row r="25" spans="1:32" s="182" customFormat="1" ht="14.25" x14ac:dyDescent="0.3">
      <c r="A25" s="339">
        <f t="shared" si="0"/>
        <v>6</v>
      </c>
      <c r="B25" s="340" t="s">
        <v>59</v>
      </c>
      <c r="C25" s="341"/>
      <c r="D25" s="341"/>
      <c r="E25" s="341"/>
      <c r="F25" s="342">
        <f>Page3!N31-Page3!E31</f>
        <v>34</v>
      </c>
      <c r="G25" s="343">
        <f>Page3!O31-Page3!F31</f>
        <v>408</v>
      </c>
      <c r="H25" s="334"/>
      <c r="I25" s="326"/>
      <c r="J25" s="334"/>
      <c r="K25" s="334"/>
      <c r="L25" s="326"/>
      <c r="M25" s="334"/>
      <c r="N25" s="334"/>
      <c r="O25" s="326"/>
      <c r="P25" s="326"/>
      <c r="Q25" s="334"/>
      <c r="R25" s="334"/>
      <c r="S25" s="326"/>
      <c r="T25" s="334"/>
      <c r="U25" s="334"/>
      <c r="V25" s="194"/>
      <c r="W25" s="267"/>
      <c r="X25" s="267"/>
      <c r="Y25" s="267"/>
      <c r="Z25" s="267"/>
      <c r="AA25" s="267"/>
      <c r="AB25" s="267"/>
      <c r="AC25" s="267"/>
      <c r="AD25" s="267"/>
      <c r="AE25" s="267"/>
      <c r="AF25" s="267"/>
    </row>
    <row r="26" spans="1:32" s="182" customFormat="1" ht="14.25" x14ac:dyDescent="0.3">
      <c r="A26" s="339">
        <f t="shared" si="0"/>
        <v>7</v>
      </c>
      <c r="B26" s="340" t="s">
        <v>60</v>
      </c>
      <c r="C26" s="341"/>
      <c r="D26" s="341"/>
      <c r="E26" s="341"/>
      <c r="F26" s="342">
        <f>Page3!N32-Page3!E32</f>
        <v>0</v>
      </c>
      <c r="G26" s="343">
        <f>Page3!O32-Page3!F32</f>
        <v>0</v>
      </c>
      <c r="H26" s="334"/>
      <c r="I26" s="326"/>
      <c r="J26" s="334"/>
      <c r="K26" s="334"/>
      <c r="L26" s="326"/>
      <c r="M26" s="334"/>
      <c r="N26" s="334"/>
      <c r="O26" s="326"/>
      <c r="P26" s="326"/>
      <c r="Q26" s="334"/>
      <c r="R26" s="334"/>
      <c r="S26" s="326"/>
      <c r="T26" s="334"/>
      <c r="U26" s="334"/>
      <c r="V26" s="194"/>
      <c r="W26" s="267"/>
      <c r="X26" s="267"/>
      <c r="Y26" s="267"/>
      <c r="Z26" s="267"/>
      <c r="AA26" s="267"/>
      <c r="AB26" s="267"/>
      <c r="AC26" s="267"/>
      <c r="AD26" s="267"/>
      <c r="AE26" s="267"/>
      <c r="AF26" s="267"/>
    </row>
    <row r="27" spans="1:32" s="182" customFormat="1" ht="14.25" x14ac:dyDescent="0.3">
      <c r="A27" s="339">
        <f t="shared" si="0"/>
        <v>8</v>
      </c>
      <c r="B27" s="340" t="s">
        <v>61</v>
      </c>
      <c r="C27" s="341"/>
      <c r="D27" s="341"/>
      <c r="E27" s="341"/>
      <c r="F27" s="342">
        <f>Page3!N33-Page3!E33</f>
        <v>0</v>
      </c>
      <c r="G27" s="343">
        <f>Page3!O33-Page3!F33</f>
        <v>0</v>
      </c>
      <c r="H27" s="334"/>
      <c r="I27" s="326"/>
      <c r="J27" s="334"/>
      <c r="K27" s="334"/>
      <c r="L27" s="326"/>
      <c r="M27" s="334"/>
      <c r="N27" s="334"/>
      <c r="O27" s="326"/>
      <c r="P27" s="326"/>
      <c r="Q27" s="334"/>
      <c r="R27" s="334"/>
      <c r="S27" s="326"/>
      <c r="T27" s="334"/>
      <c r="U27" s="334"/>
      <c r="V27" s="194"/>
      <c r="W27" s="267"/>
      <c r="X27" s="267"/>
      <c r="Y27" s="267"/>
      <c r="Z27" s="267"/>
      <c r="AA27" s="267"/>
      <c r="AB27" s="267"/>
      <c r="AC27" s="267"/>
      <c r="AD27" s="267"/>
      <c r="AE27" s="267"/>
      <c r="AF27" s="267"/>
    </row>
    <row r="28" spans="1:32" s="182" customFormat="1" ht="14.25" x14ac:dyDescent="0.3">
      <c r="A28" s="339">
        <f t="shared" si="0"/>
        <v>9</v>
      </c>
      <c r="B28" s="340" t="s">
        <v>62</v>
      </c>
      <c r="C28" s="341"/>
      <c r="D28" s="341"/>
      <c r="E28" s="341"/>
      <c r="F28" s="342">
        <f>Page3!N34-Page3!E34</f>
        <v>38.25</v>
      </c>
      <c r="G28" s="343">
        <f>Page3!O34-Page3!F34</f>
        <v>459</v>
      </c>
      <c r="H28" s="334"/>
      <c r="I28" s="326"/>
      <c r="J28" s="334"/>
      <c r="K28" s="334"/>
      <c r="L28" s="326"/>
      <c r="M28" s="334"/>
      <c r="N28" s="334"/>
      <c r="O28" s="326"/>
      <c r="P28" s="326"/>
      <c r="Q28" s="334"/>
      <c r="R28" s="334"/>
      <c r="S28" s="326"/>
      <c r="T28" s="334"/>
      <c r="U28" s="334"/>
      <c r="V28" s="194"/>
      <c r="W28" s="267"/>
      <c r="X28" s="267"/>
      <c r="Y28" s="267"/>
      <c r="Z28" s="267"/>
      <c r="AA28" s="267"/>
      <c r="AB28" s="267"/>
      <c r="AC28" s="267"/>
      <c r="AD28" s="267"/>
      <c r="AE28" s="267"/>
      <c r="AF28" s="267"/>
    </row>
    <row r="29" spans="1:32" s="182" customFormat="1" ht="14.25" x14ac:dyDescent="0.3">
      <c r="A29" s="339">
        <f t="shared" si="0"/>
        <v>10</v>
      </c>
      <c r="B29" s="1415" t="s">
        <v>63</v>
      </c>
      <c r="C29" s="1423"/>
      <c r="D29" s="1423"/>
      <c r="E29" s="1416"/>
      <c r="F29" s="342">
        <f>Page3!N35-Page3!E35</f>
        <v>623.953125</v>
      </c>
      <c r="G29" s="343">
        <f>Page3!O35-Page3!F35</f>
        <v>7487.4375</v>
      </c>
      <c r="H29" s="334"/>
      <c r="I29" s="326"/>
      <c r="J29" s="334"/>
      <c r="K29" s="334"/>
      <c r="L29" s="326"/>
      <c r="M29" s="334"/>
      <c r="N29" s="334"/>
      <c r="O29" s="326"/>
      <c r="P29" s="326"/>
      <c r="Q29" s="334"/>
      <c r="R29" s="334"/>
      <c r="S29" s="326"/>
      <c r="T29" s="334"/>
      <c r="U29" s="334"/>
      <c r="V29" s="194"/>
      <c r="W29" s="267"/>
      <c r="X29" s="267"/>
      <c r="Y29" s="267"/>
      <c r="Z29" s="267"/>
      <c r="AA29" s="267"/>
      <c r="AB29" s="267"/>
      <c r="AC29" s="267"/>
      <c r="AD29" s="267"/>
      <c r="AE29" s="267"/>
      <c r="AF29" s="267"/>
    </row>
    <row r="30" spans="1:32" s="182" customFormat="1" ht="14.25" x14ac:dyDescent="0.3">
      <c r="A30" s="339">
        <f t="shared" si="0"/>
        <v>11</v>
      </c>
      <c r="B30" s="340" t="s">
        <v>64</v>
      </c>
      <c r="C30" s="341"/>
      <c r="D30" s="341"/>
      <c r="E30" s="341"/>
      <c r="F30" s="342">
        <f>Page3!N36-Page3!E36</f>
        <v>297.5</v>
      </c>
      <c r="G30" s="343">
        <f>Page3!O36-Page3!F36</f>
        <v>3570</v>
      </c>
      <c r="H30" s="334"/>
      <c r="I30" s="326"/>
      <c r="J30" s="334"/>
      <c r="K30" s="334"/>
      <c r="L30" s="326"/>
      <c r="M30" s="334"/>
      <c r="N30" s="334"/>
      <c r="O30" s="326"/>
      <c r="P30" s="326"/>
      <c r="Q30" s="334"/>
      <c r="R30" s="334"/>
      <c r="S30" s="326"/>
      <c r="T30" s="334"/>
      <c r="U30" s="334"/>
      <c r="V30" s="194"/>
      <c r="W30" s="267"/>
      <c r="X30" s="267"/>
      <c r="Y30" s="267"/>
      <c r="Z30" s="267"/>
      <c r="AA30" s="267"/>
      <c r="AB30" s="267"/>
      <c r="AC30" s="267"/>
      <c r="AD30" s="267"/>
      <c r="AE30" s="267"/>
      <c r="AF30" s="267"/>
    </row>
    <row r="31" spans="1:32" s="182" customFormat="1" ht="14.25" x14ac:dyDescent="0.3">
      <c r="A31" s="339">
        <f t="shared" si="0"/>
        <v>12</v>
      </c>
      <c r="B31" s="340" t="s">
        <v>65</v>
      </c>
      <c r="C31" s="341"/>
      <c r="D31" s="341"/>
      <c r="E31" s="341"/>
      <c r="F31" s="342">
        <f>Page3!N37-Page3!E37</f>
        <v>127.5</v>
      </c>
      <c r="G31" s="343">
        <f>Page3!O37-Page3!F37</f>
        <v>1530</v>
      </c>
      <c r="H31" s="334"/>
      <c r="I31" s="326"/>
      <c r="J31" s="334"/>
      <c r="K31" s="334"/>
      <c r="L31" s="326"/>
      <c r="M31" s="334"/>
      <c r="N31" s="334"/>
      <c r="O31" s="326"/>
      <c r="P31" s="326"/>
      <c r="Q31" s="334"/>
      <c r="R31" s="334"/>
      <c r="S31" s="326"/>
      <c r="T31" s="334"/>
      <c r="U31" s="334"/>
      <c r="V31" s="194"/>
      <c r="W31" s="267"/>
      <c r="X31" s="267"/>
      <c r="Y31" s="267"/>
      <c r="Z31" s="267"/>
      <c r="AA31" s="267"/>
      <c r="AB31" s="267"/>
      <c r="AC31" s="267"/>
      <c r="AD31" s="267"/>
      <c r="AE31" s="267"/>
      <c r="AF31" s="267"/>
    </row>
    <row r="32" spans="1:32" s="182" customFormat="1" ht="14.25" x14ac:dyDescent="0.3">
      <c r="A32" s="339">
        <f t="shared" si="0"/>
        <v>13</v>
      </c>
      <c r="B32" s="340" t="s">
        <v>66</v>
      </c>
      <c r="C32" s="341"/>
      <c r="D32" s="341"/>
      <c r="E32" s="341"/>
      <c r="F32" s="342">
        <f>Page3!N38-Page3!E38</f>
        <v>141.66666666666666</v>
      </c>
      <c r="G32" s="343">
        <f>Page3!O38-Page3!F38</f>
        <v>1700</v>
      </c>
      <c r="H32" s="334"/>
      <c r="I32" s="326"/>
      <c r="J32" s="334"/>
      <c r="K32" s="334"/>
      <c r="L32" s="326"/>
      <c r="M32" s="334"/>
      <c r="N32" s="334"/>
      <c r="O32" s="326"/>
      <c r="P32" s="326"/>
      <c r="Q32" s="334"/>
      <c r="R32" s="334"/>
      <c r="S32" s="326"/>
      <c r="T32" s="334"/>
      <c r="U32" s="334"/>
      <c r="V32" s="194"/>
      <c r="W32" s="267"/>
      <c r="X32" s="267"/>
      <c r="Y32" s="267"/>
      <c r="Z32" s="267"/>
      <c r="AA32" s="267"/>
      <c r="AB32" s="267"/>
      <c r="AC32" s="267"/>
      <c r="AD32" s="267"/>
      <c r="AE32" s="267"/>
      <c r="AF32" s="267"/>
    </row>
    <row r="33" spans="1:32" s="182" customFormat="1" ht="14.25" x14ac:dyDescent="0.3">
      <c r="A33" s="339">
        <f t="shared" si="0"/>
        <v>14</v>
      </c>
      <c r="B33" s="340" t="s">
        <v>122</v>
      </c>
      <c r="C33" s="341"/>
      <c r="D33" s="341"/>
      <c r="E33" s="341"/>
      <c r="F33" s="342">
        <f>Page3!N39-Page3!E39</f>
        <v>63.75</v>
      </c>
      <c r="G33" s="343">
        <f>Page3!O39-Page3!F39</f>
        <v>765</v>
      </c>
      <c r="H33" s="334"/>
      <c r="I33" s="326"/>
      <c r="J33" s="334"/>
      <c r="K33" s="334"/>
      <c r="L33" s="326"/>
      <c r="M33" s="334"/>
      <c r="N33" s="334"/>
      <c r="O33" s="326"/>
      <c r="P33" s="326"/>
      <c r="Q33" s="334"/>
      <c r="R33" s="334"/>
      <c r="S33" s="326"/>
      <c r="T33" s="334"/>
      <c r="U33" s="334"/>
      <c r="V33" s="194"/>
      <c r="W33" s="267"/>
      <c r="X33" s="267"/>
      <c r="Y33" s="267"/>
      <c r="Z33" s="267"/>
      <c r="AA33" s="267"/>
      <c r="AB33" s="267"/>
      <c r="AC33" s="267"/>
      <c r="AD33" s="267"/>
      <c r="AE33" s="267"/>
      <c r="AF33" s="267"/>
    </row>
    <row r="34" spans="1:32" s="182" customFormat="1" ht="14.25" x14ac:dyDescent="0.3">
      <c r="A34" s="339">
        <f t="shared" si="0"/>
        <v>15</v>
      </c>
      <c r="B34" s="340" t="s">
        <v>346</v>
      </c>
      <c r="C34" s="341"/>
      <c r="D34" s="341"/>
      <c r="E34" s="341"/>
      <c r="F34" s="342">
        <f>Page3!N40-Page3!E40</f>
        <v>42.5</v>
      </c>
      <c r="G34" s="343">
        <f>Page3!O40-Page3!F40</f>
        <v>510</v>
      </c>
      <c r="H34" s="334"/>
      <c r="I34" s="326"/>
      <c r="J34" s="334"/>
      <c r="K34" s="334"/>
      <c r="L34" s="326"/>
      <c r="M34" s="334"/>
      <c r="N34" s="334"/>
      <c r="O34" s="326"/>
      <c r="P34" s="326"/>
      <c r="Q34" s="334"/>
      <c r="R34" s="334"/>
      <c r="S34" s="326"/>
      <c r="T34" s="334"/>
      <c r="U34" s="334"/>
      <c r="V34" s="194"/>
      <c r="W34" s="267"/>
      <c r="X34" s="267"/>
      <c r="Y34" s="267"/>
      <c r="Z34" s="267"/>
      <c r="AA34" s="267"/>
      <c r="AB34" s="267"/>
      <c r="AC34" s="267"/>
      <c r="AD34" s="267"/>
      <c r="AE34" s="267"/>
      <c r="AF34" s="267"/>
    </row>
    <row r="35" spans="1:32" s="182" customFormat="1" ht="14.25" x14ac:dyDescent="0.3">
      <c r="A35" s="339">
        <f t="shared" si="0"/>
        <v>16</v>
      </c>
      <c r="B35" s="340" t="str">
        <f>Page3!B41</f>
        <v xml:space="preserve">Other - </v>
      </c>
      <c r="C35" s="341"/>
      <c r="D35" s="341"/>
      <c r="E35" s="341"/>
      <c r="F35" s="342">
        <f>Page3!N41-Page3!E41</f>
        <v>0</v>
      </c>
      <c r="G35" s="343">
        <f>Page3!O41-Page3!F41</f>
        <v>0</v>
      </c>
      <c r="H35" s="334"/>
      <c r="I35" s="326"/>
      <c r="J35" s="334"/>
      <c r="K35" s="334"/>
      <c r="L35" s="326"/>
      <c r="M35" s="334"/>
      <c r="N35" s="334"/>
      <c r="O35" s="326"/>
      <c r="P35" s="326"/>
      <c r="Q35" s="334"/>
      <c r="R35" s="334"/>
      <c r="S35" s="326"/>
      <c r="T35" s="334"/>
      <c r="U35" s="334"/>
      <c r="V35" s="194"/>
      <c r="W35" s="267"/>
      <c r="X35" s="267"/>
      <c r="Y35" s="267"/>
      <c r="Z35" s="267"/>
      <c r="AA35" s="267"/>
      <c r="AB35" s="267"/>
      <c r="AC35" s="267"/>
      <c r="AD35" s="267"/>
      <c r="AE35" s="267"/>
      <c r="AF35" s="267"/>
    </row>
    <row r="36" spans="1:32" s="182" customFormat="1" ht="14.25" x14ac:dyDescent="0.3">
      <c r="A36" s="339">
        <f t="shared" si="0"/>
        <v>17</v>
      </c>
      <c r="B36" s="340" t="str">
        <f>Page3!B42</f>
        <v xml:space="preserve">Other - </v>
      </c>
      <c r="C36" s="341"/>
      <c r="D36" s="341"/>
      <c r="E36" s="341"/>
      <c r="F36" s="342">
        <f>Page3!N42-Page3!E42</f>
        <v>0</v>
      </c>
      <c r="G36" s="343">
        <f>Page3!O42-Page3!F42</f>
        <v>0</v>
      </c>
      <c r="H36" s="334"/>
      <c r="I36" s="326"/>
      <c r="J36" s="334"/>
      <c r="K36" s="334"/>
      <c r="L36" s="326"/>
      <c r="M36" s="334"/>
      <c r="N36" s="334"/>
      <c r="O36" s="326"/>
      <c r="P36" s="326"/>
      <c r="Q36" s="334"/>
      <c r="R36" s="334"/>
      <c r="S36" s="326"/>
      <c r="T36" s="334"/>
      <c r="U36" s="334"/>
      <c r="V36" s="194"/>
      <c r="W36" s="267"/>
      <c r="X36" s="267"/>
      <c r="Y36" s="267"/>
      <c r="Z36" s="267"/>
      <c r="AA36" s="267"/>
      <c r="AB36" s="267"/>
      <c r="AC36" s="267"/>
      <c r="AD36" s="267"/>
      <c r="AE36" s="267"/>
      <c r="AF36" s="267"/>
    </row>
    <row r="37" spans="1:32" s="182" customFormat="1" ht="14.25" x14ac:dyDescent="0.3">
      <c r="A37" s="339">
        <f t="shared" si="0"/>
        <v>18</v>
      </c>
      <c r="B37" s="340" t="str">
        <f>Page3!B43</f>
        <v xml:space="preserve">Other - </v>
      </c>
      <c r="C37" s="341"/>
      <c r="D37" s="341"/>
      <c r="E37" s="341"/>
      <c r="F37" s="342">
        <f>Page3!N43-Page3!E43</f>
        <v>0</v>
      </c>
      <c r="G37" s="343">
        <f>Page3!O43-Page3!F43</f>
        <v>0</v>
      </c>
      <c r="H37" s="334"/>
      <c r="I37" s="326"/>
      <c r="J37" s="334"/>
      <c r="K37" s="334"/>
      <c r="L37" s="326"/>
      <c r="M37" s="334"/>
      <c r="N37" s="334"/>
      <c r="O37" s="326"/>
      <c r="P37" s="326"/>
      <c r="Q37" s="334"/>
      <c r="R37" s="334"/>
      <c r="S37" s="326"/>
      <c r="T37" s="334"/>
      <c r="U37" s="334"/>
      <c r="V37" s="194"/>
      <c r="W37" s="267"/>
      <c r="X37" s="267"/>
      <c r="Y37" s="267"/>
      <c r="Z37" s="267"/>
      <c r="AA37" s="267"/>
      <c r="AB37" s="267"/>
      <c r="AC37" s="267"/>
      <c r="AD37" s="267"/>
      <c r="AE37" s="267"/>
      <c r="AF37" s="267"/>
    </row>
    <row r="38" spans="1:32" s="182" customFormat="1" ht="14.25" x14ac:dyDescent="0.3">
      <c r="A38" s="339">
        <f t="shared" si="0"/>
        <v>19</v>
      </c>
      <c r="B38" s="340" t="str">
        <f>Page3!B44</f>
        <v xml:space="preserve">Other - </v>
      </c>
      <c r="C38" s="341"/>
      <c r="D38" s="341"/>
      <c r="E38" s="341"/>
      <c r="F38" s="342">
        <f>Page3!N44-Page3!E44</f>
        <v>0</v>
      </c>
      <c r="G38" s="343">
        <f>Page3!O44-Page3!F44</f>
        <v>0</v>
      </c>
      <c r="H38" s="334"/>
      <c r="I38" s="326"/>
      <c r="J38" s="334"/>
      <c r="K38" s="334"/>
      <c r="L38" s="326"/>
      <c r="M38" s="334"/>
      <c r="N38" s="334"/>
      <c r="O38" s="326"/>
      <c r="P38" s="326"/>
      <c r="Q38" s="334"/>
      <c r="R38" s="334"/>
      <c r="S38" s="326"/>
      <c r="T38" s="334"/>
      <c r="U38" s="334"/>
      <c r="V38" s="194"/>
      <c r="W38" s="267"/>
      <c r="X38" s="267"/>
      <c r="Y38" s="267"/>
      <c r="Z38" s="267"/>
      <c r="AA38" s="267"/>
      <c r="AB38" s="267"/>
      <c r="AC38" s="267"/>
      <c r="AD38" s="267"/>
      <c r="AE38" s="267"/>
      <c r="AF38" s="267"/>
    </row>
    <row r="39" spans="1:32" s="182" customFormat="1" ht="14.25" customHeight="1" thickBot="1" x14ac:dyDescent="0.35">
      <c r="A39" s="339">
        <f t="shared" si="0"/>
        <v>20</v>
      </c>
      <c r="B39" s="165" t="s">
        <v>181</v>
      </c>
      <c r="C39" s="166"/>
      <c r="D39" s="166"/>
      <c r="E39" s="344"/>
      <c r="F39" s="7">
        <f>SUM(F22:F38)</f>
        <v>1415.8697916666667</v>
      </c>
      <c r="G39" s="7">
        <f>SUM(G22:G38)</f>
        <v>16990.4375</v>
      </c>
      <c r="H39" s="5"/>
      <c r="I39" s="5"/>
      <c r="J39" s="5"/>
      <c r="K39" s="5"/>
      <c r="L39" s="5"/>
      <c r="M39" s="5"/>
      <c r="N39" s="5"/>
      <c r="O39" s="5"/>
      <c r="P39" s="5"/>
      <c r="Q39" s="5"/>
      <c r="R39" s="5"/>
      <c r="S39" s="5"/>
      <c r="T39" s="5"/>
      <c r="U39" s="5"/>
      <c r="V39" s="4"/>
      <c r="W39" s="267"/>
      <c r="X39" s="267"/>
      <c r="Y39" s="267"/>
      <c r="Z39" s="267"/>
      <c r="AA39" s="267"/>
      <c r="AB39" s="267"/>
      <c r="AC39" s="267"/>
      <c r="AD39" s="267"/>
      <c r="AE39" s="267"/>
      <c r="AF39" s="267"/>
    </row>
    <row r="40" spans="1:32" ht="15" customHeight="1" thickTop="1" x14ac:dyDescent="0.25">
      <c r="A40" s="185"/>
      <c r="B40" s="145"/>
      <c r="C40" s="145"/>
      <c r="D40" s="145"/>
      <c r="E40" s="145"/>
      <c r="F40" s="145"/>
      <c r="G40" s="145"/>
      <c r="H40" s="145"/>
      <c r="I40" s="145"/>
      <c r="J40" s="145"/>
      <c r="K40" s="145"/>
      <c r="L40" s="145"/>
      <c r="M40" s="145"/>
      <c r="N40" s="145"/>
      <c r="O40" s="145"/>
      <c r="P40" s="145"/>
      <c r="Q40" s="145"/>
      <c r="R40" s="145"/>
      <c r="S40" s="145"/>
      <c r="T40" s="145"/>
      <c r="U40" s="145"/>
      <c r="V40" s="185"/>
      <c r="W40" s="145"/>
      <c r="X40" s="145"/>
      <c r="Y40" s="145"/>
      <c r="Z40" s="145"/>
      <c r="AA40" s="145"/>
      <c r="AB40" s="145"/>
      <c r="AC40" s="145"/>
      <c r="AD40" s="145"/>
      <c r="AE40" s="145"/>
      <c r="AF40" s="145"/>
    </row>
    <row r="41" spans="1:32" s="660" customFormat="1" ht="12.75" x14ac:dyDescent="0.2">
      <c r="V41" s="638"/>
    </row>
    <row r="42" spans="1:32" s="660" customFormat="1" ht="12.75" x14ac:dyDescent="0.2">
      <c r="V42" s="638"/>
    </row>
    <row r="43" spans="1:32" s="660" customFormat="1" ht="12.75" x14ac:dyDescent="0.2">
      <c r="V43" s="638"/>
    </row>
    <row r="44" spans="1:32" s="660" customFormat="1" ht="12.75" x14ac:dyDescent="0.2">
      <c r="V44" s="638"/>
    </row>
    <row r="45" spans="1:32" s="660" customFormat="1" ht="12.75" x14ac:dyDescent="0.2">
      <c r="V45" s="638"/>
    </row>
    <row r="46" spans="1:32" s="660" customFormat="1" ht="12.75" x14ac:dyDescent="0.2">
      <c r="V46" s="638"/>
    </row>
    <row r="47" spans="1:32" s="660" customFormat="1" ht="12.75" x14ac:dyDescent="0.2">
      <c r="V47" s="638"/>
    </row>
    <row r="48" spans="1:32" s="660" customFormat="1" ht="12.75" x14ac:dyDescent="0.2">
      <c r="V48" s="638"/>
    </row>
    <row r="49" spans="22:22" s="660" customFormat="1" ht="12.75" x14ac:dyDescent="0.2">
      <c r="V49" s="638"/>
    </row>
    <row r="50" spans="22:22" s="660" customFormat="1" ht="12.75" x14ac:dyDescent="0.2">
      <c r="V50" s="638"/>
    </row>
    <row r="51" spans="22:22" s="660" customFormat="1" ht="12.75" x14ac:dyDescent="0.2">
      <c r="V51" s="638"/>
    </row>
    <row r="52" spans="22:22" s="660" customFormat="1" ht="12.75" x14ac:dyDescent="0.2">
      <c r="V52" s="638"/>
    </row>
    <row r="53" spans="22:22" s="660" customFormat="1" ht="12.75" x14ac:dyDescent="0.2">
      <c r="V53" s="638"/>
    </row>
    <row r="54" spans="22:22" s="660" customFormat="1" ht="12.75" x14ac:dyDescent="0.2">
      <c r="V54" s="638"/>
    </row>
    <row r="55" spans="22:22" s="660" customFormat="1" ht="12.75" x14ac:dyDescent="0.2">
      <c r="V55" s="638"/>
    </row>
  </sheetData>
  <sheetProtection password="DCF0" sheet="1" objects="1" scenarios="1"/>
  <mergeCells count="9">
    <mergeCell ref="A1:T1"/>
    <mergeCell ref="A3:T3"/>
    <mergeCell ref="A2:T2"/>
    <mergeCell ref="B29:E29"/>
    <mergeCell ref="I20:P24"/>
    <mergeCell ref="A4:T4"/>
    <mergeCell ref="L5:O5"/>
    <mergeCell ref="E5:H5"/>
    <mergeCell ref="A7:T7"/>
  </mergeCells>
  <conditionalFormatting sqref="F39:G39 G16:G17">
    <cfRule type="cellIs" dxfId="1" priority="3" operator="lessThan">
      <formula>0</formula>
    </cfRule>
  </conditionalFormatting>
  <pageMargins left="0.47244094488189003" right="0.47244094488189003" top="0.55118110236220497" bottom="0.59055118110236204" header="0.27559055118110198" footer="0.27559055118110198"/>
  <pageSetup paperSize="5" scale="77" orientation="landscape" r:id="rId1"/>
  <headerFooter alignWithMargins="0">
    <oddFooter>&amp;L&amp;F  
Tab: FGT&amp;A&amp;CPrinted: &amp;D&amp;T&amp;RPage &amp;P of &amp;N</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B1:Z140"/>
  <sheetViews>
    <sheetView showGridLines="0" zoomScaleNormal="100" workbookViewId="0">
      <pane ySplit="4" topLeftCell="A23" activePane="bottomLeft" state="frozen"/>
      <selection activeCell="B8" sqref="B8"/>
      <selection pane="bottomLeft" activeCell="H36" sqref="H36"/>
    </sheetView>
  </sheetViews>
  <sheetFormatPr defaultColWidth="9.140625" defaultRowHeight="12.75" x14ac:dyDescent="0.2"/>
  <cols>
    <col min="1" max="1" width="2.28515625" style="34" customWidth="1"/>
    <col min="2" max="2" width="3.42578125" style="34" customWidth="1"/>
    <col min="3" max="3" width="12.140625" style="34" customWidth="1"/>
    <col min="4" max="4" width="11.42578125" style="34" customWidth="1"/>
    <col min="5" max="5" width="9.28515625" style="34" customWidth="1"/>
    <col min="6" max="6" width="13.85546875" style="34" customWidth="1"/>
    <col min="7" max="7" width="22.140625" style="34" customWidth="1"/>
    <col min="8" max="8" width="17" style="34" customWidth="1"/>
    <col min="9" max="9" width="21.7109375" style="34" customWidth="1"/>
    <col min="10" max="10" width="16.42578125" style="34" customWidth="1"/>
    <col min="11" max="11" width="10" style="34" customWidth="1"/>
    <col min="12" max="12" width="12.42578125" style="34" bestFit="1" customWidth="1"/>
    <col min="13" max="13" width="13.85546875" style="34" bestFit="1" customWidth="1"/>
    <col min="14" max="16384" width="9.140625" style="34"/>
  </cols>
  <sheetData>
    <row r="1" spans="2:26" x14ac:dyDescent="0.2">
      <c r="B1" s="52"/>
      <c r="C1" s="1274" t="str">
        <f>Instructions!C2</f>
        <v>Funding Template Version of 1Apr13</v>
      </c>
      <c r="D1" s="1274"/>
      <c r="E1" s="1274"/>
      <c r="F1" s="1274"/>
      <c r="G1" s="1274"/>
      <c r="H1" s="1274"/>
      <c r="I1" s="1274"/>
      <c r="J1" s="1274"/>
      <c r="K1" s="1274"/>
      <c r="L1" s="1274"/>
      <c r="M1" s="1274"/>
    </row>
    <row r="2" spans="2:26" ht="20.25" x14ac:dyDescent="0.3">
      <c r="B2" s="1511" t="s">
        <v>808</v>
      </c>
      <c r="C2" s="1511"/>
      <c r="D2" s="1511"/>
      <c r="E2" s="1511"/>
      <c r="F2" s="1511"/>
      <c r="G2" s="1511"/>
      <c r="H2" s="1511"/>
      <c r="I2" s="1511"/>
      <c r="J2" s="1511"/>
      <c r="K2" s="1511"/>
      <c r="L2" s="1511"/>
      <c r="M2" s="1511"/>
      <c r="N2" s="35"/>
      <c r="O2" s="35"/>
      <c r="P2" s="35"/>
      <c r="Q2" s="35"/>
      <c r="R2" s="35"/>
      <c r="S2" s="35"/>
      <c r="T2" s="35"/>
      <c r="U2" s="35"/>
      <c r="V2" s="35"/>
      <c r="W2" s="35"/>
    </row>
    <row r="3" spans="2:26" ht="16.5" x14ac:dyDescent="0.25">
      <c r="B3" s="1388" t="s">
        <v>321</v>
      </c>
      <c r="C3" s="1388"/>
      <c r="D3" s="1388"/>
      <c r="E3" s="1388"/>
      <c r="F3" s="1388"/>
      <c r="G3" s="1388"/>
      <c r="H3" s="1388"/>
      <c r="I3" s="1388"/>
      <c r="J3" s="1388"/>
      <c r="K3" s="1388"/>
      <c r="L3" s="1388"/>
      <c r="M3" s="1388"/>
      <c r="N3" s="37"/>
      <c r="O3" s="37"/>
      <c r="P3" s="37"/>
      <c r="Q3" s="37"/>
      <c r="R3" s="37"/>
      <c r="S3" s="37"/>
      <c r="T3" s="37"/>
      <c r="U3" s="37"/>
      <c r="V3" s="37"/>
      <c r="W3" s="37"/>
      <c r="X3" s="37"/>
      <c r="Y3" s="37"/>
      <c r="Z3" s="37"/>
    </row>
    <row r="4" spans="2:26" ht="16.5" x14ac:dyDescent="0.25">
      <c r="B4" s="1122"/>
      <c r="C4" s="1122"/>
      <c r="D4" s="1122"/>
      <c r="E4" s="1122"/>
      <c r="F4" s="1725"/>
      <c r="G4" s="1725"/>
      <c r="H4" s="1725"/>
      <c r="I4" s="1725"/>
      <c r="J4" s="1725"/>
      <c r="K4" s="1122"/>
      <c r="L4" s="1122"/>
      <c r="M4" s="1122"/>
      <c r="N4" s="37"/>
      <c r="O4" s="37"/>
      <c r="P4" s="37"/>
      <c r="Q4" s="37"/>
      <c r="R4" s="37"/>
      <c r="S4" s="37"/>
      <c r="T4" s="37"/>
      <c r="U4" s="37"/>
      <c r="V4" s="37"/>
      <c r="W4" s="37"/>
      <c r="X4" s="37"/>
      <c r="Y4" s="37"/>
      <c r="Z4" s="37"/>
    </row>
    <row r="5" spans="2:26" ht="16.5" x14ac:dyDescent="0.25">
      <c r="B5" s="1122"/>
      <c r="C5" s="1122"/>
      <c r="D5" s="1122"/>
      <c r="E5" s="1122"/>
      <c r="F5" s="1122"/>
      <c r="G5" s="1122"/>
      <c r="H5" s="1122"/>
      <c r="I5" s="1122"/>
      <c r="J5" s="1122"/>
      <c r="K5" s="1122"/>
      <c r="L5" s="1122"/>
      <c r="M5" s="1122"/>
      <c r="N5" s="37"/>
      <c r="O5" s="37"/>
      <c r="P5" s="37"/>
      <c r="Q5" s="37"/>
      <c r="R5" s="37"/>
      <c r="S5" s="37"/>
      <c r="T5" s="37"/>
      <c r="U5" s="37"/>
      <c r="V5" s="37"/>
      <c r="W5" s="37"/>
      <c r="X5" s="37"/>
      <c r="Y5" s="37"/>
      <c r="Z5" s="37"/>
    </row>
    <row r="6" spans="2:26" ht="17.25" thickBot="1" x14ac:dyDescent="0.3">
      <c r="B6" s="1178"/>
      <c r="C6" s="1178"/>
      <c r="D6" s="1178"/>
      <c r="E6" s="1178"/>
      <c r="F6" s="1178"/>
      <c r="G6" s="1178"/>
      <c r="H6" s="1178"/>
      <c r="I6" s="1178"/>
      <c r="J6" s="1178"/>
      <c r="K6" s="1178"/>
      <c r="L6" s="1178"/>
      <c r="M6" s="1178"/>
      <c r="N6" s="37"/>
      <c r="O6" s="37"/>
      <c r="P6" s="37"/>
      <c r="Q6" s="37"/>
      <c r="R6" s="37"/>
      <c r="S6" s="37"/>
      <c r="T6" s="37"/>
      <c r="U6" s="37"/>
      <c r="V6" s="37"/>
      <c r="W6" s="37"/>
      <c r="X6" s="37"/>
      <c r="Y6" s="37"/>
      <c r="Z6" s="37"/>
    </row>
    <row r="7" spans="2:26" ht="16.5" x14ac:dyDescent="0.25">
      <c r="B7" s="1748" t="s">
        <v>56</v>
      </c>
      <c r="C7" s="1749"/>
      <c r="D7" s="1749"/>
      <c r="E7" s="1750"/>
      <c r="F7" s="1775" t="s">
        <v>184</v>
      </c>
      <c r="G7" s="1775"/>
      <c r="H7" s="1775"/>
      <c r="I7" s="1775"/>
      <c r="J7" s="1736" t="s">
        <v>128</v>
      </c>
      <c r="K7" s="1178"/>
      <c r="L7" s="1256"/>
      <c r="M7" s="622"/>
      <c r="N7" s="1257"/>
      <c r="O7" s="37"/>
      <c r="P7" s="37"/>
      <c r="Q7" s="37"/>
      <c r="R7" s="37"/>
      <c r="S7" s="37"/>
      <c r="T7" s="37"/>
      <c r="U7" s="37"/>
      <c r="V7" s="37"/>
      <c r="W7" s="37"/>
      <c r="X7" s="37"/>
      <c r="Y7" s="37"/>
      <c r="Z7" s="37"/>
    </row>
    <row r="8" spans="2:26" ht="17.25" thickBot="1" x14ac:dyDescent="0.3">
      <c r="B8" s="1751"/>
      <c r="C8" s="1752"/>
      <c r="D8" s="1752"/>
      <c r="E8" s="1753"/>
      <c r="F8" s="1776" t="s">
        <v>48</v>
      </c>
      <c r="G8" s="1777"/>
      <c r="H8" s="1746" t="s">
        <v>49</v>
      </c>
      <c r="I8" s="1747"/>
      <c r="J8" s="1761"/>
      <c r="K8" s="1178"/>
      <c r="L8" s="1178"/>
      <c r="M8" s="1178"/>
      <c r="N8" s="37"/>
      <c r="O8" s="37"/>
      <c r="P8" s="37"/>
      <c r="Q8" s="37"/>
      <c r="R8" s="37"/>
      <c r="S8" s="37"/>
      <c r="T8" s="37"/>
      <c r="U8" s="37"/>
      <c r="V8" s="37"/>
      <c r="W8" s="37"/>
      <c r="X8" s="37"/>
      <c r="Y8" s="37"/>
      <c r="Z8" s="37"/>
    </row>
    <row r="9" spans="2:26" ht="16.5" x14ac:dyDescent="0.25">
      <c r="B9" s="1188" t="s">
        <v>57</v>
      </c>
      <c r="C9" s="1180"/>
      <c r="D9" s="1189"/>
      <c r="E9" s="1195"/>
      <c r="F9" s="1192">
        <v>50</v>
      </c>
      <c r="G9" s="1190" t="s">
        <v>68</v>
      </c>
      <c r="H9" s="1191">
        <v>250</v>
      </c>
      <c r="I9" s="1198" t="s">
        <v>71</v>
      </c>
      <c r="J9" s="1201" t="s">
        <v>344</v>
      </c>
      <c r="K9" s="1178"/>
      <c r="L9" s="1178"/>
      <c r="M9" s="1178"/>
      <c r="N9" s="37"/>
      <c r="O9" s="37"/>
      <c r="P9" s="37"/>
      <c r="Q9" s="37"/>
      <c r="R9" s="37"/>
      <c r="S9" s="37"/>
      <c r="T9" s="37"/>
      <c r="U9" s="37"/>
      <c r="V9" s="37"/>
      <c r="W9" s="37"/>
      <c r="X9" s="37"/>
      <c r="Y9" s="37"/>
      <c r="Z9" s="37"/>
    </row>
    <row r="10" spans="2:26" ht="16.5" x14ac:dyDescent="0.25">
      <c r="B10" s="1182" t="s">
        <v>367</v>
      </c>
      <c r="C10" s="1179"/>
      <c r="D10" s="1181"/>
      <c r="E10" s="1196"/>
      <c r="F10" s="1193">
        <v>5</v>
      </c>
      <c r="G10" s="41" t="s">
        <v>71</v>
      </c>
      <c r="H10" s="39">
        <v>20</v>
      </c>
      <c r="I10" s="1199" t="s">
        <v>71</v>
      </c>
      <c r="J10" s="1202" t="s">
        <v>344</v>
      </c>
      <c r="K10" s="1178"/>
      <c r="L10" s="1178"/>
      <c r="M10" s="1178"/>
      <c r="N10" s="37"/>
      <c r="O10" s="37"/>
      <c r="P10" s="37"/>
      <c r="Q10" s="37"/>
      <c r="R10" s="37"/>
      <c r="S10" s="37"/>
      <c r="T10" s="37"/>
      <c r="U10" s="37"/>
      <c r="V10" s="37"/>
      <c r="W10" s="37"/>
      <c r="X10" s="37"/>
      <c r="Y10" s="37"/>
      <c r="Z10" s="37"/>
    </row>
    <row r="11" spans="2:26" ht="16.5" x14ac:dyDescent="0.25">
      <c r="B11" s="1182" t="s">
        <v>58</v>
      </c>
      <c r="C11" s="1179"/>
      <c r="D11" s="1181"/>
      <c r="E11" s="1196"/>
      <c r="F11" s="1193">
        <v>300</v>
      </c>
      <c r="G11" s="41" t="s">
        <v>72</v>
      </c>
      <c r="H11" s="39">
        <v>300</v>
      </c>
      <c r="I11" s="1199" t="s">
        <v>72</v>
      </c>
      <c r="J11" s="1202" t="s">
        <v>344</v>
      </c>
      <c r="K11" s="1178"/>
      <c r="L11" s="1178"/>
      <c r="M11" s="1178"/>
      <c r="N11" s="37"/>
      <c r="O11" s="37"/>
      <c r="P11" s="37"/>
      <c r="Q11" s="37"/>
      <c r="R11" s="37"/>
      <c r="S11" s="37"/>
      <c r="T11" s="37"/>
      <c r="U11" s="37"/>
      <c r="V11" s="37"/>
      <c r="W11" s="37"/>
      <c r="X11" s="37"/>
      <c r="Y11" s="37"/>
      <c r="Z11" s="37"/>
    </row>
    <row r="12" spans="2:26" ht="16.5" x14ac:dyDescent="0.25">
      <c r="B12" s="1182" t="s">
        <v>59</v>
      </c>
      <c r="C12" s="1179"/>
      <c r="D12" s="1181"/>
      <c r="E12" s="1196"/>
      <c r="F12" s="1193">
        <v>40</v>
      </c>
      <c r="G12" s="41" t="s">
        <v>68</v>
      </c>
      <c r="H12" s="39">
        <v>40</v>
      </c>
      <c r="I12" s="1199" t="s">
        <v>73</v>
      </c>
      <c r="J12" s="1202" t="s">
        <v>344</v>
      </c>
      <c r="K12" s="1178"/>
      <c r="L12" s="1178"/>
      <c r="M12" s="1178"/>
      <c r="N12" s="37"/>
      <c r="O12" s="37"/>
      <c r="P12" s="37"/>
      <c r="Q12" s="37"/>
      <c r="R12" s="37"/>
      <c r="S12" s="37"/>
      <c r="T12" s="37"/>
      <c r="U12" s="37"/>
      <c r="V12" s="37"/>
      <c r="W12" s="37"/>
      <c r="X12" s="37"/>
      <c r="Y12" s="37"/>
      <c r="Z12" s="37"/>
    </row>
    <row r="13" spans="2:26" ht="16.5" x14ac:dyDescent="0.25">
      <c r="B13" s="1182" t="s">
        <v>60</v>
      </c>
      <c r="C13" s="1179"/>
      <c r="D13" s="1181"/>
      <c r="E13" s="1196"/>
      <c r="F13" s="1193">
        <v>40</v>
      </c>
      <c r="G13" s="41" t="s">
        <v>254</v>
      </c>
      <c r="H13" s="39">
        <v>60</v>
      </c>
      <c r="I13" s="1199" t="s">
        <v>254</v>
      </c>
      <c r="J13" s="1202" t="s">
        <v>344</v>
      </c>
      <c r="K13" s="1178"/>
      <c r="L13" s="1178"/>
      <c r="M13" s="1178"/>
      <c r="N13" s="37"/>
      <c r="O13" s="37"/>
      <c r="P13" s="37"/>
      <c r="Q13" s="37"/>
      <c r="R13" s="37"/>
      <c r="S13" s="37"/>
      <c r="T13" s="37"/>
      <c r="U13" s="37"/>
      <c r="V13" s="37"/>
      <c r="W13" s="37"/>
      <c r="X13" s="37"/>
      <c r="Y13" s="37"/>
      <c r="Z13" s="37"/>
    </row>
    <row r="14" spans="2:26" ht="16.5" x14ac:dyDescent="0.25">
      <c r="B14" s="1182" t="s">
        <v>61</v>
      </c>
      <c r="C14" s="1179"/>
      <c r="D14" s="1181"/>
      <c r="E14" s="1196"/>
      <c r="F14" s="1193">
        <v>0</v>
      </c>
      <c r="G14" s="41" t="s">
        <v>68</v>
      </c>
      <c r="H14" s="39">
        <v>70</v>
      </c>
      <c r="I14" s="1199" t="s">
        <v>73</v>
      </c>
      <c r="J14" s="1202" t="s">
        <v>344</v>
      </c>
      <c r="K14" s="1178"/>
      <c r="L14" s="1178"/>
      <c r="M14" s="1178"/>
      <c r="N14" s="37"/>
      <c r="O14" s="37"/>
      <c r="P14" s="37"/>
      <c r="Q14" s="37"/>
      <c r="R14" s="37"/>
      <c r="S14" s="37"/>
      <c r="T14" s="37"/>
      <c r="U14" s="37"/>
      <c r="V14" s="37"/>
      <c r="W14" s="37"/>
      <c r="X14" s="37"/>
      <c r="Y14" s="37"/>
      <c r="Z14" s="37"/>
    </row>
    <row r="15" spans="2:26" ht="16.5" x14ac:dyDescent="0.25">
      <c r="B15" s="1182" t="s">
        <v>62</v>
      </c>
      <c r="C15" s="1179"/>
      <c r="D15" s="1181"/>
      <c r="E15" s="1196"/>
      <c r="F15" s="1193">
        <v>45</v>
      </c>
      <c r="G15" s="41" t="s">
        <v>68</v>
      </c>
      <c r="H15" s="39">
        <v>45</v>
      </c>
      <c r="I15" s="1199" t="s">
        <v>73</v>
      </c>
      <c r="J15" s="1202" t="s">
        <v>344</v>
      </c>
      <c r="K15" s="1178"/>
      <c r="L15" s="1178"/>
      <c r="M15" s="1178"/>
      <c r="N15" s="37"/>
      <c r="O15" s="37"/>
      <c r="P15" s="37"/>
      <c r="Q15" s="37"/>
      <c r="R15" s="37"/>
      <c r="S15" s="37"/>
      <c r="T15" s="37"/>
      <c r="U15" s="37"/>
      <c r="V15" s="37"/>
      <c r="W15" s="37"/>
      <c r="X15" s="37"/>
      <c r="Y15" s="37"/>
      <c r="Z15" s="37"/>
    </row>
    <row r="16" spans="2:26" ht="16.5" x14ac:dyDescent="0.25">
      <c r="B16" s="1182" t="s">
        <v>63</v>
      </c>
      <c r="C16" s="1179"/>
      <c r="D16" s="1181"/>
      <c r="E16" s="1196"/>
      <c r="F16" s="1193">
        <v>75</v>
      </c>
      <c r="G16" s="41" t="s">
        <v>67</v>
      </c>
      <c r="H16" s="39">
        <v>75</v>
      </c>
      <c r="I16" s="1199" t="s">
        <v>67</v>
      </c>
      <c r="J16" s="1202" t="s">
        <v>344</v>
      </c>
      <c r="L16" s="1178"/>
      <c r="M16" s="1178"/>
      <c r="N16" s="37"/>
      <c r="O16" s="37"/>
      <c r="P16" s="37"/>
      <c r="Q16" s="37"/>
      <c r="R16" s="37"/>
      <c r="S16" s="37"/>
      <c r="T16" s="37"/>
      <c r="U16" s="37"/>
      <c r="V16" s="37"/>
      <c r="W16" s="37"/>
      <c r="X16" s="37"/>
      <c r="Y16" s="37"/>
      <c r="Z16" s="37"/>
    </row>
    <row r="17" spans="2:26" ht="16.5" x14ac:dyDescent="0.25">
      <c r="B17" s="1182" t="s">
        <v>162</v>
      </c>
      <c r="C17" s="1179"/>
      <c r="D17" s="1181"/>
      <c r="E17" s="1196"/>
      <c r="F17" s="1193">
        <v>0.45</v>
      </c>
      <c r="G17" s="41" t="s">
        <v>89</v>
      </c>
      <c r="H17" s="39">
        <v>0.45</v>
      </c>
      <c r="I17" s="1199" t="s">
        <v>89</v>
      </c>
      <c r="J17" s="1202" t="s">
        <v>129</v>
      </c>
      <c r="K17" s="42" t="s">
        <v>813</v>
      </c>
      <c r="L17" s="1122"/>
      <c r="M17" s="1122"/>
      <c r="N17" s="37"/>
      <c r="O17" s="37"/>
      <c r="P17" s="37"/>
      <c r="Q17" s="37"/>
      <c r="R17" s="37"/>
      <c r="S17" s="37"/>
      <c r="T17" s="37"/>
      <c r="U17" s="37"/>
      <c r="V17" s="37"/>
      <c r="W17" s="37"/>
      <c r="X17" s="37"/>
      <c r="Y17" s="37"/>
      <c r="Z17" s="37"/>
    </row>
    <row r="18" spans="2:26" ht="16.5" x14ac:dyDescent="0.25">
      <c r="B18" s="1182" t="s">
        <v>64</v>
      </c>
      <c r="C18" s="1179"/>
      <c r="D18" s="1181"/>
      <c r="E18" s="1196"/>
      <c r="F18" s="1193">
        <v>350</v>
      </c>
      <c r="G18" s="41" t="s">
        <v>68</v>
      </c>
      <c r="H18" s="39">
        <v>350</v>
      </c>
      <c r="I18" s="1199" t="s">
        <v>73</v>
      </c>
      <c r="J18" s="1202" t="s">
        <v>344</v>
      </c>
      <c r="K18" s="1122"/>
      <c r="L18" s="1122"/>
      <c r="M18" s="1122"/>
      <c r="N18" s="37"/>
      <c r="O18" s="37"/>
      <c r="P18" s="37"/>
      <c r="Q18" s="37"/>
      <c r="R18" s="37"/>
      <c r="S18" s="37"/>
      <c r="T18" s="37"/>
      <c r="U18" s="37"/>
      <c r="V18" s="37"/>
      <c r="W18" s="37"/>
      <c r="X18" s="37"/>
      <c r="Y18" s="37"/>
      <c r="Z18" s="37"/>
    </row>
    <row r="19" spans="2:26" ht="16.5" x14ac:dyDescent="0.25">
      <c r="B19" s="1182" t="s">
        <v>65</v>
      </c>
      <c r="C19" s="1179"/>
      <c r="D19" s="1181"/>
      <c r="E19" s="1196"/>
      <c r="F19" s="1193">
        <v>150</v>
      </c>
      <c r="G19" s="41" t="s">
        <v>68</v>
      </c>
      <c r="H19" s="39">
        <v>150</v>
      </c>
      <c r="I19" s="1199" t="s">
        <v>73</v>
      </c>
      <c r="J19" s="1202" t="s">
        <v>344</v>
      </c>
      <c r="K19" s="1122"/>
      <c r="L19" s="1122"/>
      <c r="M19" s="1122"/>
      <c r="N19" s="37"/>
      <c r="O19" s="37"/>
      <c r="P19" s="37"/>
      <c r="Q19" s="37"/>
      <c r="R19" s="37"/>
      <c r="S19" s="37"/>
      <c r="T19" s="37"/>
      <c r="U19" s="37"/>
      <c r="V19" s="37"/>
      <c r="W19" s="37"/>
      <c r="X19" s="37"/>
      <c r="Y19" s="37"/>
      <c r="Z19" s="37"/>
    </row>
    <row r="20" spans="2:26" ht="16.5" x14ac:dyDescent="0.25">
      <c r="B20" s="1182" t="s">
        <v>66</v>
      </c>
      <c r="C20" s="1179"/>
      <c r="D20" s="1181"/>
      <c r="E20" s="1196"/>
      <c r="F20" s="1193">
        <v>2000</v>
      </c>
      <c r="G20" s="41" t="s">
        <v>69</v>
      </c>
      <c r="H20" s="39">
        <v>2000</v>
      </c>
      <c r="I20" s="1199" t="s">
        <v>70</v>
      </c>
      <c r="J20" s="1202" t="s">
        <v>344</v>
      </c>
      <c r="K20" s="1122"/>
      <c r="L20" s="1122"/>
      <c r="M20" s="1122"/>
      <c r="N20" s="37"/>
      <c r="O20" s="37"/>
      <c r="P20" s="37"/>
      <c r="Q20" s="37"/>
      <c r="R20" s="37"/>
      <c r="S20" s="37"/>
      <c r="T20" s="37"/>
      <c r="U20" s="37"/>
      <c r="V20" s="37"/>
      <c r="W20" s="37"/>
      <c r="X20" s="37"/>
      <c r="Y20" s="37"/>
      <c r="Z20" s="37"/>
    </row>
    <row r="21" spans="2:26" ht="16.5" x14ac:dyDescent="0.25">
      <c r="B21" s="1182" t="s">
        <v>122</v>
      </c>
      <c r="C21" s="1179"/>
      <c r="D21" s="1181"/>
      <c r="E21" s="1196"/>
      <c r="F21" s="1193">
        <v>75</v>
      </c>
      <c r="G21" s="41" t="s">
        <v>71</v>
      </c>
      <c r="H21" s="39">
        <v>75</v>
      </c>
      <c r="I21" s="1199" t="s">
        <v>71</v>
      </c>
      <c r="J21" s="1202" t="s">
        <v>344</v>
      </c>
      <c r="K21" s="1122"/>
      <c r="L21" s="1122"/>
      <c r="M21" s="1122"/>
      <c r="N21" s="37"/>
      <c r="O21" s="37"/>
      <c r="P21" s="37"/>
      <c r="Q21" s="37"/>
      <c r="R21" s="37"/>
      <c r="S21" s="37"/>
      <c r="T21" s="37"/>
      <c r="U21" s="37"/>
      <c r="V21" s="37"/>
      <c r="W21" s="37"/>
      <c r="X21" s="37"/>
      <c r="Y21" s="37"/>
      <c r="Z21" s="37"/>
    </row>
    <row r="22" spans="2:26" ht="17.25" thickBot="1" x14ac:dyDescent="0.3">
      <c r="B22" s="1183" t="s">
        <v>346</v>
      </c>
      <c r="C22" s="1184"/>
      <c r="D22" s="1185"/>
      <c r="E22" s="1197"/>
      <c r="F22" s="1194">
        <v>50</v>
      </c>
      <c r="G22" s="1186" t="s">
        <v>68</v>
      </c>
      <c r="H22" s="1187">
        <v>100</v>
      </c>
      <c r="I22" s="1200" t="s">
        <v>68</v>
      </c>
      <c r="J22" s="1203" t="s">
        <v>344</v>
      </c>
      <c r="K22" s="1122"/>
      <c r="L22" s="1122"/>
      <c r="M22" s="1122"/>
      <c r="N22" s="37"/>
      <c r="O22" s="37"/>
      <c r="P22" s="37"/>
      <c r="Q22" s="37"/>
      <c r="R22" s="37"/>
      <c r="S22" s="37"/>
      <c r="T22" s="37"/>
      <c r="U22" s="37"/>
      <c r="V22" s="37"/>
      <c r="W22" s="37"/>
      <c r="X22" s="37"/>
      <c r="Y22" s="37"/>
      <c r="Z22" s="37"/>
    </row>
    <row r="23" spans="2:26" ht="16.5" x14ac:dyDescent="0.25">
      <c r="B23" s="1122"/>
      <c r="C23" s="1122"/>
      <c r="D23" s="1122"/>
      <c r="E23" s="1122"/>
      <c r="F23" s="1122"/>
      <c r="G23" s="1122"/>
      <c r="H23" s="1122"/>
      <c r="I23" s="1122"/>
      <c r="J23" s="1122"/>
      <c r="K23" s="1122"/>
      <c r="L23" s="1122"/>
      <c r="M23" s="1122"/>
      <c r="N23" s="37"/>
      <c r="O23" s="37"/>
      <c r="P23" s="37"/>
      <c r="Q23" s="37"/>
      <c r="R23" s="37"/>
      <c r="S23" s="37"/>
      <c r="T23" s="37"/>
      <c r="U23" s="37"/>
      <c r="V23" s="37"/>
      <c r="W23" s="37"/>
      <c r="X23" s="37"/>
      <c r="Y23" s="37"/>
      <c r="Z23" s="37"/>
    </row>
    <row r="24" spans="2:26" ht="21" customHeight="1" x14ac:dyDescent="0.2">
      <c r="C24" s="1754" t="s">
        <v>809</v>
      </c>
      <c r="D24" s="1754"/>
      <c r="E24" s="1754"/>
      <c r="F24" s="1754"/>
      <c r="G24" s="1754"/>
      <c r="H24" s="1754"/>
      <c r="I24" s="1754"/>
      <c r="J24" s="1754"/>
      <c r="K24" s="1754"/>
      <c r="L24" s="1754"/>
      <c r="M24" s="1754"/>
    </row>
    <row r="25" spans="2:26" x14ac:dyDescent="0.2">
      <c r="C25" s="54"/>
      <c r="D25" s="52"/>
      <c r="E25" s="1240"/>
      <c r="F25" s="1240"/>
      <c r="G25" s="1240"/>
      <c r="H25" s="1121"/>
      <c r="I25" s="1266"/>
      <c r="J25" s="1121"/>
      <c r="K25" s="1121"/>
      <c r="L25" s="1121"/>
      <c r="M25" s="1121"/>
    </row>
    <row r="26" spans="2:26" ht="18" x14ac:dyDescent="0.25">
      <c r="C26" s="1762" t="s">
        <v>806</v>
      </c>
      <c r="D26" s="1762"/>
      <c r="E26" s="1762"/>
      <c r="F26" s="1762"/>
      <c r="G26" s="1762"/>
      <c r="H26" s="1762"/>
      <c r="I26" s="1762"/>
      <c r="J26" s="1762"/>
      <c r="K26" s="1762"/>
      <c r="L26" s="1762"/>
      <c r="M26" s="1762"/>
    </row>
    <row r="27" spans="2:26" s="52" customFormat="1" ht="9" customHeight="1" thickBot="1" x14ac:dyDescent="0.3">
      <c r="C27" s="1163"/>
      <c r="D27" s="1163"/>
      <c r="E27" s="1163"/>
      <c r="F27" s="1163"/>
      <c r="G27" s="1163"/>
      <c r="H27" s="1163"/>
      <c r="I27" s="1163"/>
      <c r="J27" s="1163"/>
      <c r="K27" s="1163"/>
      <c r="L27" s="1163"/>
      <c r="M27" s="1163"/>
    </row>
    <row r="28" spans="2:26" s="52" customFormat="1" ht="18.75" thickBot="1" x14ac:dyDescent="0.3">
      <c r="C28" s="1213" t="s">
        <v>823</v>
      </c>
      <c r="D28" s="1163"/>
      <c r="E28" s="1163"/>
      <c r="F28" s="1163"/>
      <c r="G28" s="1163"/>
      <c r="H28" s="1258">
        <v>0.6</v>
      </c>
      <c r="I28" s="1215"/>
      <c r="J28" s="1214"/>
      <c r="K28" s="1214"/>
      <c r="L28" s="1214"/>
      <c r="M28" s="1247"/>
      <c r="N28" s="1247"/>
      <c r="O28" s="1247"/>
    </row>
    <row r="29" spans="2:26" s="52" customFormat="1" ht="9" customHeight="1" x14ac:dyDescent="0.25">
      <c r="C29" s="1213"/>
      <c r="D29" s="1163"/>
      <c r="E29" s="1163"/>
      <c r="F29" s="1163"/>
      <c r="G29" s="1163"/>
      <c r="H29" s="1216"/>
      <c r="I29" s="1215"/>
      <c r="J29" s="1214"/>
      <c r="K29" s="1214"/>
      <c r="L29" s="1214"/>
      <c r="M29" s="1217"/>
      <c r="N29" s="1217"/>
      <c r="O29" s="1217"/>
    </row>
    <row r="30" spans="2:26" ht="25.5" customHeight="1" x14ac:dyDescent="0.2">
      <c r="C30" s="1768" t="s">
        <v>846</v>
      </c>
      <c r="D30" s="1768"/>
      <c r="E30" s="1768"/>
      <c r="F30" s="1768"/>
      <c r="G30" s="1768"/>
      <c r="H30" s="1265"/>
      <c r="I30" s="1769" t="s">
        <v>830</v>
      </c>
      <c r="J30" s="1769"/>
      <c r="K30" s="1769"/>
      <c r="L30" s="1769"/>
      <c r="M30" s="1769"/>
    </row>
    <row r="31" spans="2:26" ht="4.5" customHeight="1" thickBot="1" x14ac:dyDescent="0.25">
      <c r="C31" s="38"/>
    </row>
    <row r="32" spans="2:26" ht="15.75" x14ac:dyDescent="0.25">
      <c r="C32" s="1763" t="s">
        <v>180</v>
      </c>
      <c r="D32" s="1764"/>
      <c r="E32" s="1764"/>
      <c r="F32" s="1764"/>
      <c r="G32" s="1765"/>
      <c r="I32" s="1763" t="s">
        <v>183</v>
      </c>
      <c r="J32" s="1764"/>
      <c r="K32" s="1764"/>
      <c r="L32" s="1764"/>
      <c r="M32" s="1765"/>
    </row>
    <row r="33" spans="3:23" ht="15" x14ac:dyDescent="0.3">
      <c r="C33" s="1164" t="s">
        <v>105</v>
      </c>
      <c r="D33" s="1165" t="s">
        <v>166</v>
      </c>
      <c r="E33" s="1165" t="s">
        <v>106</v>
      </c>
      <c r="F33" s="1165" t="s">
        <v>167</v>
      </c>
      <c r="G33" s="1166" t="s">
        <v>107</v>
      </c>
      <c r="I33" s="1164" t="s">
        <v>105</v>
      </c>
      <c r="J33" s="1165" t="s">
        <v>166</v>
      </c>
      <c r="K33" s="1165" t="s">
        <v>106</v>
      </c>
      <c r="L33" s="1165" t="s">
        <v>167</v>
      </c>
      <c r="M33" s="1166" t="s">
        <v>107</v>
      </c>
    </row>
    <row r="34" spans="3:23" x14ac:dyDescent="0.2">
      <c r="C34" s="1167">
        <v>1</v>
      </c>
      <c r="D34" s="1168" t="s">
        <v>168</v>
      </c>
      <c r="E34" s="1169">
        <v>3</v>
      </c>
      <c r="F34" s="1169" t="str">
        <f>CONCATENATE(D34,C34)</f>
        <v>JJEP1</v>
      </c>
      <c r="G34" s="1170">
        <v>13.82</v>
      </c>
      <c r="H34" s="822"/>
      <c r="I34" s="1167">
        <v>1</v>
      </c>
      <c r="J34" s="1168" t="s">
        <v>183</v>
      </c>
      <c r="K34" s="1169">
        <v>3</v>
      </c>
      <c r="L34" s="1169" t="str">
        <f>CONCATENATE(J34,I34)</f>
        <v>HEABC1</v>
      </c>
      <c r="M34" s="1170">
        <v>15.99</v>
      </c>
      <c r="N34" s="1263"/>
      <c r="O34" s="1249"/>
      <c r="W34" s="1249"/>
    </row>
    <row r="35" spans="3:23" x14ac:dyDescent="0.2">
      <c r="C35" s="1167">
        <v>2</v>
      </c>
      <c r="D35" s="1168" t="s">
        <v>168</v>
      </c>
      <c r="E35" s="1169">
        <v>3</v>
      </c>
      <c r="F35" s="1169" t="str">
        <f t="shared" ref="F35:F61" si="0">CONCATENATE(D35,C35)</f>
        <v>JJEP2</v>
      </c>
      <c r="G35" s="1170">
        <v>14.24</v>
      </c>
      <c r="H35" s="822"/>
      <c r="I35" s="1167">
        <v>2</v>
      </c>
      <c r="J35" s="1168" t="s">
        <v>183</v>
      </c>
      <c r="K35" s="1169">
        <v>3</v>
      </c>
      <c r="L35" s="1169" t="str">
        <f t="shared" ref="L35:L51" si="1">CONCATENATE(J35,I35)</f>
        <v>HEABC2</v>
      </c>
      <c r="M35" s="1170">
        <v>16.579999999999998</v>
      </c>
      <c r="N35" s="1263"/>
      <c r="W35" s="1249"/>
    </row>
    <row r="36" spans="3:23" x14ac:dyDescent="0.2">
      <c r="C36" s="1167">
        <v>3</v>
      </c>
      <c r="D36" s="1168" t="s">
        <v>168</v>
      </c>
      <c r="E36" s="1169">
        <v>3</v>
      </c>
      <c r="F36" s="1169" t="str">
        <f t="shared" si="0"/>
        <v>JJEP3</v>
      </c>
      <c r="G36" s="1170">
        <v>14.52</v>
      </c>
      <c r="H36" s="822"/>
      <c r="I36" s="1167">
        <v>3</v>
      </c>
      <c r="J36" s="1168" t="s">
        <v>183</v>
      </c>
      <c r="K36" s="1169">
        <v>3</v>
      </c>
      <c r="L36" s="1169" t="str">
        <f t="shared" si="1"/>
        <v>HEABC3</v>
      </c>
      <c r="M36" s="1170">
        <v>17.170000000000002</v>
      </c>
      <c r="N36" s="1263"/>
      <c r="O36" s="1726" t="s">
        <v>805</v>
      </c>
      <c r="P36" s="1726"/>
      <c r="Q36" s="1726"/>
      <c r="R36" s="1726"/>
      <c r="S36" s="1726"/>
      <c r="T36" s="1726"/>
      <c r="U36" s="1726"/>
      <c r="V36" s="1726"/>
      <c r="W36" s="1249"/>
    </row>
    <row r="37" spans="3:23" x14ac:dyDescent="0.2">
      <c r="C37" s="1167">
        <v>4</v>
      </c>
      <c r="D37" s="1168" t="s">
        <v>168</v>
      </c>
      <c r="E37" s="1169">
        <v>3</v>
      </c>
      <c r="F37" s="1169" t="str">
        <f t="shared" si="0"/>
        <v>JJEP4</v>
      </c>
      <c r="G37" s="1170">
        <v>14.78</v>
      </c>
      <c r="H37" s="822"/>
      <c r="I37" s="1167">
        <v>4</v>
      </c>
      <c r="J37" s="1168" t="s">
        <v>183</v>
      </c>
      <c r="K37" s="1169">
        <v>3</v>
      </c>
      <c r="L37" s="1169" t="str">
        <f t="shared" si="1"/>
        <v>HEABC4</v>
      </c>
      <c r="M37" s="1170">
        <v>17.78</v>
      </c>
      <c r="N37" s="1263"/>
      <c r="O37" s="1726"/>
      <c r="P37" s="1726"/>
      <c r="Q37" s="1726"/>
      <c r="R37" s="1726"/>
      <c r="S37" s="1726"/>
      <c r="T37" s="1726"/>
      <c r="U37" s="1726"/>
      <c r="V37" s="1726"/>
      <c r="W37" s="1249"/>
    </row>
    <row r="38" spans="3:23" x14ac:dyDescent="0.2">
      <c r="C38" s="1167">
        <v>5</v>
      </c>
      <c r="D38" s="1168" t="s">
        <v>168</v>
      </c>
      <c r="E38" s="1169">
        <v>3</v>
      </c>
      <c r="F38" s="1169" t="str">
        <f t="shared" si="0"/>
        <v>JJEP5</v>
      </c>
      <c r="G38" s="1170">
        <v>15.33</v>
      </c>
      <c r="H38" s="822"/>
      <c r="I38" s="1167">
        <v>5</v>
      </c>
      <c r="J38" s="1168" t="s">
        <v>183</v>
      </c>
      <c r="K38" s="1169">
        <v>3</v>
      </c>
      <c r="L38" s="1169" t="str">
        <f t="shared" si="1"/>
        <v>HEABC5</v>
      </c>
      <c r="M38" s="1170">
        <v>18.36</v>
      </c>
      <c r="N38" s="1263"/>
      <c r="O38" s="1726"/>
      <c r="P38" s="1726"/>
      <c r="Q38" s="1726"/>
      <c r="R38" s="1726"/>
      <c r="S38" s="1726"/>
      <c r="T38" s="1726"/>
      <c r="U38" s="1726"/>
      <c r="V38" s="1726"/>
      <c r="W38" s="1249"/>
    </row>
    <row r="39" spans="3:23" x14ac:dyDescent="0.2">
      <c r="C39" s="1167">
        <v>6</v>
      </c>
      <c r="D39" s="1168" t="s">
        <v>168</v>
      </c>
      <c r="E39" s="1169">
        <v>3</v>
      </c>
      <c r="F39" s="1169" t="str">
        <f t="shared" si="0"/>
        <v>JJEP6</v>
      </c>
      <c r="G39" s="1170">
        <v>15.89</v>
      </c>
      <c r="H39" s="822"/>
      <c r="I39" s="1167">
        <v>6</v>
      </c>
      <c r="J39" s="1168" t="s">
        <v>183</v>
      </c>
      <c r="K39" s="1169">
        <v>3</v>
      </c>
      <c r="L39" s="1169" t="str">
        <f t="shared" si="1"/>
        <v>HEABC6</v>
      </c>
      <c r="M39" s="1170">
        <v>18.95</v>
      </c>
      <c r="N39" s="1263"/>
      <c r="O39" s="1726"/>
      <c r="P39" s="1726"/>
      <c r="Q39" s="1726"/>
      <c r="R39" s="1726"/>
      <c r="S39" s="1726"/>
      <c r="T39" s="1726"/>
      <c r="U39" s="1726"/>
      <c r="V39" s="1726"/>
      <c r="W39" s="1249"/>
    </row>
    <row r="40" spans="3:23" x14ac:dyDescent="0.2">
      <c r="C40" s="1167">
        <v>7</v>
      </c>
      <c r="D40" s="1168" t="s">
        <v>168</v>
      </c>
      <c r="E40" s="1169">
        <v>3</v>
      </c>
      <c r="F40" s="1169" t="str">
        <f t="shared" si="0"/>
        <v>JJEP7</v>
      </c>
      <c r="G40" s="1170">
        <v>16.75</v>
      </c>
      <c r="H40" s="822"/>
      <c r="I40" s="1167">
        <v>7</v>
      </c>
      <c r="J40" s="1168" t="s">
        <v>183</v>
      </c>
      <c r="K40" s="1169">
        <v>3</v>
      </c>
      <c r="L40" s="1169" t="str">
        <f t="shared" si="1"/>
        <v>HEABC7</v>
      </c>
      <c r="M40" s="1170">
        <v>19.53</v>
      </c>
      <c r="N40" s="1263"/>
      <c r="O40" s="1726"/>
      <c r="P40" s="1726"/>
      <c r="Q40" s="1726"/>
      <c r="R40" s="1726"/>
      <c r="S40" s="1726"/>
      <c r="T40" s="1726"/>
      <c r="U40" s="1726"/>
      <c r="V40" s="1726"/>
      <c r="W40" s="1249"/>
    </row>
    <row r="41" spans="3:23" x14ac:dyDescent="0.2">
      <c r="C41" s="1167">
        <v>8</v>
      </c>
      <c r="D41" s="1168" t="s">
        <v>168</v>
      </c>
      <c r="E41" s="1169">
        <v>3</v>
      </c>
      <c r="F41" s="1169" t="str">
        <f t="shared" si="0"/>
        <v>JJEP8</v>
      </c>
      <c r="G41" s="1170">
        <v>17.14</v>
      </c>
      <c r="H41" s="822"/>
      <c r="I41" s="1167">
        <v>8</v>
      </c>
      <c r="J41" s="1168" t="s">
        <v>183</v>
      </c>
      <c r="K41" s="1169">
        <v>3</v>
      </c>
      <c r="L41" s="1169" t="str">
        <f t="shared" si="1"/>
        <v>HEABC8</v>
      </c>
      <c r="M41" s="1170">
        <v>20.14</v>
      </c>
      <c r="N41" s="1263"/>
      <c r="W41" s="1249"/>
    </row>
    <row r="42" spans="3:23" x14ac:dyDescent="0.2">
      <c r="C42" s="1167">
        <v>9</v>
      </c>
      <c r="D42" s="1168" t="s">
        <v>168</v>
      </c>
      <c r="E42" s="1169">
        <v>3</v>
      </c>
      <c r="F42" s="1169" t="str">
        <f t="shared" si="0"/>
        <v>JJEP9</v>
      </c>
      <c r="G42" s="1170">
        <v>17.53</v>
      </c>
      <c r="H42" s="822"/>
      <c r="I42" s="1167">
        <v>9</v>
      </c>
      <c r="J42" s="1168" t="s">
        <v>183</v>
      </c>
      <c r="K42" s="1169">
        <v>3</v>
      </c>
      <c r="L42" s="1169" t="str">
        <f t="shared" si="1"/>
        <v>HEABC9</v>
      </c>
      <c r="M42" s="1170">
        <v>21.01</v>
      </c>
      <c r="N42" s="1263"/>
      <c r="W42" s="1249"/>
    </row>
    <row r="43" spans="3:23" x14ac:dyDescent="0.2">
      <c r="C43" s="1167">
        <v>10</v>
      </c>
      <c r="D43" s="1168" t="s">
        <v>168</v>
      </c>
      <c r="E43" s="1169">
        <v>3</v>
      </c>
      <c r="F43" s="1169" t="str">
        <f t="shared" si="0"/>
        <v>JJEP10</v>
      </c>
      <c r="G43" s="1170">
        <v>17.88</v>
      </c>
      <c r="H43" s="822"/>
      <c r="I43" s="1167">
        <v>10</v>
      </c>
      <c r="J43" s="1168" t="s">
        <v>183</v>
      </c>
      <c r="K43" s="1169">
        <v>3</v>
      </c>
      <c r="L43" s="1169" t="str">
        <f t="shared" si="1"/>
        <v>HEABC10</v>
      </c>
      <c r="M43" s="1170">
        <v>21.91</v>
      </c>
      <c r="N43" s="1263"/>
      <c r="W43" s="1249"/>
    </row>
    <row r="44" spans="3:23" x14ac:dyDescent="0.2">
      <c r="C44" s="1167">
        <v>11</v>
      </c>
      <c r="D44" s="1168" t="s">
        <v>168</v>
      </c>
      <c r="E44" s="1169">
        <v>3</v>
      </c>
      <c r="F44" s="1169" t="str">
        <f t="shared" si="0"/>
        <v>JJEP11</v>
      </c>
      <c r="G44" s="1170">
        <v>19.11</v>
      </c>
      <c r="H44" s="822"/>
      <c r="I44" s="1167">
        <v>11</v>
      </c>
      <c r="J44" s="1168" t="s">
        <v>183</v>
      </c>
      <c r="K44" s="1169">
        <v>3</v>
      </c>
      <c r="L44" s="1169" t="str">
        <f t="shared" si="1"/>
        <v>HEABC11</v>
      </c>
      <c r="M44" s="1170">
        <v>23.09</v>
      </c>
      <c r="N44" s="1263"/>
      <c r="W44" s="1249"/>
    </row>
    <row r="45" spans="3:23" x14ac:dyDescent="0.2">
      <c r="C45" s="1167">
        <v>12</v>
      </c>
      <c r="D45" s="1168" t="s">
        <v>168</v>
      </c>
      <c r="E45" s="1169">
        <v>3</v>
      </c>
      <c r="F45" s="1169" t="str">
        <f t="shared" si="0"/>
        <v>JJEP12</v>
      </c>
      <c r="G45" s="1170">
        <v>20.260000000000002</v>
      </c>
      <c r="H45" s="822"/>
      <c r="I45" s="1167">
        <v>12</v>
      </c>
      <c r="J45" s="1168" t="s">
        <v>183</v>
      </c>
      <c r="K45" s="1169">
        <v>3</v>
      </c>
      <c r="L45" s="1169" t="str">
        <f t="shared" si="1"/>
        <v>HEABC12</v>
      </c>
      <c r="M45" s="1170">
        <v>24.56</v>
      </c>
      <c r="N45" s="1263"/>
      <c r="W45" s="1249"/>
    </row>
    <row r="46" spans="3:23" x14ac:dyDescent="0.2">
      <c r="C46" s="1167">
        <v>13</v>
      </c>
      <c r="D46" s="1168" t="s">
        <v>168</v>
      </c>
      <c r="E46" s="1169">
        <v>3</v>
      </c>
      <c r="F46" s="1169" t="str">
        <f t="shared" si="0"/>
        <v>JJEP13</v>
      </c>
      <c r="G46" s="1170">
        <v>21.37</v>
      </c>
      <c r="H46" s="822"/>
      <c r="I46" s="1167" t="s">
        <v>233</v>
      </c>
      <c r="J46" s="1168" t="s">
        <v>183</v>
      </c>
      <c r="K46" s="1169">
        <v>3</v>
      </c>
      <c r="L46" s="1169" t="str">
        <f t="shared" si="1"/>
        <v>HEABCLPN</v>
      </c>
      <c r="M46" s="1170">
        <v>26.27</v>
      </c>
      <c r="N46" s="1263"/>
      <c r="W46" s="1249"/>
    </row>
    <row r="47" spans="3:23" x14ac:dyDescent="0.2">
      <c r="C47" s="1167">
        <v>14</v>
      </c>
      <c r="D47" s="1168" t="s">
        <v>168</v>
      </c>
      <c r="E47" s="1169">
        <v>3</v>
      </c>
      <c r="F47" s="1169" t="str">
        <f t="shared" si="0"/>
        <v>JJEP14</v>
      </c>
      <c r="G47" s="1170">
        <v>23.48</v>
      </c>
      <c r="H47" s="822"/>
      <c r="I47" s="1167">
        <v>13</v>
      </c>
      <c r="J47" s="1168" t="s">
        <v>183</v>
      </c>
      <c r="K47" s="1169">
        <v>3</v>
      </c>
      <c r="L47" s="1169" t="str">
        <f t="shared" si="1"/>
        <v>HEABC13</v>
      </c>
      <c r="M47" s="1170">
        <v>26.05</v>
      </c>
      <c r="N47" s="1263"/>
      <c r="W47" s="1249"/>
    </row>
    <row r="48" spans="3:23" x14ac:dyDescent="0.2">
      <c r="C48" s="1167">
        <v>15</v>
      </c>
      <c r="D48" s="1168" t="s">
        <v>168</v>
      </c>
      <c r="E48" s="1169">
        <v>3</v>
      </c>
      <c r="F48" s="1169" t="str">
        <f t="shared" si="0"/>
        <v>JJEP15</v>
      </c>
      <c r="G48" s="1170">
        <v>25.75</v>
      </c>
      <c r="H48" s="822"/>
      <c r="I48" s="1167">
        <v>14</v>
      </c>
      <c r="J48" s="1168" t="s">
        <v>183</v>
      </c>
      <c r="K48" s="1169">
        <v>3</v>
      </c>
      <c r="L48" s="1169" t="str">
        <f t="shared" si="1"/>
        <v>HEABC14</v>
      </c>
      <c r="M48" s="1170">
        <v>27.52</v>
      </c>
      <c r="N48" s="1263"/>
      <c r="W48" s="1249"/>
    </row>
    <row r="49" spans="3:23" x14ac:dyDescent="0.2">
      <c r="C49" s="1167">
        <v>16</v>
      </c>
      <c r="D49" s="1168" t="s">
        <v>168</v>
      </c>
      <c r="E49" s="1169">
        <v>3</v>
      </c>
      <c r="F49" s="1169" t="str">
        <f t="shared" si="0"/>
        <v>JJEP16</v>
      </c>
      <c r="G49" s="1170">
        <v>27.94</v>
      </c>
      <c r="H49" s="822"/>
      <c r="I49" s="1167">
        <v>15</v>
      </c>
      <c r="J49" s="1168" t="s">
        <v>183</v>
      </c>
      <c r="K49" s="1169">
        <v>3</v>
      </c>
      <c r="L49" s="1169" t="str">
        <f t="shared" si="1"/>
        <v>HEABC15</v>
      </c>
      <c r="M49" s="1170">
        <v>29.13</v>
      </c>
      <c r="N49" s="1263"/>
      <c r="W49" s="1249"/>
    </row>
    <row r="50" spans="3:23" x14ac:dyDescent="0.2">
      <c r="C50" s="1167">
        <v>17</v>
      </c>
      <c r="D50" s="1168" t="s">
        <v>168</v>
      </c>
      <c r="E50" s="1169">
        <v>3</v>
      </c>
      <c r="F50" s="1169" t="str">
        <f t="shared" si="0"/>
        <v>JJEP17</v>
      </c>
      <c r="G50" s="1170">
        <v>30.67</v>
      </c>
      <c r="H50" s="822"/>
      <c r="I50" s="1167">
        <v>16</v>
      </c>
      <c r="J50" s="1168" t="s">
        <v>183</v>
      </c>
      <c r="K50" s="1169">
        <v>3</v>
      </c>
      <c r="L50" s="1169" t="str">
        <f t="shared" si="1"/>
        <v>HEABC16</v>
      </c>
      <c r="M50" s="1170">
        <v>30.76</v>
      </c>
      <c r="N50" s="1263"/>
      <c r="W50" s="1249"/>
    </row>
    <row r="51" spans="3:23" x14ac:dyDescent="0.2">
      <c r="C51" s="1167">
        <v>18</v>
      </c>
      <c r="D51" s="1168" t="s">
        <v>168</v>
      </c>
      <c r="E51" s="1169">
        <v>3</v>
      </c>
      <c r="F51" s="1169" t="str">
        <f t="shared" si="0"/>
        <v>JJEP18</v>
      </c>
      <c r="G51" s="1170">
        <v>32.86</v>
      </c>
      <c r="H51" s="822"/>
      <c r="I51" s="1167">
        <v>17</v>
      </c>
      <c r="J51" s="1168" t="s">
        <v>183</v>
      </c>
      <c r="K51" s="1169">
        <v>3</v>
      </c>
      <c r="L51" s="1169" t="str">
        <f t="shared" si="1"/>
        <v>HEABC17</v>
      </c>
      <c r="M51" s="1170">
        <v>32.43</v>
      </c>
      <c r="N51" s="1263"/>
      <c r="W51" s="1249"/>
    </row>
    <row r="52" spans="3:23" x14ac:dyDescent="0.2">
      <c r="C52" s="1167">
        <v>19</v>
      </c>
      <c r="D52" s="1168" t="s">
        <v>168</v>
      </c>
      <c r="E52" s="1169">
        <v>3</v>
      </c>
      <c r="F52" s="1169" t="str">
        <f t="shared" si="0"/>
        <v>JJEP19</v>
      </c>
      <c r="G52" s="1170">
        <v>35.049999999999997</v>
      </c>
      <c r="H52" s="822"/>
      <c r="I52" s="1174"/>
      <c r="J52" s="1124"/>
      <c r="K52" s="1175"/>
      <c r="L52" s="1175"/>
      <c r="M52" s="1176"/>
      <c r="N52" s="1263"/>
      <c r="W52" s="1249"/>
    </row>
    <row r="53" spans="3:23" x14ac:dyDescent="0.2">
      <c r="C53" s="1167">
        <v>20</v>
      </c>
      <c r="D53" s="1168" t="s">
        <v>168</v>
      </c>
      <c r="E53" s="1169">
        <v>3</v>
      </c>
      <c r="F53" s="1169" t="str">
        <f t="shared" si="0"/>
        <v>JJEP20</v>
      </c>
      <c r="G53" s="1170">
        <v>38.33</v>
      </c>
      <c r="H53" s="822"/>
      <c r="I53" s="1174"/>
      <c r="J53" s="1124"/>
      <c r="K53" s="1175"/>
      <c r="L53" s="1175"/>
      <c r="M53" s="1176"/>
      <c r="N53" s="1263"/>
    </row>
    <row r="54" spans="3:23" x14ac:dyDescent="0.2">
      <c r="C54" s="1167">
        <v>13</v>
      </c>
      <c r="D54" s="1168" t="s">
        <v>169</v>
      </c>
      <c r="E54" s="1169">
        <v>3</v>
      </c>
      <c r="F54" s="1169" t="str">
        <f t="shared" si="0"/>
        <v>PP13</v>
      </c>
      <c r="G54" s="1170">
        <v>23.88</v>
      </c>
      <c r="H54" s="822"/>
      <c r="I54" s="1174"/>
      <c r="J54" s="1124"/>
      <c r="K54" s="1175"/>
      <c r="L54" s="1175"/>
      <c r="M54" s="1176"/>
      <c r="N54" s="1263"/>
    </row>
    <row r="55" spans="3:23" x14ac:dyDescent="0.2">
      <c r="C55" s="1167">
        <v>14</v>
      </c>
      <c r="D55" s="1168" t="s">
        <v>169</v>
      </c>
      <c r="E55" s="1169">
        <v>3</v>
      </c>
      <c r="F55" s="1169" t="str">
        <f t="shared" si="0"/>
        <v>PP14</v>
      </c>
      <c r="G55" s="1170">
        <v>26.37</v>
      </c>
      <c r="H55" s="822"/>
      <c r="I55" s="1174"/>
      <c r="J55" s="1124"/>
      <c r="K55" s="1175"/>
      <c r="L55" s="1175"/>
      <c r="M55" s="1176"/>
      <c r="N55" s="1263"/>
    </row>
    <row r="56" spans="3:23" x14ac:dyDescent="0.2">
      <c r="C56" s="1167">
        <v>15</v>
      </c>
      <c r="D56" s="1168" t="s">
        <v>169</v>
      </c>
      <c r="E56" s="1169">
        <v>3</v>
      </c>
      <c r="F56" s="1169" t="str">
        <f t="shared" si="0"/>
        <v>PP15</v>
      </c>
      <c r="G56" s="1170">
        <v>27.3</v>
      </c>
      <c r="H56" s="822"/>
      <c r="I56" s="1174"/>
      <c r="J56" s="1124"/>
      <c r="K56" s="1175"/>
      <c r="L56" s="1175"/>
      <c r="M56" s="1176"/>
      <c r="N56" s="1263"/>
    </row>
    <row r="57" spans="3:23" x14ac:dyDescent="0.2">
      <c r="C57" s="1167">
        <v>16</v>
      </c>
      <c r="D57" s="1168" t="s">
        <v>169</v>
      </c>
      <c r="E57" s="1169">
        <v>3</v>
      </c>
      <c r="F57" s="1169" t="str">
        <f t="shared" si="0"/>
        <v>PP16</v>
      </c>
      <c r="G57" s="1170">
        <v>30.26</v>
      </c>
      <c r="H57" s="822"/>
      <c r="I57" s="1174"/>
      <c r="J57" s="1124"/>
      <c r="K57" s="1175"/>
      <c r="L57" s="1175"/>
      <c r="M57" s="1176"/>
      <c r="N57" s="1263"/>
    </row>
    <row r="58" spans="3:23" x14ac:dyDescent="0.2">
      <c r="C58" s="1167">
        <v>17</v>
      </c>
      <c r="D58" s="1168" t="s">
        <v>169</v>
      </c>
      <c r="E58" s="1169">
        <v>3</v>
      </c>
      <c r="F58" s="1169" t="str">
        <f t="shared" si="0"/>
        <v>PP17</v>
      </c>
      <c r="G58" s="1170">
        <v>32.28</v>
      </c>
      <c r="H58" s="822"/>
      <c r="I58" s="1174"/>
      <c r="J58" s="1124"/>
      <c r="K58" s="1175"/>
      <c r="L58" s="1175"/>
      <c r="M58" s="1176"/>
      <c r="N58" s="1263"/>
    </row>
    <row r="59" spans="3:23" x14ac:dyDescent="0.2">
      <c r="C59" s="1167">
        <v>18</v>
      </c>
      <c r="D59" s="1168" t="s">
        <v>169</v>
      </c>
      <c r="E59" s="1169">
        <v>3</v>
      </c>
      <c r="F59" s="1169" t="str">
        <f t="shared" si="0"/>
        <v>PP18</v>
      </c>
      <c r="G59" s="1170">
        <v>34.5</v>
      </c>
      <c r="H59" s="822"/>
      <c r="I59" s="1174"/>
      <c r="J59" s="1124"/>
      <c r="K59" s="1175"/>
      <c r="L59" s="1175"/>
      <c r="M59" s="1176"/>
      <c r="N59" s="1263"/>
    </row>
    <row r="60" spans="3:23" x14ac:dyDescent="0.2">
      <c r="C60" s="1167">
        <v>19</v>
      </c>
      <c r="D60" s="1168" t="s">
        <v>169</v>
      </c>
      <c r="E60" s="1169">
        <v>3</v>
      </c>
      <c r="F60" s="1169" t="str">
        <f t="shared" si="0"/>
        <v>PP19</v>
      </c>
      <c r="G60" s="1170">
        <v>36.74</v>
      </c>
      <c r="H60" s="822"/>
      <c r="I60" s="1174"/>
      <c r="J60" s="1124"/>
      <c r="K60" s="1175"/>
      <c r="L60" s="1175"/>
      <c r="M60" s="1176"/>
      <c r="N60" s="1263"/>
    </row>
    <row r="61" spans="3:23" x14ac:dyDescent="0.2">
      <c r="C61" s="1167">
        <v>20</v>
      </c>
      <c r="D61" s="1168" t="s">
        <v>169</v>
      </c>
      <c r="E61" s="1169">
        <v>3</v>
      </c>
      <c r="F61" s="1169" t="str">
        <f t="shared" si="0"/>
        <v>PP20</v>
      </c>
      <c r="G61" s="1170">
        <v>40.06</v>
      </c>
      <c r="H61" s="822"/>
      <c r="I61" s="1174"/>
      <c r="J61" s="1124"/>
      <c r="K61" s="1175"/>
      <c r="L61" s="1175"/>
      <c r="M61" s="1176"/>
      <c r="N61" s="1263"/>
    </row>
    <row r="62" spans="3:23" x14ac:dyDescent="0.2">
      <c r="C62" s="1128"/>
      <c r="D62" s="272"/>
      <c r="E62" s="272"/>
      <c r="F62" s="272"/>
      <c r="G62" s="1171"/>
      <c r="I62" s="1128"/>
      <c r="J62" s="272"/>
      <c r="K62" s="272"/>
      <c r="L62" s="272"/>
      <c r="M62" s="1171"/>
    </row>
    <row r="63" spans="3:23" x14ac:dyDescent="0.2">
      <c r="C63" s="1128"/>
      <c r="D63" s="272"/>
      <c r="E63" s="272"/>
      <c r="F63" s="272"/>
      <c r="G63" s="1171"/>
      <c r="I63" s="1128"/>
      <c r="J63" s="272"/>
      <c r="K63" s="272"/>
      <c r="L63" s="272"/>
      <c r="M63" s="1171"/>
    </row>
    <row r="64" spans="3:23" ht="15" x14ac:dyDescent="0.3">
      <c r="C64" s="1164" t="s">
        <v>105</v>
      </c>
      <c r="D64" s="1165" t="s">
        <v>166</v>
      </c>
      <c r="E64" s="1165" t="s">
        <v>106</v>
      </c>
      <c r="F64" s="1165" t="s">
        <v>167</v>
      </c>
      <c r="G64" s="1166" t="s">
        <v>107</v>
      </c>
      <c r="I64" s="1164" t="s">
        <v>105</v>
      </c>
      <c r="J64" s="1165" t="s">
        <v>166</v>
      </c>
      <c r="K64" s="1165" t="s">
        <v>106</v>
      </c>
      <c r="L64" s="1165" t="s">
        <v>167</v>
      </c>
      <c r="M64" s="1166" t="s">
        <v>107</v>
      </c>
    </row>
    <row r="65" spans="3:15" x14ac:dyDescent="0.2">
      <c r="C65" s="1167">
        <v>1</v>
      </c>
      <c r="D65" s="1168" t="s">
        <v>168</v>
      </c>
      <c r="E65" s="1169">
        <v>4</v>
      </c>
      <c r="F65" s="1169" t="str">
        <f>CONCATENATE(D65,C65)</f>
        <v>JJEP1</v>
      </c>
      <c r="G65" s="1251">
        <v>14.54</v>
      </c>
      <c r="H65" s="1175"/>
      <c r="I65" s="1167">
        <v>1</v>
      </c>
      <c r="J65" s="1168" t="s">
        <v>183</v>
      </c>
      <c r="K65" s="1169">
        <v>4</v>
      </c>
      <c r="L65" s="1169" t="str">
        <f>CONCATENATE(J65,I65)</f>
        <v>HEABC1</v>
      </c>
      <c r="M65" s="1172">
        <v>16.579999999999998</v>
      </c>
      <c r="N65" s="1264"/>
      <c r="O65" s="1250"/>
    </row>
    <row r="66" spans="3:15" x14ac:dyDescent="0.2">
      <c r="C66" s="1167">
        <v>2</v>
      </c>
      <c r="D66" s="1168" t="s">
        <v>168</v>
      </c>
      <c r="E66" s="1169">
        <v>4</v>
      </c>
      <c r="F66" s="1169" t="str">
        <f t="shared" ref="F66:F92" si="2">CONCATENATE(D66,C66)</f>
        <v>JJEP2</v>
      </c>
      <c r="G66" s="1251">
        <v>14.99</v>
      </c>
      <c r="H66" s="1175"/>
      <c r="I66" s="1167">
        <v>2</v>
      </c>
      <c r="J66" s="1168" t="s">
        <v>183</v>
      </c>
      <c r="K66" s="1169">
        <v>4</v>
      </c>
      <c r="L66" s="1169" t="str">
        <f t="shared" ref="L66:L82" si="3">CONCATENATE(J66,I66)</f>
        <v>HEABC2</v>
      </c>
      <c r="M66" s="1172">
        <v>17.170000000000002</v>
      </c>
      <c r="N66" s="1264"/>
      <c r="O66" s="1250"/>
    </row>
    <row r="67" spans="3:15" x14ac:dyDescent="0.2">
      <c r="C67" s="1167">
        <v>3</v>
      </c>
      <c r="D67" s="1168" t="s">
        <v>168</v>
      </c>
      <c r="E67" s="1169">
        <v>4</v>
      </c>
      <c r="F67" s="1169" t="str">
        <f t="shared" si="2"/>
        <v>JJEP3</v>
      </c>
      <c r="G67" s="1251">
        <v>15.28</v>
      </c>
      <c r="H67" s="1175"/>
      <c r="I67" s="1167">
        <v>3</v>
      </c>
      <c r="J67" s="1168" t="s">
        <v>183</v>
      </c>
      <c r="K67" s="1169">
        <v>4</v>
      </c>
      <c r="L67" s="1169" t="str">
        <f t="shared" si="3"/>
        <v>HEABC3</v>
      </c>
      <c r="M67" s="1172">
        <v>17.78</v>
      </c>
      <c r="N67" s="1264"/>
      <c r="O67" s="1250"/>
    </row>
    <row r="68" spans="3:15" x14ac:dyDescent="0.2">
      <c r="C68" s="1167">
        <v>4</v>
      </c>
      <c r="D68" s="1168" t="s">
        <v>168</v>
      </c>
      <c r="E68" s="1169">
        <v>4</v>
      </c>
      <c r="F68" s="1169" t="str">
        <f t="shared" si="2"/>
        <v>JJEP4</v>
      </c>
      <c r="G68" s="1251">
        <v>15.57</v>
      </c>
      <c r="H68" s="1175"/>
      <c r="I68" s="1167">
        <v>4</v>
      </c>
      <c r="J68" s="1168" t="s">
        <v>183</v>
      </c>
      <c r="K68" s="1169">
        <v>4</v>
      </c>
      <c r="L68" s="1169" t="str">
        <f t="shared" si="3"/>
        <v>HEABC4</v>
      </c>
      <c r="M68" s="1172">
        <v>18.36</v>
      </c>
      <c r="N68" s="1264"/>
      <c r="O68" s="1250"/>
    </row>
    <row r="69" spans="3:15" x14ac:dyDescent="0.2">
      <c r="C69" s="1167">
        <v>5</v>
      </c>
      <c r="D69" s="1168" t="s">
        <v>168</v>
      </c>
      <c r="E69" s="1169">
        <v>4</v>
      </c>
      <c r="F69" s="1169" t="str">
        <f t="shared" si="2"/>
        <v>JJEP5</v>
      </c>
      <c r="G69" s="1251">
        <v>16.14</v>
      </c>
      <c r="H69" s="1175"/>
      <c r="I69" s="1167">
        <v>5</v>
      </c>
      <c r="J69" s="1168" t="s">
        <v>183</v>
      </c>
      <c r="K69" s="1169">
        <v>4</v>
      </c>
      <c r="L69" s="1169" t="str">
        <f t="shared" si="3"/>
        <v>HEABC5</v>
      </c>
      <c r="M69" s="1172">
        <v>18.95</v>
      </c>
      <c r="N69" s="1264"/>
      <c r="O69" s="1250"/>
    </row>
    <row r="70" spans="3:15" x14ac:dyDescent="0.2">
      <c r="C70" s="1167">
        <v>6</v>
      </c>
      <c r="D70" s="1168" t="s">
        <v>168</v>
      </c>
      <c r="E70" s="1169">
        <v>4</v>
      </c>
      <c r="F70" s="1169" t="str">
        <f t="shared" si="2"/>
        <v>JJEP6</v>
      </c>
      <c r="G70" s="1251">
        <v>16.72</v>
      </c>
      <c r="H70" s="1175"/>
      <c r="I70" s="1167">
        <v>6</v>
      </c>
      <c r="J70" s="1168" t="s">
        <v>183</v>
      </c>
      <c r="K70" s="1169">
        <v>4</v>
      </c>
      <c r="L70" s="1169" t="str">
        <f t="shared" si="3"/>
        <v>HEABC6</v>
      </c>
      <c r="M70" s="1172">
        <v>19.53</v>
      </c>
      <c r="N70" s="1264"/>
      <c r="O70" s="1250"/>
    </row>
    <row r="71" spans="3:15" x14ac:dyDescent="0.2">
      <c r="C71" s="1167">
        <v>7</v>
      </c>
      <c r="D71" s="1168" t="s">
        <v>168</v>
      </c>
      <c r="E71" s="1169">
        <v>4</v>
      </c>
      <c r="F71" s="1169" t="str">
        <f t="shared" si="2"/>
        <v>JJEP7</v>
      </c>
      <c r="G71" s="1251">
        <v>17.64</v>
      </c>
      <c r="H71" s="1175"/>
      <c r="I71" s="1167">
        <v>7</v>
      </c>
      <c r="J71" s="1168" t="s">
        <v>183</v>
      </c>
      <c r="K71" s="1169">
        <v>4</v>
      </c>
      <c r="L71" s="1169" t="str">
        <f t="shared" si="3"/>
        <v>HEABC7</v>
      </c>
      <c r="M71" s="1172">
        <v>20.14</v>
      </c>
      <c r="N71" s="1264"/>
      <c r="O71" s="1250"/>
    </row>
    <row r="72" spans="3:15" x14ac:dyDescent="0.2">
      <c r="C72" s="1167">
        <v>8</v>
      </c>
      <c r="D72" s="1168" t="s">
        <v>168</v>
      </c>
      <c r="E72" s="1169">
        <v>4</v>
      </c>
      <c r="F72" s="1169" t="str">
        <f t="shared" si="2"/>
        <v>JJEP8</v>
      </c>
      <c r="G72" s="1251">
        <v>18.05</v>
      </c>
      <c r="H72" s="1175"/>
      <c r="I72" s="1167">
        <v>8</v>
      </c>
      <c r="J72" s="1168" t="s">
        <v>183</v>
      </c>
      <c r="K72" s="1169">
        <v>4</v>
      </c>
      <c r="L72" s="1169" t="str">
        <f t="shared" si="3"/>
        <v>HEABC8</v>
      </c>
      <c r="M72" s="1172">
        <v>20.72</v>
      </c>
      <c r="N72" s="1264"/>
      <c r="O72" s="1250"/>
    </row>
    <row r="73" spans="3:15" x14ac:dyDescent="0.2">
      <c r="C73" s="1167">
        <v>9</v>
      </c>
      <c r="D73" s="1168" t="s">
        <v>168</v>
      </c>
      <c r="E73" s="1169">
        <v>4</v>
      </c>
      <c r="F73" s="1169" t="str">
        <f t="shared" si="2"/>
        <v>JJEP9</v>
      </c>
      <c r="G73" s="1251">
        <v>18.45</v>
      </c>
      <c r="H73" s="1175"/>
      <c r="I73" s="1167">
        <v>9</v>
      </c>
      <c r="J73" s="1168" t="s">
        <v>183</v>
      </c>
      <c r="K73" s="1169">
        <v>4</v>
      </c>
      <c r="L73" s="1169" t="str">
        <f t="shared" si="3"/>
        <v>HEABC9</v>
      </c>
      <c r="M73" s="1172">
        <v>21.59</v>
      </c>
      <c r="N73" s="1264"/>
      <c r="O73" s="1250"/>
    </row>
    <row r="74" spans="3:15" x14ac:dyDescent="0.2">
      <c r="C74" s="1167">
        <v>10</v>
      </c>
      <c r="D74" s="1168" t="s">
        <v>168</v>
      </c>
      <c r="E74" s="1169">
        <v>4</v>
      </c>
      <c r="F74" s="1169" t="str">
        <f t="shared" si="2"/>
        <v>JJEP10</v>
      </c>
      <c r="G74" s="1251">
        <v>18.82</v>
      </c>
      <c r="H74" s="1175"/>
      <c r="I74" s="1167">
        <v>10</v>
      </c>
      <c r="J74" s="1168" t="s">
        <v>183</v>
      </c>
      <c r="K74" s="1169">
        <v>4</v>
      </c>
      <c r="L74" s="1169" t="str">
        <f t="shared" si="3"/>
        <v>HEABC10</v>
      </c>
      <c r="M74" s="1172">
        <v>22.49</v>
      </c>
      <c r="N74" s="1264"/>
      <c r="O74" s="1250"/>
    </row>
    <row r="75" spans="3:15" x14ac:dyDescent="0.2">
      <c r="C75" s="1167">
        <v>11</v>
      </c>
      <c r="D75" s="1168" t="s">
        <v>168</v>
      </c>
      <c r="E75" s="1169">
        <v>4</v>
      </c>
      <c r="F75" s="1169" t="str">
        <f t="shared" si="2"/>
        <v>JJEP11</v>
      </c>
      <c r="G75" s="1251">
        <v>20.12</v>
      </c>
      <c r="H75" s="1175"/>
      <c r="I75" s="1167">
        <v>11</v>
      </c>
      <c r="J75" s="1168" t="s">
        <v>183</v>
      </c>
      <c r="K75" s="1169">
        <v>4</v>
      </c>
      <c r="L75" s="1169" t="str">
        <f t="shared" si="3"/>
        <v>HEABC11</v>
      </c>
      <c r="M75" s="1172">
        <v>23.67</v>
      </c>
      <c r="N75" s="1264"/>
      <c r="O75" s="1250"/>
    </row>
    <row r="76" spans="3:15" x14ac:dyDescent="0.2">
      <c r="C76" s="1167">
        <v>12</v>
      </c>
      <c r="D76" s="1168" t="s">
        <v>168</v>
      </c>
      <c r="E76" s="1169">
        <v>4</v>
      </c>
      <c r="F76" s="1169" t="str">
        <f t="shared" si="2"/>
        <v>JJEP12</v>
      </c>
      <c r="G76" s="1251">
        <v>21.33</v>
      </c>
      <c r="H76" s="1175"/>
      <c r="I76" s="1167">
        <v>12</v>
      </c>
      <c r="J76" s="1168" t="s">
        <v>183</v>
      </c>
      <c r="K76" s="1169">
        <v>4</v>
      </c>
      <c r="L76" s="1169" t="str">
        <f t="shared" si="3"/>
        <v>HEABC12</v>
      </c>
      <c r="M76" s="1172">
        <v>25.15</v>
      </c>
      <c r="N76" s="1264"/>
      <c r="O76" s="1250"/>
    </row>
    <row r="77" spans="3:15" x14ac:dyDescent="0.2">
      <c r="C77" s="1167">
        <v>13</v>
      </c>
      <c r="D77" s="1168" t="s">
        <v>168</v>
      </c>
      <c r="E77" s="1169">
        <v>4</v>
      </c>
      <c r="F77" s="1169" t="str">
        <f t="shared" si="2"/>
        <v>JJEP13</v>
      </c>
      <c r="G77" s="1251">
        <v>22.48</v>
      </c>
      <c r="H77" s="1175"/>
      <c r="I77" s="1167" t="s">
        <v>233</v>
      </c>
      <c r="J77" s="1168" t="s">
        <v>183</v>
      </c>
      <c r="K77" s="1169">
        <v>4</v>
      </c>
      <c r="L77" s="1169" t="str">
        <f t="shared" si="3"/>
        <v>HEABCLPN</v>
      </c>
      <c r="M77" s="1172">
        <v>27.07</v>
      </c>
      <c r="N77" s="1264"/>
      <c r="O77" s="1250"/>
    </row>
    <row r="78" spans="3:15" x14ac:dyDescent="0.2">
      <c r="C78" s="1167">
        <v>14</v>
      </c>
      <c r="D78" s="1168" t="s">
        <v>168</v>
      </c>
      <c r="E78" s="1169">
        <v>4</v>
      </c>
      <c r="F78" s="1169" t="str">
        <f t="shared" si="2"/>
        <v>JJEP14</v>
      </c>
      <c r="G78" s="1251">
        <v>24.7</v>
      </c>
      <c r="H78" s="1175"/>
      <c r="I78" s="1167">
        <v>13</v>
      </c>
      <c r="J78" s="1168" t="s">
        <v>183</v>
      </c>
      <c r="K78" s="1169">
        <v>4</v>
      </c>
      <c r="L78" s="1169" t="str">
        <f t="shared" si="3"/>
        <v>HEABC13</v>
      </c>
      <c r="M78" s="1172">
        <v>26.64</v>
      </c>
      <c r="N78" s="1264"/>
      <c r="O78" s="1250"/>
    </row>
    <row r="79" spans="3:15" x14ac:dyDescent="0.2">
      <c r="C79" s="1167">
        <v>15</v>
      </c>
      <c r="D79" s="1168" t="s">
        <v>168</v>
      </c>
      <c r="E79" s="1169">
        <v>4</v>
      </c>
      <c r="F79" s="1169" t="str">
        <f t="shared" si="2"/>
        <v>JJEP15</v>
      </c>
      <c r="G79" s="1251">
        <v>27.09</v>
      </c>
      <c r="H79" s="1175"/>
      <c r="I79" s="1167">
        <v>14</v>
      </c>
      <c r="J79" s="1168" t="s">
        <v>183</v>
      </c>
      <c r="K79" s="1169">
        <v>4</v>
      </c>
      <c r="L79" s="1169" t="str">
        <f t="shared" si="3"/>
        <v>HEABC14</v>
      </c>
      <c r="M79" s="1172">
        <v>28.13</v>
      </c>
      <c r="N79" s="1264"/>
      <c r="O79" s="1250"/>
    </row>
    <row r="80" spans="3:15" x14ac:dyDescent="0.2">
      <c r="C80" s="1167">
        <v>16</v>
      </c>
      <c r="D80" s="1168" t="s">
        <v>168</v>
      </c>
      <c r="E80" s="1169">
        <v>4</v>
      </c>
      <c r="F80" s="1169" t="str">
        <f t="shared" si="2"/>
        <v>JJEP16</v>
      </c>
      <c r="G80" s="1251">
        <v>29.4</v>
      </c>
      <c r="H80" s="1175"/>
      <c r="I80" s="1167">
        <v>15</v>
      </c>
      <c r="J80" s="1168" t="s">
        <v>183</v>
      </c>
      <c r="K80" s="1169">
        <v>4</v>
      </c>
      <c r="L80" s="1169" t="str">
        <f t="shared" si="3"/>
        <v>HEABC15</v>
      </c>
      <c r="M80" s="1172">
        <v>29.71</v>
      </c>
      <c r="N80" s="1264"/>
      <c r="O80" s="1250"/>
    </row>
    <row r="81" spans="2:15" x14ac:dyDescent="0.2">
      <c r="C81" s="1167">
        <v>17</v>
      </c>
      <c r="D81" s="1168" t="s">
        <v>168</v>
      </c>
      <c r="E81" s="1169">
        <v>4</v>
      </c>
      <c r="F81" s="1169" t="str">
        <f t="shared" si="2"/>
        <v>JJEP17</v>
      </c>
      <c r="G81" s="1251">
        <v>32.29</v>
      </c>
      <c r="H81" s="1175"/>
      <c r="I81" s="1167">
        <v>16</v>
      </c>
      <c r="J81" s="1168" t="s">
        <v>183</v>
      </c>
      <c r="K81" s="1169">
        <v>4</v>
      </c>
      <c r="L81" s="1169" t="str">
        <f t="shared" si="3"/>
        <v>HEABC16</v>
      </c>
      <c r="M81" s="1172">
        <v>31.34</v>
      </c>
      <c r="N81" s="1264"/>
      <c r="O81" s="1250"/>
    </row>
    <row r="82" spans="2:15" x14ac:dyDescent="0.2">
      <c r="C82" s="1167">
        <v>18</v>
      </c>
      <c r="D82" s="1168" t="s">
        <v>168</v>
      </c>
      <c r="E82" s="1169">
        <v>4</v>
      </c>
      <c r="F82" s="1169" t="str">
        <f t="shared" si="2"/>
        <v>JJEP18</v>
      </c>
      <c r="G82" s="1251">
        <v>34.590000000000003</v>
      </c>
      <c r="H82" s="1175"/>
      <c r="I82" s="1167">
        <v>17</v>
      </c>
      <c r="J82" s="1168" t="s">
        <v>183</v>
      </c>
      <c r="K82" s="1169">
        <v>4</v>
      </c>
      <c r="L82" s="1169" t="str">
        <f t="shared" si="3"/>
        <v>HEABC17</v>
      </c>
      <c r="M82" s="1172">
        <v>33.03</v>
      </c>
      <c r="N82" s="1264"/>
      <c r="O82" s="1250"/>
    </row>
    <row r="83" spans="2:15" x14ac:dyDescent="0.2">
      <c r="C83" s="1167">
        <v>19</v>
      </c>
      <c r="D83" s="1168" t="s">
        <v>168</v>
      </c>
      <c r="E83" s="1169">
        <v>4</v>
      </c>
      <c r="F83" s="1169" t="str">
        <f t="shared" si="2"/>
        <v>JJEP19</v>
      </c>
      <c r="G83" s="1251">
        <v>36.89</v>
      </c>
      <c r="H83" s="1175"/>
      <c r="I83" s="1174"/>
      <c r="J83" s="1124"/>
      <c r="K83" s="1175"/>
      <c r="L83" s="1175"/>
      <c r="M83" s="1177"/>
      <c r="N83" s="1264"/>
    </row>
    <row r="84" spans="2:15" x14ac:dyDescent="0.2">
      <c r="C84" s="1167">
        <v>20</v>
      </c>
      <c r="D84" s="1168" t="s">
        <v>168</v>
      </c>
      <c r="E84" s="1169">
        <v>4</v>
      </c>
      <c r="F84" s="1169" t="str">
        <f t="shared" si="2"/>
        <v>JJEP20</v>
      </c>
      <c r="G84" s="1251">
        <v>40.36</v>
      </c>
      <c r="H84" s="1175"/>
      <c r="I84" s="1174"/>
      <c r="J84" s="1124"/>
      <c r="K84" s="1175"/>
      <c r="L84" s="1175"/>
      <c r="M84" s="1177"/>
      <c r="N84" s="1264"/>
    </row>
    <row r="85" spans="2:15" x14ac:dyDescent="0.2">
      <c r="C85" s="1167">
        <v>13</v>
      </c>
      <c r="D85" s="1168" t="s">
        <v>169</v>
      </c>
      <c r="E85" s="1169">
        <v>4</v>
      </c>
      <c r="F85" s="1169" t="str">
        <f t="shared" si="2"/>
        <v>PP13</v>
      </c>
      <c r="G85" s="1251">
        <v>25.17</v>
      </c>
      <c r="H85" s="1175"/>
      <c r="I85" s="1174"/>
      <c r="J85" s="1124"/>
      <c r="K85" s="1175"/>
      <c r="L85" s="1175"/>
      <c r="M85" s="1177"/>
      <c r="N85" s="1264"/>
    </row>
    <row r="86" spans="2:15" x14ac:dyDescent="0.2">
      <c r="C86" s="1167">
        <v>14</v>
      </c>
      <c r="D86" s="1168" t="s">
        <v>169</v>
      </c>
      <c r="E86" s="1169">
        <v>4</v>
      </c>
      <c r="F86" s="1169" t="str">
        <f t="shared" si="2"/>
        <v>PP14</v>
      </c>
      <c r="G86" s="1251">
        <v>27.75</v>
      </c>
      <c r="H86" s="1175"/>
      <c r="I86" s="1174"/>
      <c r="J86" s="1124"/>
      <c r="K86" s="1175"/>
      <c r="L86" s="1175"/>
      <c r="M86" s="1177"/>
      <c r="N86" s="1264"/>
    </row>
    <row r="87" spans="2:15" x14ac:dyDescent="0.2">
      <c r="C87" s="1167">
        <v>15</v>
      </c>
      <c r="D87" s="1168" t="s">
        <v>169</v>
      </c>
      <c r="E87" s="1169">
        <v>4</v>
      </c>
      <c r="F87" s="1169" t="str">
        <f t="shared" si="2"/>
        <v>PP15</v>
      </c>
      <c r="G87" s="1251">
        <v>28.7</v>
      </c>
      <c r="H87" s="1175"/>
      <c r="I87" s="1174"/>
      <c r="J87" s="1124"/>
      <c r="K87" s="1175"/>
      <c r="L87" s="1175"/>
      <c r="M87" s="1177"/>
      <c r="N87" s="1264"/>
    </row>
    <row r="88" spans="2:15" x14ac:dyDescent="0.2">
      <c r="C88" s="1167">
        <v>16</v>
      </c>
      <c r="D88" s="1168" t="s">
        <v>169</v>
      </c>
      <c r="E88" s="1169">
        <v>4</v>
      </c>
      <c r="F88" s="1169" t="str">
        <f t="shared" si="2"/>
        <v>PP16</v>
      </c>
      <c r="G88" s="1251">
        <v>31.84</v>
      </c>
      <c r="H88" s="1175"/>
      <c r="I88" s="1174"/>
      <c r="J88" s="1124"/>
      <c r="K88" s="1175"/>
      <c r="L88" s="1175"/>
      <c r="M88" s="1177"/>
      <c r="N88" s="1264"/>
    </row>
    <row r="89" spans="2:15" x14ac:dyDescent="0.2">
      <c r="C89" s="1167">
        <v>17</v>
      </c>
      <c r="D89" s="1168" t="s">
        <v>169</v>
      </c>
      <c r="E89" s="1169">
        <v>4</v>
      </c>
      <c r="F89" s="1169" t="str">
        <f t="shared" si="2"/>
        <v>PP17</v>
      </c>
      <c r="G89" s="1251">
        <v>33.99</v>
      </c>
      <c r="H89" s="1175"/>
      <c r="I89" s="1174"/>
      <c r="J89" s="1124"/>
      <c r="K89" s="1175"/>
      <c r="L89" s="1175"/>
      <c r="M89" s="1177"/>
      <c r="N89" s="1264"/>
    </row>
    <row r="90" spans="2:15" x14ac:dyDescent="0.2">
      <c r="C90" s="1167">
        <v>18</v>
      </c>
      <c r="D90" s="1168" t="s">
        <v>169</v>
      </c>
      <c r="E90" s="1169">
        <v>4</v>
      </c>
      <c r="F90" s="1169" t="str">
        <f t="shared" si="2"/>
        <v>PP18</v>
      </c>
      <c r="G90" s="1251">
        <v>36.35</v>
      </c>
      <c r="H90" s="1175"/>
      <c r="I90" s="1174"/>
      <c r="J90" s="1124"/>
      <c r="K90" s="1175"/>
      <c r="L90" s="1175"/>
      <c r="M90" s="1177"/>
      <c r="N90" s="1264"/>
    </row>
    <row r="91" spans="2:15" x14ac:dyDescent="0.2">
      <c r="C91" s="1167">
        <v>19</v>
      </c>
      <c r="D91" s="1168" t="s">
        <v>169</v>
      </c>
      <c r="E91" s="1169">
        <v>4</v>
      </c>
      <c r="F91" s="1169" t="str">
        <f t="shared" si="2"/>
        <v>PP19</v>
      </c>
      <c r="G91" s="1251">
        <v>38.659999999999997</v>
      </c>
      <c r="H91" s="1175"/>
      <c r="I91" s="1174"/>
      <c r="J91" s="1124"/>
      <c r="K91" s="1175"/>
      <c r="L91" s="1175"/>
      <c r="M91" s="1177"/>
      <c r="N91" s="1264"/>
    </row>
    <row r="92" spans="2:15" x14ac:dyDescent="0.2">
      <c r="C92" s="1167">
        <v>20</v>
      </c>
      <c r="D92" s="1168" t="s">
        <v>169</v>
      </c>
      <c r="E92" s="1169">
        <v>4</v>
      </c>
      <c r="F92" s="1169" t="str">
        <f t="shared" si="2"/>
        <v>PP20</v>
      </c>
      <c r="G92" s="1251">
        <v>42.19</v>
      </c>
      <c r="H92" s="1175"/>
      <c r="I92" s="1174"/>
      <c r="J92" s="1124"/>
      <c r="K92" s="1175"/>
      <c r="L92" s="1175"/>
      <c r="M92" s="1177"/>
      <c r="N92" s="1264"/>
    </row>
    <row r="93" spans="2:15" ht="13.5" thickBot="1" x14ac:dyDescent="0.25">
      <c r="C93" s="1132"/>
      <c r="D93" s="553"/>
      <c r="E93" s="553"/>
      <c r="F93" s="553"/>
      <c r="G93" s="1173"/>
      <c r="I93" s="1132"/>
      <c r="J93" s="553"/>
      <c r="K93" s="553"/>
      <c r="L93" s="553"/>
      <c r="M93" s="1173"/>
    </row>
    <row r="95" spans="2:15" ht="18" x14ac:dyDescent="0.25">
      <c r="B95" s="1766" t="s">
        <v>74</v>
      </c>
      <c r="C95" s="1766"/>
      <c r="D95" s="1766"/>
      <c r="E95" s="1766"/>
      <c r="F95" s="1766"/>
      <c r="G95" s="1766"/>
      <c r="H95" s="1766"/>
      <c r="I95" s="1766"/>
      <c r="J95" s="1766"/>
      <c r="K95" s="1766"/>
      <c r="L95" s="1766"/>
      <c r="M95" s="1766"/>
    </row>
    <row r="97" spans="2:16" ht="43.15" customHeight="1" x14ac:dyDescent="0.2">
      <c r="C97" s="391" t="s">
        <v>331</v>
      </c>
      <c r="E97" s="1767" t="s">
        <v>332</v>
      </c>
      <c r="F97" s="1767"/>
      <c r="G97" s="1767"/>
      <c r="H97" s="1767"/>
      <c r="I97" s="1767"/>
      <c r="J97" s="1767"/>
      <c r="K97" s="1767"/>
      <c r="L97" s="1767"/>
      <c r="M97" s="1767"/>
    </row>
    <row r="98" spans="2:16" ht="8.25" customHeight="1" x14ac:dyDescent="0.2">
      <c r="B98" s="38"/>
    </row>
    <row r="99" spans="2:16" ht="15" customHeight="1" x14ac:dyDescent="0.2">
      <c r="B99" s="38" t="s">
        <v>831</v>
      </c>
    </row>
    <row r="100" spans="2:16" ht="9" customHeight="1" thickBot="1" x14ac:dyDescent="0.25">
      <c r="B100" s="38"/>
    </row>
    <row r="101" spans="2:16" s="40" customFormat="1" ht="15.75" x14ac:dyDescent="0.25">
      <c r="B101" s="1755" t="s">
        <v>46</v>
      </c>
      <c r="C101" s="1756"/>
      <c r="D101" s="1756"/>
      <c r="E101" s="1757"/>
      <c r="F101" s="1727" t="s">
        <v>184</v>
      </c>
      <c r="G101" s="1728"/>
      <c r="H101" s="1728"/>
      <c r="I101" s="1729"/>
      <c r="J101" s="1736" t="s">
        <v>128</v>
      </c>
      <c r="P101" s="1123"/>
    </row>
    <row r="102" spans="2:16" ht="13.5" thickBot="1" x14ac:dyDescent="0.25">
      <c r="B102" s="1758"/>
      <c r="C102" s="1759"/>
      <c r="D102" s="1759"/>
      <c r="E102" s="1760"/>
      <c r="F102" s="1770" t="s">
        <v>48</v>
      </c>
      <c r="G102" s="1771"/>
      <c r="H102" s="1770" t="s">
        <v>49</v>
      </c>
      <c r="I102" s="1771"/>
      <c r="J102" s="1761"/>
    </row>
    <row r="103" spans="2:16" x14ac:dyDescent="0.2">
      <c r="B103" s="1160" t="s">
        <v>51</v>
      </c>
      <c r="C103" s="1161"/>
      <c r="D103" s="283"/>
      <c r="E103" s="283"/>
      <c r="F103" s="1778" t="s">
        <v>839</v>
      </c>
      <c r="G103" s="1779"/>
      <c r="H103" s="1778" t="s">
        <v>839</v>
      </c>
      <c r="I103" s="1779"/>
      <c r="J103" s="1162" t="s">
        <v>129</v>
      </c>
    </row>
    <row r="104" spans="2:16" x14ac:dyDescent="0.2">
      <c r="B104" s="1129" t="s">
        <v>452</v>
      </c>
      <c r="C104" s="272"/>
      <c r="D104" s="272"/>
      <c r="E104" s="272"/>
      <c r="F104" s="1740">
        <f>SUM(F105,F109)</f>
        <v>0.17070000000000002</v>
      </c>
      <c r="G104" s="1741"/>
      <c r="H104" s="1740">
        <f>SUM(H105,H109)</f>
        <v>0.1835</v>
      </c>
      <c r="I104" s="1741"/>
      <c r="J104" s="1130" t="s">
        <v>129</v>
      </c>
      <c r="K104" s="38"/>
    </row>
    <row r="105" spans="2:16" x14ac:dyDescent="0.2">
      <c r="B105" s="1128"/>
      <c r="C105" s="1125" t="s">
        <v>115</v>
      </c>
      <c r="D105" s="272"/>
      <c r="E105" s="272"/>
      <c r="F105" s="1742">
        <f>SUM(F106:F108)</f>
        <v>8.3000000000000004E-2</v>
      </c>
      <c r="G105" s="1743"/>
      <c r="H105" s="1742">
        <f>SUM(H106:H108)</f>
        <v>9.5799999999999996E-2</v>
      </c>
      <c r="I105" s="1743"/>
      <c r="J105" s="1130" t="s">
        <v>129</v>
      </c>
      <c r="K105" s="38" t="s">
        <v>159</v>
      </c>
    </row>
    <row r="106" spans="2:16" x14ac:dyDescent="0.2">
      <c r="B106" s="1128"/>
      <c r="C106" s="1126" t="s">
        <v>444</v>
      </c>
      <c r="D106" s="272"/>
      <c r="E106" s="272"/>
      <c r="F106" s="1259">
        <v>4.4499999999999998E-2</v>
      </c>
      <c r="G106" s="1134"/>
      <c r="H106" s="1259">
        <v>4.4499999999999998E-2</v>
      </c>
      <c r="I106" s="1134"/>
      <c r="J106" s="1130" t="s">
        <v>129</v>
      </c>
      <c r="K106" s="38" t="s">
        <v>159</v>
      </c>
    </row>
    <row r="107" spans="2:16" x14ac:dyDescent="0.2">
      <c r="B107" s="1128"/>
      <c r="C107" s="1126" t="s">
        <v>445</v>
      </c>
      <c r="D107" s="272"/>
      <c r="E107" s="272"/>
      <c r="F107" s="1259">
        <v>2.63E-2</v>
      </c>
      <c r="G107" s="1134"/>
      <c r="H107" s="1259">
        <v>2.63E-2</v>
      </c>
      <c r="I107" s="1134"/>
      <c r="J107" s="1130" t="s">
        <v>129</v>
      </c>
      <c r="K107" s="38" t="s">
        <v>159</v>
      </c>
    </row>
    <row r="108" spans="2:16" x14ac:dyDescent="0.2">
      <c r="B108" s="1128"/>
      <c r="C108" s="1126" t="s">
        <v>446</v>
      </c>
      <c r="D108" s="272"/>
      <c r="E108" s="272"/>
      <c r="F108" s="1259">
        <v>1.2200000000000001E-2</v>
      </c>
      <c r="G108" s="1134"/>
      <c r="H108" s="1259">
        <v>2.5000000000000001E-2</v>
      </c>
      <c r="I108" s="1134"/>
      <c r="J108" s="1130" t="s">
        <v>129</v>
      </c>
      <c r="K108" s="38" t="s">
        <v>159</v>
      </c>
    </row>
    <row r="109" spans="2:16" x14ac:dyDescent="0.2">
      <c r="B109" s="1128"/>
      <c r="C109" s="508" t="s">
        <v>804</v>
      </c>
      <c r="D109" s="272"/>
      <c r="E109" s="272"/>
      <c r="F109" s="1742">
        <f>SUM(F110:F114)</f>
        <v>8.77E-2</v>
      </c>
      <c r="G109" s="1743"/>
      <c r="H109" s="1742">
        <f>SUM(H110:H114)</f>
        <v>8.77E-2</v>
      </c>
      <c r="I109" s="1743"/>
      <c r="J109" s="1130" t="s">
        <v>129</v>
      </c>
      <c r="K109" s="38" t="s">
        <v>159</v>
      </c>
    </row>
    <row r="110" spans="2:16" x14ac:dyDescent="0.2">
      <c r="B110" s="1128"/>
      <c r="C110" s="1126" t="s">
        <v>447</v>
      </c>
      <c r="D110" s="272"/>
      <c r="E110" s="272"/>
      <c r="F110" s="1259">
        <v>2.1700000000000001E-2</v>
      </c>
      <c r="G110" s="1135"/>
      <c r="H110" s="1259">
        <v>2.1700000000000001E-2</v>
      </c>
      <c r="I110" s="1135"/>
      <c r="J110" s="1130" t="s">
        <v>129</v>
      </c>
      <c r="K110" s="38" t="s">
        <v>159</v>
      </c>
    </row>
    <row r="111" spans="2:16" x14ac:dyDescent="0.2">
      <c r="B111" s="1128"/>
      <c r="C111" s="1126" t="s">
        <v>448</v>
      </c>
      <c r="D111" s="272"/>
      <c r="E111" s="272"/>
      <c r="F111" s="1259">
        <v>3.4799999999999998E-2</v>
      </c>
      <c r="G111" s="1135"/>
      <c r="H111" s="1259">
        <v>3.4799999999999998E-2</v>
      </c>
      <c r="I111" s="1135"/>
      <c r="J111" s="1130" t="s">
        <v>129</v>
      </c>
      <c r="K111" s="38" t="s">
        <v>159</v>
      </c>
    </row>
    <row r="112" spans="2:16" x14ac:dyDescent="0.2">
      <c r="B112" s="1128"/>
      <c r="C112" s="1126" t="s">
        <v>449</v>
      </c>
      <c r="D112" s="272"/>
      <c r="E112" s="272"/>
      <c r="F112" s="1259">
        <v>2.8400000000000002E-2</v>
      </c>
      <c r="G112" s="1135"/>
      <c r="H112" s="1259">
        <v>2.8400000000000002E-2</v>
      </c>
      <c r="I112" s="1135"/>
      <c r="J112" s="1130" t="s">
        <v>129</v>
      </c>
      <c r="K112" s="38" t="s">
        <v>159</v>
      </c>
    </row>
    <row r="113" spans="2:19" x14ac:dyDescent="0.2">
      <c r="B113" s="1128"/>
      <c r="C113" s="1126" t="s">
        <v>450</v>
      </c>
      <c r="D113" s="272"/>
      <c r="E113" s="272"/>
      <c r="F113" s="1259">
        <v>2.2000000000000001E-3</v>
      </c>
      <c r="G113" s="1135"/>
      <c r="H113" s="1259">
        <v>2.2000000000000001E-3</v>
      </c>
      <c r="I113" s="1135"/>
      <c r="J113" s="1130" t="s">
        <v>129</v>
      </c>
      <c r="K113" s="38" t="s">
        <v>159</v>
      </c>
    </row>
    <row r="114" spans="2:19" x14ac:dyDescent="0.2">
      <c r="B114" s="1140"/>
      <c r="C114" s="1141" t="s">
        <v>451</v>
      </c>
      <c r="D114" s="283"/>
      <c r="E114" s="283"/>
      <c r="F114" s="1260">
        <v>5.9999999999999995E-4</v>
      </c>
      <c r="G114" s="1143"/>
      <c r="H114" s="1260">
        <v>5.9999999999999995E-4</v>
      </c>
      <c r="I114" s="1143"/>
      <c r="J114" s="1144" t="s">
        <v>129</v>
      </c>
      <c r="K114" s="38" t="s">
        <v>159</v>
      </c>
    </row>
    <row r="115" spans="2:19" x14ac:dyDescent="0.2">
      <c r="B115" s="1145" t="s">
        <v>182</v>
      </c>
      <c r="C115" s="1146"/>
      <c r="D115" s="269"/>
      <c r="E115" s="269"/>
      <c r="F115" s="1790" t="s">
        <v>164</v>
      </c>
      <c r="G115" s="1791"/>
      <c r="H115" s="1790" t="s">
        <v>164</v>
      </c>
      <c r="I115" s="1791"/>
      <c r="J115" s="1147" t="s">
        <v>164</v>
      </c>
      <c r="K115" s="38"/>
    </row>
    <row r="116" spans="2:19" x14ac:dyDescent="0.2">
      <c r="B116" s="1131" t="s">
        <v>783</v>
      </c>
      <c r="C116" s="1127"/>
      <c r="D116" s="272"/>
      <c r="E116" s="272"/>
      <c r="F116" s="1788">
        <v>4.4999999999999998E-2</v>
      </c>
      <c r="G116" s="1789"/>
      <c r="H116" s="1788">
        <v>4.4999999999999998E-2</v>
      </c>
      <c r="I116" s="1789"/>
      <c r="J116" s="1130" t="s">
        <v>344</v>
      </c>
      <c r="K116" s="38"/>
    </row>
    <row r="117" spans="2:19" x14ac:dyDescent="0.2">
      <c r="B117" s="1148" t="s">
        <v>782</v>
      </c>
      <c r="C117" s="1149"/>
      <c r="D117" s="283"/>
      <c r="E117" s="283"/>
      <c r="F117" s="1786">
        <v>7.5600000000000001E-2</v>
      </c>
      <c r="G117" s="1787"/>
      <c r="H117" s="1786">
        <v>7.5600000000000001E-2</v>
      </c>
      <c r="I117" s="1787"/>
      <c r="J117" s="1150" t="s">
        <v>344</v>
      </c>
      <c r="K117" s="38"/>
    </row>
    <row r="118" spans="2:19" ht="12.75" customHeight="1" x14ac:dyDescent="0.2">
      <c r="B118" s="1151" t="s">
        <v>52</v>
      </c>
      <c r="C118" s="1152"/>
      <c r="D118" s="1153"/>
      <c r="E118" s="1153"/>
      <c r="F118" s="1784">
        <v>26.57</v>
      </c>
      <c r="G118" s="1785"/>
      <c r="H118" s="1784">
        <v>26.57</v>
      </c>
      <c r="I118" s="1785"/>
      <c r="J118" s="1154" t="s">
        <v>129</v>
      </c>
      <c r="K118" s="54"/>
      <c r="R118" s="52"/>
      <c r="S118" s="52"/>
    </row>
    <row r="119" spans="2:19" x14ac:dyDescent="0.2">
      <c r="B119" s="1151" t="s">
        <v>453</v>
      </c>
      <c r="C119" s="1152"/>
      <c r="D119" s="1153"/>
      <c r="E119" s="1153"/>
      <c r="F119" s="1782">
        <f>F104</f>
        <v>0.17070000000000002</v>
      </c>
      <c r="G119" s="1783"/>
      <c r="H119" s="1782">
        <f>H104</f>
        <v>0.1835</v>
      </c>
      <c r="I119" s="1783"/>
      <c r="J119" s="1155" t="s">
        <v>129</v>
      </c>
      <c r="K119" s="38" t="s">
        <v>163</v>
      </c>
    </row>
    <row r="120" spans="2:19" x14ac:dyDescent="0.2">
      <c r="B120" s="1129" t="s">
        <v>336</v>
      </c>
      <c r="C120" s="70"/>
      <c r="D120" s="272"/>
      <c r="E120" s="272"/>
      <c r="F120" s="1136">
        <f>SUM(F121:F124)</f>
        <v>0.13830000000000001</v>
      </c>
      <c r="G120" s="1137">
        <f>SUM(G121:G124)</f>
        <v>35.957999999999998</v>
      </c>
      <c r="H120" s="1136">
        <f>SUM(H121:H124)</f>
        <v>0.20750000000000002</v>
      </c>
      <c r="I120" s="1137">
        <f>SUM(I121:I124)</f>
        <v>53.957999999999998</v>
      </c>
      <c r="J120" s="1130" t="s">
        <v>129</v>
      </c>
      <c r="K120" s="38"/>
    </row>
    <row r="121" spans="2:19" x14ac:dyDescent="0.2">
      <c r="B121" s="1128"/>
      <c r="C121" s="1125" t="s">
        <v>340</v>
      </c>
      <c r="D121" s="272"/>
      <c r="E121" s="272"/>
      <c r="F121" s="1133">
        <v>7.8299999999999995E-2</v>
      </c>
      <c r="G121" s="1138">
        <f>F121*260</f>
        <v>20.357999999999997</v>
      </c>
      <c r="H121" s="1133">
        <v>7.8299999999999995E-2</v>
      </c>
      <c r="I121" s="1139">
        <f>H121*260</f>
        <v>20.357999999999997</v>
      </c>
      <c r="J121" s="1130" t="s">
        <v>129</v>
      </c>
      <c r="K121" s="38"/>
    </row>
    <row r="122" spans="2:19" x14ac:dyDescent="0.2">
      <c r="B122" s="1128"/>
      <c r="C122" s="1125" t="s">
        <v>341</v>
      </c>
      <c r="D122" s="272"/>
      <c r="E122" s="272"/>
      <c r="F122" s="1133">
        <v>3.4599999999999999E-2</v>
      </c>
      <c r="G122" s="1138">
        <f>F122*260</f>
        <v>8.9960000000000004</v>
      </c>
      <c r="H122" s="1133">
        <v>3.4599999999999999E-2</v>
      </c>
      <c r="I122" s="1139">
        <f>H122*260</f>
        <v>8.9960000000000004</v>
      </c>
      <c r="J122" s="1130" t="s">
        <v>129</v>
      </c>
      <c r="K122" s="38"/>
    </row>
    <row r="123" spans="2:19" x14ac:dyDescent="0.2">
      <c r="B123" s="1128"/>
      <c r="C123" s="1125" t="s">
        <v>342</v>
      </c>
      <c r="D123" s="272"/>
      <c r="E123" s="272"/>
      <c r="F123" s="1133">
        <v>2.5399999999999999E-2</v>
      </c>
      <c r="G123" s="1138">
        <f>F123*260</f>
        <v>6.6040000000000001</v>
      </c>
      <c r="H123" s="1133">
        <v>2.5399999999999999E-2</v>
      </c>
      <c r="I123" s="1139">
        <f>H123*260</f>
        <v>6.6040000000000001</v>
      </c>
      <c r="J123" s="1130" t="s">
        <v>129</v>
      </c>
      <c r="K123" s="38"/>
    </row>
    <row r="124" spans="2:19" x14ac:dyDescent="0.2">
      <c r="B124" s="1140"/>
      <c r="C124" s="1156" t="s">
        <v>343</v>
      </c>
      <c r="D124" s="283"/>
      <c r="E124" s="283"/>
      <c r="F124" s="1142">
        <v>0</v>
      </c>
      <c r="G124" s="1158">
        <f>F124*260</f>
        <v>0</v>
      </c>
      <c r="H124" s="1157">
        <f>ROUND(I124/260,4)</f>
        <v>6.9199999999999998E-2</v>
      </c>
      <c r="I124" s="1159">
        <f>12*1.5</f>
        <v>18</v>
      </c>
      <c r="J124" s="1144" t="s">
        <v>129</v>
      </c>
      <c r="K124" s="38"/>
    </row>
    <row r="125" spans="2:19" x14ac:dyDescent="0.2">
      <c r="B125" s="1129" t="s">
        <v>53</v>
      </c>
      <c r="C125" s="272"/>
      <c r="D125" s="272"/>
      <c r="E125" s="272"/>
      <c r="F125" s="1740">
        <f>SUM(F126,F130,F131)</f>
        <v>0.18709999999999999</v>
      </c>
      <c r="G125" s="1741"/>
      <c r="H125" s="1740">
        <f>SUM(H126,H130,H131)</f>
        <v>0.19989999999999999</v>
      </c>
      <c r="I125" s="1741"/>
      <c r="J125" s="1130" t="s">
        <v>129</v>
      </c>
      <c r="K125" s="38"/>
    </row>
    <row r="126" spans="2:19" x14ac:dyDescent="0.2">
      <c r="B126" s="1128"/>
      <c r="C126" s="1125" t="s">
        <v>115</v>
      </c>
      <c r="D126" s="272"/>
      <c r="E126" s="272"/>
      <c r="F126" s="1742">
        <f>SUM(F127:F129)</f>
        <v>8.3000000000000004E-2</v>
      </c>
      <c r="G126" s="1743"/>
      <c r="H126" s="1742">
        <f>SUM(H127:H129)</f>
        <v>9.5799999999999996E-2</v>
      </c>
      <c r="I126" s="1743"/>
      <c r="J126" s="1130" t="s">
        <v>129</v>
      </c>
      <c r="K126" s="38"/>
    </row>
    <row r="127" spans="2:19" x14ac:dyDescent="0.2">
      <c r="B127" s="1128"/>
      <c r="C127" s="1126" t="s">
        <v>444</v>
      </c>
      <c r="D127" s="272"/>
      <c r="E127" s="272"/>
      <c r="F127" s="1259">
        <f>F106</f>
        <v>4.4499999999999998E-2</v>
      </c>
      <c r="G127" s="1135"/>
      <c r="H127" s="1259">
        <f>H106</f>
        <v>4.4499999999999998E-2</v>
      </c>
      <c r="I127" s="1135"/>
      <c r="J127" s="1130" t="s">
        <v>129</v>
      </c>
      <c r="K127" s="38"/>
    </row>
    <row r="128" spans="2:19" x14ac:dyDescent="0.2">
      <c r="B128" s="1128"/>
      <c r="C128" s="1126" t="s">
        <v>445</v>
      </c>
      <c r="D128" s="272"/>
      <c r="E128" s="272"/>
      <c r="F128" s="1259">
        <f>F107</f>
        <v>2.63E-2</v>
      </c>
      <c r="G128" s="1135"/>
      <c r="H128" s="1259">
        <f>H107</f>
        <v>2.63E-2</v>
      </c>
      <c r="I128" s="1135"/>
      <c r="J128" s="1130" t="s">
        <v>129</v>
      </c>
      <c r="K128" s="38"/>
    </row>
    <row r="129" spans="2:18" x14ac:dyDescent="0.2">
      <c r="B129" s="1128"/>
      <c r="C129" s="1126" t="s">
        <v>446</v>
      </c>
      <c r="D129" s="272"/>
      <c r="E129" s="272"/>
      <c r="F129" s="1259">
        <f>F108</f>
        <v>1.2200000000000001E-2</v>
      </c>
      <c r="G129" s="1135"/>
      <c r="H129" s="1259">
        <f>H108</f>
        <v>2.5000000000000001E-2</v>
      </c>
      <c r="I129" s="1135"/>
      <c r="J129" s="1130" t="s">
        <v>129</v>
      </c>
      <c r="K129" s="38"/>
    </row>
    <row r="130" spans="2:18" x14ac:dyDescent="0.2">
      <c r="B130" s="1128"/>
      <c r="C130" s="1125" t="s">
        <v>117</v>
      </c>
      <c r="D130" s="272"/>
      <c r="E130" s="272"/>
      <c r="F130" s="1744">
        <v>9.8000000000000004E-2</v>
      </c>
      <c r="G130" s="1745"/>
      <c r="H130" s="1744">
        <v>9.8000000000000004E-2</v>
      </c>
      <c r="I130" s="1745"/>
      <c r="J130" s="1130" t="s">
        <v>129</v>
      </c>
      <c r="K130" s="54"/>
      <c r="L130" s="52"/>
    </row>
    <row r="131" spans="2:18" x14ac:dyDescent="0.2">
      <c r="B131" s="1140"/>
      <c r="C131" s="1156" t="s">
        <v>118</v>
      </c>
      <c r="D131" s="283"/>
      <c r="E131" s="283"/>
      <c r="F131" s="1780">
        <v>6.1000000000000004E-3</v>
      </c>
      <c r="G131" s="1781"/>
      <c r="H131" s="1780">
        <v>6.1000000000000004E-3</v>
      </c>
      <c r="I131" s="1781"/>
      <c r="J131" s="1144" t="s">
        <v>129</v>
      </c>
      <c r="K131" s="38"/>
    </row>
    <row r="132" spans="2:18" x14ac:dyDescent="0.2">
      <c r="B132" s="1129" t="s">
        <v>337</v>
      </c>
      <c r="C132" s="70"/>
      <c r="D132" s="272"/>
      <c r="E132" s="272"/>
      <c r="F132" s="1136">
        <f>SUM(F133:F136)</f>
        <v>0.13830000000000001</v>
      </c>
      <c r="G132" s="1137">
        <f>SUM(G133:G136)</f>
        <v>35.957999999999998</v>
      </c>
      <c r="H132" s="1136">
        <f>SUM(H133:H136)</f>
        <v>0.1845</v>
      </c>
      <c r="I132" s="1137">
        <f>SUM(I133:I136)</f>
        <v>47.957999999999998</v>
      </c>
      <c r="J132" s="1130" t="s">
        <v>129</v>
      </c>
      <c r="K132" s="38"/>
    </row>
    <row r="133" spans="2:18" x14ac:dyDescent="0.2">
      <c r="B133" s="1128"/>
      <c r="C133" s="1125" t="s">
        <v>340</v>
      </c>
      <c r="D133" s="272"/>
      <c r="E133" s="272"/>
      <c r="F133" s="1133">
        <v>7.8299999999999995E-2</v>
      </c>
      <c r="G133" s="1138">
        <f>F133*260</f>
        <v>20.357999999999997</v>
      </c>
      <c r="H133" s="1133">
        <v>7.8299999999999995E-2</v>
      </c>
      <c r="I133" s="1139">
        <f>H133*260</f>
        <v>20.357999999999997</v>
      </c>
      <c r="J133" s="1130" t="s">
        <v>129</v>
      </c>
      <c r="K133" s="561"/>
      <c r="R133" s="562"/>
    </row>
    <row r="134" spans="2:18" x14ac:dyDescent="0.2">
      <c r="B134" s="1128"/>
      <c r="C134" s="1125" t="s">
        <v>341</v>
      </c>
      <c r="D134" s="272"/>
      <c r="E134" s="272"/>
      <c r="F134" s="1133">
        <v>3.4599999999999999E-2</v>
      </c>
      <c r="G134" s="1138">
        <f>F134*260</f>
        <v>8.9960000000000004</v>
      </c>
      <c r="H134" s="1133">
        <v>3.4599999999999999E-2</v>
      </c>
      <c r="I134" s="1139">
        <f>H134*260</f>
        <v>8.9960000000000004</v>
      </c>
      <c r="J134" s="1130" t="s">
        <v>129</v>
      </c>
      <c r="K134" s="38"/>
      <c r="R134" s="562"/>
    </row>
    <row r="135" spans="2:18" x14ac:dyDescent="0.2">
      <c r="B135" s="1128"/>
      <c r="C135" s="1125" t="s">
        <v>342</v>
      </c>
      <c r="D135" s="272"/>
      <c r="E135" s="272"/>
      <c r="F135" s="1133">
        <v>2.5399999999999999E-2</v>
      </c>
      <c r="G135" s="1138">
        <f>F135*260</f>
        <v>6.6040000000000001</v>
      </c>
      <c r="H135" s="1133">
        <v>2.5399999999999999E-2</v>
      </c>
      <c r="I135" s="1139">
        <f>H135*260</f>
        <v>6.6040000000000001</v>
      </c>
      <c r="J135" s="1130" t="s">
        <v>129</v>
      </c>
      <c r="K135" s="38"/>
      <c r="R135" s="562"/>
    </row>
    <row r="136" spans="2:18" ht="13.5" thickBot="1" x14ac:dyDescent="0.25">
      <c r="B136" s="1128"/>
      <c r="C136" s="1125" t="s">
        <v>343</v>
      </c>
      <c r="D136" s="272"/>
      <c r="E136" s="272"/>
      <c r="F136" s="1133">
        <v>0</v>
      </c>
      <c r="G136" s="1138">
        <f>F136*260</f>
        <v>0</v>
      </c>
      <c r="H136" s="1224">
        <f>ROUND(I136/260,4)</f>
        <v>4.6199999999999998E-2</v>
      </c>
      <c r="I136" s="1227">
        <v>12</v>
      </c>
      <c r="J136" s="1130" t="s">
        <v>129</v>
      </c>
      <c r="K136" s="561"/>
      <c r="R136" s="562"/>
    </row>
    <row r="137" spans="2:18" ht="15.75" x14ac:dyDescent="0.25">
      <c r="B137" s="1755" t="s">
        <v>54</v>
      </c>
      <c r="C137" s="1756"/>
      <c r="D137" s="1756"/>
      <c r="E137" s="1757"/>
      <c r="F137" s="1727" t="s">
        <v>184</v>
      </c>
      <c r="G137" s="1728"/>
      <c r="H137" s="1728"/>
      <c r="I137" s="1729"/>
      <c r="J137" s="1736" t="s">
        <v>128</v>
      </c>
    </row>
    <row r="138" spans="2:18" ht="13.5" thickBot="1" x14ac:dyDescent="0.25">
      <c r="B138" s="1772"/>
      <c r="C138" s="1773"/>
      <c r="D138" s="1773"/>
      <c r="E138" s="1774"/>
      <c r="F138" s="1738" t="s">
        <v>48</v>
      </c>
      <c r="G138" s="1739"/>
      <c r="H138" s="1738" t="s">
        <v>49</v>
      </c>
      <c r="I138" s="1739"/>
      <c r="J138" s="1737"/>
    </row>
    <row r="139" spans="2:18" x14ac:dyDescent="0.2">
      <c r="B139" s="1231" t="s">
        <v>54</v>
      </c>
      <c r="C139" s="1232"/>
      <c r="D139" s="1232"/>
      <c r="E139" s="1233"/>
      <c r="F139" s="1730">
        <v>0.09</v>
      </c>
      <c r="G139" s="1731"/>
      <c r="H139" s="1730">
        <v>0.09</v>
      </c>
      <c r="I139" s="1734"/>
      <c r="J139" s="1228" t="s">
        <v>99</v>
      </c>
    </row>
    <row r="140" spans="2:18" ht="13.5" thickBot="1" x14ac:dyDescent="0.25">
      <c r="B140" s="1229" t="s">
        <v>815</v>
      </c>
      <c r="C140" s="553"/>
      <c r="D140" s="553"/>
      <c r="E140" s="1173"/>
      <c r="F140" s="1732">
        <v>0.03</v>
      </c>
      <c r="G140" s="1733"/>
      <c r="H140" s="1732">
        <v>0.03</v>
      </c>
      <c r="I140" s="1735"/>
      <c r="J140" s="1230" t="s">
        <v>129</v>
      </c>
    </row>
  </sheetData>
  <sheetProtection password="8312" sheet="1" objects="1" scenarios="1"/>
  <mergeCells count="58">
    <mergeCell ref="H118:I118"/>
    <mergeCell ref="F105:G105"/>
    <mergeCell ref="H117:I117"/>
    <mergeCell ref="F116:G116"/>
    <mergeCell ref="F115:G115"/>
    <mergeCell ref="H116:I116"/>
    <mergeCell ref="H115:I115"/>
    <mergeCell ref="H105:I105"/>
    <mergeCell ref="F109:G109"/>
    <mergeCell ref="H109:I109"/>
    <mergeCell ref="F118:G118"/>
    <mergeCell ref="F117:G117"/>
    <mergeCell ref="B137:E138"/>
    <mergeCell ref="C1:M1"/>
    <mergeCell ref="B2:M2"/>
    <mergeCell ref="B3:M3"/>
    <mergeCell ref="J7:J8"/>
    <mergeCell ref="F7:I7"/>
    <mergeCell ref="F8:G8"/>
    <mergeCell ref="F103:G103"/>
    <mergeCell ref="H103:I103"/>
    <mergeCell ref="F131:G131"/>
    <mergeCell ref="H126:I126"/>
    <mergeCell ref="H130:I130"/>
    <mergeCell ref="H131:I131"/>
    <mergeCell ref="H119:I119"/>
    <mergeCell ref="F119:G119"/>
    <mergeCell ref="F125:G125"/>
    <mergeCell ref="H8:I8"/>
    <mergeCell ref="B7:E8"/>
    <mergeCell ref="C24:M24"/>
    <mergeCell ref="B101:E102"/>
    <mergeCell ref="J101:J102"/>
    <mergeCell ref="C26:M26"/>
    <mergeCell ref="C32:G32"/>
    <mergeCell ref="I32:M32"/>
    <mergeCell ref="B95:M95"/>
    <mergeCell ref="E97:M97"/>
    <mergeCell ref="C30:G30"/>
    <mergeCell ref="I30:M30"/>
    <mergeCell ref="F102:G102"/>
    <mergeCell ref="H102:I102"/>
    <mergeCell ref="F4:J4"/>
    <mergeCell ref="O36:V40"/>
    <mergeCell ref="F101:I101"/>
    <mergeCell ref="F139:G139"/>
    <mergeCell ref="F140:G140"/>
    <mergeCell ref="H139:I139"/>
    <mergeCell ref="H140:I140"/>
    <mergeCell ref="F137:I137"/>
    <mergeCell ref="J137:J138"/>
    <mergeCell ref="F138:G138"/>
    <mergeCell ref="H138:I138"/>
    <mergeCell ref="H125:I125"/>
    <mergeCell ref="F126:G126"/>
    <mergeCell ref="F130:G130"/>
    <mergeCell ref="F104:G104"/>
    <mergeCell ref="H104:I104"/>
  </mergeCells>
  <conditionalFormatting sqref="H28">
    <cfRule type="cellIs" dxfId="0" priority="1" operator="notEqual">
      <formula>0.6</formula>
    </cfRule>
  </conditionalFormatting>
  <dataValidations count="3">
    <dataValidation type="decimal" errorStyle="warning" operator="equal" allowBlank="1" showInputMessage="1" showErrorMessage="1" error="This cell is NOT showing as 0.75 - are you sure?  You will be asked this twice, as it is very very important." sqref="H29">
      <formula1>0.75</formula1>
    </dataValidation>
    <dataValidation type="list" allowBlank="1" showInputMessage="1" showErrorMessage="1" sqref="M29:O29">
      <formula1>Response</formula1>
    </dataValidation>
    <dataValidation type="decimal" errorStyle="warning" operator="equal" allowBlank="1" showInputMessage="1" showErrorMessage="1" error="This cell is NOT showing as 0.60 - are you sure?  This is very very important." sqref="H28">
      <formula1>0.6</formula1>
    </dataValidation>
  </dataValidations>
  <pageMargins left="0.70866141732283472" right="0.70866141732283472" top="0.47244094488188981" bottom="0.59055118110236227" header="0.31496062992125984" footer="0.31496062992125984"/>
  <pageSetup paperSize="5" scale="59" fitToHeight="3" orientation="landscape" r:id="rId1"/>
  <headerFooter>
    <oddFooter>&amp;L&amp;F  
Tab: FGT&amp;A&amp;CPrinted: &amp;D&amp;T&amp;RPage &amp;P of &amp;N</oddFooter>
  </headerFooter>
  <rowBreaks count="2" manualBreakCount="2">
    <brk id="23" min="1" max="21" man="1"/>
    <brk id="93" min="1" max="21"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X158"/>
  <sheetViews>
    <sheetView showGridLines="0" zoomScaleNormal="100" workbookViewId="0">
      <pane ySplit="5" topLeftCell="A6" activePane="bottomLeft" state="frozen"/>
      <selection activeCell="B8" sqref="B8"/>
      <selection pane="bottomLeft" activeCell="C4" sqref="C4:G4"/>
    </sheetView>
  </sheetViews>
  <sheetFormatPr defaultColWidth="9.140625" defaultRowHeight="12.75" outlineLevelRow="1" x14ac:dyDescent="0.2"/>
  <cols>
    <col min="1" max="1" width="2.85546875" style="34" customWidth="1"/>
    <col min="2" max="2" width="38.85546875" style="34" customWidth="1"/>
    <col min="3" max="3" width="24.5703125" style="34" customWidth="1"/>
    <col min="4" max="4" width="19.28515625" style="34" customWidth="1"/>
    <col min="5" max="5" width="19.7109375" style="34" customWidth="1"/>
    <col min="6" max="6" width="20.28515625" style="34" customWidth="1"/>
    <col min="7" max="7" width="24.5703125" style="34" customWidth="1"/>
    <col min="8" max="8" width="18" style="34" customWidth="1"/>
    <col min="9" max="9" width="17.7109375" style="34" customWidth="1"/>
    <col min="10" max="10" width="20.28515625" style="34" customWidth="1"/>
    <col min="11" max="11" width="23" style="34" customWidth="1"/>
    <col min="12" max="12" width="16.42578125" style="34" bestFit="1" customWidth="1"/>
    <col min="13" max="13" width="15.140625" style="34" customWidth="1"/>
    <col min="14" max="14" width="16.85546875" style="34" customWidth="1"/>
    <col min="15" max="16384" width="9.140625" style="34"/>
  </cols>
  <sheetData>
    <row r="1" spans="1:24" x14ac:dyDescent="0.2">
      <c r="B1" s="1274" t="str">
        <f>Instructions!C2</f>
        <v>Funding Template Version of 1Apr13</v>
      </c>
      <c r="C1" s="1274"/>
      <c r="D1" s="1274"/>
      <c r="E1" s="1274"/>
      <c r="F1" s="1274"/>
      <c r="G1" s="1274"/>
    </row>
    <row r="2" spans="1:24" ht="20.25" x14ac:dyDescent="0.3">
      <c r="A2" s="33"/>
      <c r="B2" s="1792" t="s">
        <v>807</v>
      </c>
      <c r="C2" s="1792"/>
      <c r="D2" s="1792"/>
      <c r="E2" s="1792"/>
      <c r="F2" s="1792"/>
      <c r="G2" s="1792"/>
      <c r="H2" s="35"/>
      <c r="I2" s="35"/>
      <c r="J2" s="35"/>
      <c r="K2" s="35"/>
      <c r="L2" s="35"/>
      <c r="M2" s="35"/>
      <c r="N2" s="35"/>
      <c r="O2" s="35"/>
      <c r="P2" s="35"/>
      <c r="Q2" s="35"/>
      <c r="R2" s="35"/>
      <c r="S2" s="35"/>
      <c r="T2" s="35"/>
      <c r="U2" s="35"/>
    </row>
    <row r="3" spans="1:24" ht="16.5" x14ac:dyDescent="0.25">
      <c r="A3" s="36"/>
      <c r="B3" s="1388" t="s">
        <v>407</v>
      </c>
      <c r="C3" s="1388"/>
      <c r="D3" s="1388"/>
      <c r="E3" s="1388"/>
      <c r="F3" s="1388"/>
      <c r="G3" s="1388"/>
      <c r="H3" s="37"/>
      <c r="I3" s="37"/>
      <c r="J3" s="37"/>
      <c r="K3" s="37"/>
      <c r="L3" s="37"/>
      <c r="M3" s="37"/>
      <c r="N3" s="37"/>
      <c r="O3" s="37"/>
      <c r="P3" s="37"/>
      <c r="Q3" s="37"/>
      <c r="R3" s="37"/>
      <c r="S3" s="37"/>
      <c r="T3" s="37"/>
      <c r="U3" s="37"/>
      <c r="V3" s="37"/>
      <c r="W3" s="37"/>
      <c r="X3" s="37"/>
    </row>
    <row r="4" spans="1:24" ht="40.15" customHeight="1" x14ac:dyDescent="0.2">
      <c r="C4" s="1794" t="s">
        <v>810</v>
      </c>
      <c r="D4" s="1794"/>
      <c r="E4" s="1794"/>
      <c r="F4" s="1794"/>
      <c r="G4" s="1794"/>
    </row>
    <row r="5" spans="1:24" ht="35.25" customHeight="1" x14ac:dyDescent="0.2">
      <c r="A5" s="38" t="s">
        <v>828</v>
      </c>
      <c r="C5" s="1793" t="s">
        <v>832</v>
      </c>
      <c r="D5" s="1793"/>
      <c r="E5" s="1793"/>
      <c r="F5" s="1793"/>
      <c r="G5" s="1793"/>
    </row>
    <row r="6" spans="1:24" ht="6" customHeight="1" x14ac:dyDescent="0.2">
      <c r="A6" s="38"/>
    </row>
    <row r="7" spans="1:24" ht="15.75" x14ac:dyDescent="0.25">
      <c r="A7" s="43" t="s">
        <v>123</v>
      </c>
    </row>
    <row r="9" spans="1:24" x14ac:dyDescent="0.2">
      <c r="A9" s="245"/>
      <c r="B9" s="44" t="s">
        <v>83</v>
      </c>
      <c r="C9" s="44" t="s">
        <v>166</v>
      </c>
      <c r="D9" s="44" t="s">
        <v>27</v>
      </c>
      <c r="E9" s="68" t="s">
        <v>259</v>
      </c>
      <c r="F9" s="68" t="s">
        <v>368</v>
      </c>
      <c r="G9" s="44" t="s">
        <v>684</v>
      </c>
      <c r="H9" s="486" t="s">
        <v>85</v>
      </c>
      <c r="I9" s="44" t="s">
        <v>166</v>
      </c>
      <c r="J9" s="44" t="s">
        <v>86</v>
      </c>
      <c r="K9" s="38"/>
      <c r="L9" s="38"/>
    </row>
    <row r="10" spans="1:24" x14ac:dyDescent="0.2">
      <c r="A10" s="245"/>
      <c r="B10" s="45" t="s">
        <v>203</v>
      </c>
      <c r="C10" s="45" t="s">
        <v>168</v>
      </c>
      <c r="D10" s="46">
        <v>8</v>
      </c>
      <c r="E10" s="57">
        <f t="shared" ref="E10:E30" si="0">IF(D10&gt;11,1,0)</f>
        <v>0</v>
      </c>
      <c r="F10" s="57"/>
      <c r="G10" s="57">
        <v>1</v>
      </c>
      <c r="H10" s="487" t="s">
        <v>102</v>
      </c>
      <c r="I10" s="45" t="s">
        <v>168</v>
      </c>
      <c r="J10" s="48">
        <v>14</v>
      </c>
      <c r="K10" s="49"/>
      <c r="L10" s="49"/>
    </row>
    <row r="11" spans="1:24" x14ac:dyDescent="0.2">
      <c r="A11" s="245"/>
      <c r="B11" s="45" t="s">
        <v>204</v>
      </c>
      <c r="C11" s="45" t="s">
        <v>169</v>
      </c>
      <c r="D11" s="46">
        <v>14</v>
      </c>
      <c r="E11" s="57">
        <f t="shared" si="0"/>
        <v>1</v>
      </c>
      <c r="F11" s="47"/>
      <c r="G11" s="57">
        <v>1</v>
      </c>
      <c r="H11" s="50"/>
      <c r="I11" s="49"/>
      <c r="J11" s="49"/>
      <c r="K11" s="49"/>
    </row>
    <row r="12" spans="1:24" x14ac:dyDescent="0.2">
      <c r="A12" s="245"/>
      <c r="B12" s="45" t="s">
        <v>205</v>
      </c>
      <c r="C12" s="45" t="s">
        <v>168</v>
      </c>
      <c r="D12" s="46">
        <v>11</v>
      </c>
      <c r="E12" s="57">
        <f t="shared" si="0"/>
        <v>0</v>
      </c>
      <c r="F12" s="47"/>
      <c r="G12" s="57">
        <v>1</v>
      </c>
      <c r="H12" s="51"/>
      <c r="I12" s="49"/>
      <c r="J12" s="49"/>
      <c r="K12" s="49"/>
    </row>
    <row r="13" spans="1:24" x14ac:dyDescent="0.2">
      <c r="A13" s="245"/>
      <c r="B13" s="45" t="s">
        <v>206</v>
      </c>
      <c r="C13" s="45" t="s">
        <v>168</v>
      </c>
      <c r="D13" s="46">
        <v>5</v>
      </c>
      <c r="E13" s="57">
        <f t="shared" si="0"/>
        <v>0</v>
      </c>
      <c r="F13" s="47"/>
      <c r="G13" s="47">
        <v>0</v>
      </c>
      <c r="H13" s="51"/>
      <c r="I13" s="49"/>
      <c r="J13" s="49"/>
      <c r="K13" s="49"/>
    </row>
    <row r="14" spans="1:24" x14ac:dyDescent="0.2">
      <c r="A14" s="245"/>
      <c r="B14" s="45" t="s">
        <v>207</v>
      </c>
      <c r="C14" s="45" t="s">
        <v>168</v>
      </c>
      <c r="D14" s="46">
        <v>6</v>
      </c>
      <c r="E14" s="57">
        <f t="shared" si="0"/>
        <v>0</v>
      </c>
      <c r="F14" s="488"/>
      <c r="G14" s="488">
        <v>0</v>
      </c>
      <c r="H14" s="53"/>
      <c r="I14" s="49"/>
      <c r="J14" s="49"/>
      <c r="K14" s="49"/>
    </row>
    <row r="15" spans="1:24" x14ac:dyDescent="0.2">
      <c r="A15" s="245"/>
      <c r="B15" s="45" t="s">
        <v>208</v>
      </c>
      <c r="C15" s="45" t="s">
        <v>169</v>
      </c>
      <c r="D15" s="48">
        <v>16</v>
      </c>
      <c r="E15" s="57">
        <f t="shared" si="0"/>
        <v>1</v>
      </c>
      <c r="F15" s="488"/>
      <c r="G15" s="57">
        <v>1</v>
      </c>
      <c r="H15" s="49"/>
      <c r="I15" s="49"/>
      <c r="J15" s="49"/>
    </row>
    <row r="16" spans="1:24" x14ac:dyDescent="0.2">
      <c r="A16" s="245"/>
      <c r="B16" s="45" t="s">
        <v>209</v>
      </c>
      <c r="C16" s="45" t="s">
        <v>169</v>
      </c>
      <c r="D16" s="46">
        <v>16</v>
      </c>
      <c r="E16" s="57">
        <f t="shared" si="0"/>
        <v>1</v>
      </c>
      <c r="F16" s="488"/>
      <c r="G16" s="57">
        <v>1</v>
      </c>
      <c r="H16" s="49"/>
      <c r="I16" s="49"/>
      <c r="J16" s="49"/>
    </row>
    <row r="17" spans="1:10" x14ac:dyDescent="0.2">
      <c r="A17" s="245"/>
      <c r="B17" s="45" t="s">
        <v>210</v>
      </c>
      <c r="C17" s="45" t="s">
        <v>168</v>
      </c>
      <c r="D17" s="46">
        <v>10</v>
      </c>
      <c r="E17" s="57">
        <f t="shared" si="0"/>
        <v>0</v>
      </c>
      <c r="F17" s="488"/>
      <c r="G17" s="57">
        <v>1</v>
      </c>
      <c r="H17" s="49"/>
      <c r="I17" s="49"/>
      <c r="J17" s="49"/>
    </row>
    <row r="18" spans="1:10" x14ac:dyDescent="0.2">
      <c r="A18" s="245"/>
      <c r="B18" s="45" t="s">
        <v>211</v>
      </c>
      <c r="C18" s="45" t="s">
        <v>168</v>
      </c>
      <c r="D18" s="46">
        <v>10</v>
      </c>
      <c r="E18" s="57">
        <f t="shared" si="0"/>
        <v>0</v>
      </c>
      <c r="F18" s="488"/>
      <c r="G18" s="57">
        <v>1</v>
      </c>
      <c r="H18" s="49"/>
      <c r="I18" s="49"/>
      <c r="J18" s="49"/>
    </row>
    <row r="19" spans="1:10" x14ac:dyDescent="0.2">
      <c r="A19" s="245"/>
      <c r="B19" s="45" t="s">
        <v>212</v>
      </c>
      <c r="C19" s="45" t="s">
        <v>169</v>
      </c>
      <c r="D19" s="46">
        <v>14</v>
      </c>
      <c r="E19" s="57">
        <f t="shared" si="0"/>
        <v>1</v>
      </c>
      <c r="F19" s="488"/>
      <c r="G19" s="57">
        <v>1</v>
      </c>
      <c r="H19" s="49"/>
      <c r="I19" s="49"/>
      <c r="J19" s="49"/>
    </row>
    <row r="20" spans="1:10" x14ac:dyDescent="0.2">
      <c r="A20" s="245"/>
      <c r="B20" s="45" t="s">
        <v>213</v>
      </c>
      <c r="C20" s="45" t="s">
        <v>168</v>
      </c>
      <c r="D20" s="46">
        <v>12</v>
      </c>
      <c r="E20" s="57">
        <f t="shared" si="0"/>
        <v>1</v>
      </c>
      <c r="F20" s="488"/>
      <c r="G20" s="57">
        <v>1</v>
      </c>
      <c r="H20" s="49"/>
      <c r="I20" s="49"/>
      <c r="J20" s="49"/>
    </row>
    <row r="21" spans="1:10" x14ac:dyDescent="0.2">
      <c r="A21" s="245"/>
      <c r="B21" s="45" t="s">
        <v>214</v>
      </c>
      <c r="C21" s="45" t="s">
        <v>168</v>
      </c>
      <c r="D21" s="46">
        <v>9</v>
      </c>
      <c r="E21" s="57">
        <f t="shared" si="0"/>
        <v>0</v>
      </c>
      <c r="F21" s="488"/>
      <c r="G21" s="57">
        <v>1</v>
      </c>
      <c r="H21" s="49"/>
      <c r="I21" s="49"/>
      <c r="J21" s="49"/>
    </row>
    <row r="22" spans="1:10" x14ac:dyDescent="0.2">
      <c r="A22" s="245"/>
      <c r="B22" s="47" t="s">
        <v>215</v>
      </c>
      <c r="C22" s="47" t="s">
        <v>168</v>
      </c>
      <c r="D22" s="48">
        <v>12</v>
      </c>
      <c r="E22" s="57">
        <f t="shared" si="0"/>
        <v>1</v>
      </c>
      <c r="F22" s="488"/>
      <c r="G22" s="57">
        <v>1</v>
      </c>
      <c r="H22" s="49"/>
      <c r="I22" s="49"/>
      <c r="J22" s="49"/>
    </row>
    <row r="23" spans="1:10" x14ac:dyDescent="0.2">
      <c r="A23" s="245"/>
      <c r="B23" s="47" t="s">
        <v>216</v>
      </c>
      <c r="C23" s="45" t="s">
        <v>168</v>
      </c>
      <c r="D23" s="48">
        <v>14</v>
      </c>
      <c r="E23" s="57">
        <f t="shared" si="0"/>
        <v>1</v>
      </c>
      <c r="F23" s="488"/>
      <c r="G23" s="57">
        <v>1</v>
      </c>
      <c r="H23" s="49"/>
      <c r="I23" s="49"/>
      <c r="J23" s="49"/>
    </row>
    <row r="24" spans="1:10" x14ac:dyDescent="0.2">
      <c r="A24" s="245"/>
      <c r="B24" s="47" t="s">
        <v>217</v>
      </c>
      <c r="C24" s="47" t="s">
        <v>168</v>
      </c>
      <c r="D24" s="48">
        <v>14</v>
      </c>
      <c r="E24" s="57">
        <f t="shared" si="0"/>
        <v>1</v>
      </c>
      <c r="F24" s="488"/>
      <c r="G24" s="57">
        <v>1</v>
      </c>
      <c r="H24" s="49"/>
      <c r="I24" s="49"/>
      <c r="J24" s="49"/>
    </row>
    <row r="25" spans="1:10" x14ac:dyDescent="0.2">
      <c r="A25" s="245"/>
      <c r="B25" s="45" t="s">
        <v>218</v>
      </c>
      <c r="C25" s="45" t="s">
        <v>169</v>
      </c>
      <c r="D25" s="48">
        <v>16</v>
      </c>
      <c r="E25" s="57">
        <f t="shared" si="0"/>
        <v>1</v>
      </c>
      <c r="F25" s="488"/>
      <c r="G25" s="57">
        <v>1</v>
      </c>
      <c r="H25" s="49"/>
      <c r="I25" s="49"/>
      <c r="J25" s="49"/>
    </row>
    <row r="26" spans="1:10" x14ac:dyDescent="0.2">
      <c r="A26" s="245"/>
      <c r="B26" s="45" t="s">
        <v>219</v>
      </c>
      <c r="C26" s="45" t="s">
        <v>168</v>
      </c>
      <c r="D26" s="46">
        <v>10</v>
      </c>
      <c r="E26" s="57">
        <f t="shared" si="0"/>
        <v>0</v>
      </c>
      <c r="F26" s="488"/>
      <c r="G26" s="57">
        <v>1</v>
      </c>
      <c r="H26" s="49"/>
      <c r="I26" s="49"/>
      <c r="J26" s="49"/>
    </row>
    <row r="27" spans="1:10" x14ac:dyDescent="0.2">
      <c r="A27" s="245"/>
      <c r="B27" s="45" t="s">
        <v>220</v>
      </c>
      <c r="C27" s="45" t="s">
        <v>168</v>
      </c>
      <c r="D27" s="46">
        <v>12</v>
      </c>
      <c r="E27" s="57">
        <f t="shared" si="0"/>
        <v>1</v>
      </c>
      <c r="F27" s="488"/>
      <c r="G27" s="57">
        <v>1</v>
      </c>
      <c r="H27" s="49"/>
      <c r="I27" s="49"/>
      <c r="J27" s="49"/>
    </row>
    <row r="28" spans="1:10" x14ac:dyDescent="0.2">
      <c r="A28" s="245"/>
      <c r="B28" s="45" t="s">
        <v>221</v>
      </c>
      <c r="C28" s="45" t="s">
        <v>168</v>
      </c>
      <c r="D28" s="46">
        <v>11</v>
      </c>
      <c r="E28" s="57">
        <f t="shared" si="0"/>
        <v>0</v>
      </c>
      <c r="F28" s="489"/>
      <c r="G28" s="57">
        <v>1</v>
      </c>
      <c r="H28" s="49"/>
      <c r="I28" s="49"/>
      <c r="J28" s="49"/>
    </row>
    <row r="29" spans="1:10" x14ac:dyDescent="0.2">
      <c r="A29" s="245"/>
      <c r="B29" s="45" t="s">
        <v>222</v>
      </c>
      <c r="C29" s="45" t="s">
        <v>168</v>
      </c>
      <c r="D29" s="46">
        <v>10</v>
      </c>
      <c r="E29" s="57">
        <f t="shared" si="0"/>
        <v>0</v>
      </c>
      <c r="F29" s="488"/>
      <c r="G29" s="57">
        <v>1</v>
      </c>
      <c r="H29" s="49"/>
      <c r="I29" s="49"/>
      <c r="J29" s="49"/>
    </row>
    <row r="30" spans="1:10" x14ac:dyDescent="0.2">
      <c r="A30" s="245"/>
      <c r="B30" s="47" t="s">
        <v>223</v>
      </c>
      <c r="C30" s="47" t="s">
        <v>168</v>
      </c>
      <c r="D30" s="48">
        <v>12</v>
      </c>
      <c r="E30" s="57">
        <f t="shared" si="0"/>
        <v>1</v>
      </c>
      <c r="F30" s="488"/>
      <c r="G30" s="57">
        <v>1</v>
      </c>
      <c r="H30" s="49"/>
      <c r="I30" s="49"/>
      <c r="J30" s="49"/>
    </row>
    <row r="31" spans="1:10" x14ac:dyDescent="0.2">
      <c r="A31" s="245"/>
      <c r="B31" s="845" t="s">
        <v>374</v>
      </c>
      <c r="C31" s="845" t="s">
        <v>168</v>
      </c>
      <c r="D31" s="846">
        <v>0</v>
      </c>
      <c r="E31" s="847">
        <v>0</v>
      </c>
      <c r="F31" s="847">
        <v>1</v>
      </c>
      <c r="G31" s="847">
        <v>1</v>
      </c>
      <c r="H31" s="49"/>
      <c r="I31" s="49"/>
      <c r="J31" s="49"/>
    </row>
    <row r="32" spans="1:10" x14ac:dyDescent="0.2">
      <c r="A32" s="245"/>
      <c r="B32" s="47" t="s">
        <v>333</v>
      </c>
      <c r="C32" s="47" t="s">
        <v>168</v>
      </c>
      <c r="D32" s="48">
        <v>0</v>
      </c>
      <c r="E32" s="57">
        <f t="shared" ref="E32" si="1">IF(D32&gt;11,1,0)</f>
        <v>0</v>
      </c>
      <c r="F32" s="488"/>
      <c r="G32" s="57">
        <v>1</v>
      </c>
      <c r="H32" s="49"/>
      <c r="I32" s="49"/>
      <c r="J32" s="49"/>
    </row>
    <row r="33" spans="1:14" x14ac:dyDescent="0.2">
      <c r="A33" s="245"/>
      <c r="B33" s="45" t="s">
        <v>225</v>
      </c>
      <c r="C33" s="45" t="s">
        <v>183</v>
      </c>
      <c r="D33" s="46">
        <v>8</v>
      </c>
      <c r="E33" s="57">
        <f>IF(D33&gt;7,1,0)</f>
        <v>1</v>
      </c>
      <c r="F33" s="488"/>
      <c r="G33" s="57">
        <v>1</v>
      </c>
      <c r="H33" s="49"/>
      <c r="I33" s="49"/>
      <c r="J33" s="49"/>
    </row>
    <row r="34" spans="1:14" x14ac:dyDescent="0.2">
      <c r="A34" s="245"/>
      <c r="B34" s="45" t="s">
        <v>224</v>
      </c>
      <c r="C34" s="45" t="s">
        <v>183</v>
      </c>
      <c r="D34" s="46">
        <v>3</v>
      </c>
      <c r="E34" s="57">
        <f t="shared" ref="E34:E43" si="2">IF(D34&gt;7,1,0)</f>
        <v>0</v>
      </c>
      <c r="F34" s="488"/>
      <c r="G34" s="57">
        <v>1</v>
      </c>
      <c r="H34" s="49"/>
      <c r="I34" s="49"/>
      <c r="J34" s="49"/>
    </row>
    <row r="35" spans="1:14" x14ac:dyDescent="0.2">
      <c r="A35" s="245"/>
      <c r="B35" s="45" t="s">
        <v>226</v>
      </c>
      <c r="C35" s="45" t="s">
        <v>183</v>
      </c>
      <c r="D35" s="46">
        <v>8</v>
      </c>
      <c r="E35" s="57">
        <f t="shared" si="2"/>
        <v>1</v>
      </c>
      <c r="F35" s="488"/>
      <c r="G35" s="57">
        <v>1</v>
      </c>
      <c r="H35" s="49"/>
      <c r="I35" s="49"/>
      <c r="J35" s="49"/>
    </row>
    <row r="36" spans="1:14" x14ac:dyDescent="0.2">
      <c r="A36" s="245"/>
      <c r="B36" s="45" t="s">
        <v>229</v>
      </c>
      <c r="C36" s="45" t="s">
        <v>183</v>
      </c>
      <c r="D36" s="46">
        <v>9</v>
      </c>
      <c r="E36" s="57">
        <f t="shared" si="2"/>
        <v>1</v>
      </c>
      <c r="F36" s="488"/>
      <c r="G36" s="57">
        <v>1</v>
      </c>
      <c r="H36" s="49"/>
      <c r="I36" s="49"/>
      <c r="J36" s="49"/>
    </row>
    <row r="37" spans="1:14" x14ac:dyDescent="0.2">
      <c r="A37" s="245"/>
      <c r="B37" s="45" t="s">
        <v>232</v>
      </c>
      <c r="C37" s="45" t="s">
        <v>183</v>
      </c>
      <c r="D37" s="46">
        <v>13</v>
      </c>
      <c r="E37" s="57">
        <f t="shared" si="2"/>
        <v>1</v>
      </c>
      <c r="F37" s="488"/>
      <c r="G37" s="57">
        <v>1</v>
      </c>
      <c r="H37" s="49"/>
      <c r="I37" s="49"/>
      <c r="J37" s="49"/>
    </row>
    <row r="38" spans="1:14" x14ac:dyDescent="0.2">
      <c r="A38" s="245"/>
      <c r="B38" s="45" t="s">
        <v>231</v>
      </c>
      <c r="C38" s="45" t="s">
        <v>183</v>
      </c>
      <c r="D38" s="46">
        <v>11</v>
      </c>
      <c r="E38" s="57">
        <f t="shared" si="2"/>
        <v>1</v>
      </c>
      <c r="F38" s="488"/>
      <c r="G38" s="57">
        <v>1</v>
      </c>
      <c r="H38" s="49"/>
      <c r="I38" s="49"/>
      <c r="J38" s="49"/>
    </row>
    <row r="39" spans="1:14" x14ac:dyDescent="0.2">
      <c r="A39" s="245"/>
      <c r="B39" s="45" t="s">
        <v>227</v>
      </c>
      <c r="C39" s="45" t="s">
        <v>183</v>
      </c>
      <c r="D39" s="46">
        <v>8</v>
      </c>
      <c r="E39" s="57">
        <f t="shared" si="2"/>
        <v>1</v>
      </c>
      <c r="F39" s="488"/>
      <c r="G39" s="57">
        <v>1</v>
      </c>
      <c r="H39" s="49"/>
      <c r="I39" s="49"/>
      <c r="J39" s="49"/>
    </row>
    <row r="40" spans="1:14" x14ac:dyDescent="0.2">
      <c r="A40" s="245"/>
      <c r="B40" s="45" t="s">
        <v>228</v>
      </c>
      <c r="C40" s="45" t="s">
        <v>183</v>
      </c>
      <c r="D40" s="46">
        <v>8</v>
      </c>
      <c r="E40" s="57">
        <f t="shared" si="2"/>
        <v>1</v>
      </c>
      <c r="F40" s="488"/>
      <c r="G40" s="57">
        <v>1</v>
      </c>
      <c r="H40" s="49"/>
      <c r="I40" s="49"/>
      <c r="J40" s="49"/>
    </row>
    <row r="41" spans="1:14" x14ac:dyDescent="0.2">
      <c r="A41" s="245"/>
      <c r="B41" s="45" t="s">
        <v>230</v>
      </c>
      <c r="C41" s="45" t="s">
        <v>183</v>
      </c>
      <c r="D41" s="46">
        <v>10</v>
      </c>
      <c r="E41" s="57">
        <f t="shared" ref="E41" si="3">IF(D41&gt;7,1,0)</f>
        <v>1</v>
      </c>
      <c r="F41" s="488"/>
      <c r="G41" s="57">
        <v>1</v>
      </c>
      <c r="H41" s="49"/>
      <c r="I41" s="49"/>
      <c r="J41" s="49"/>
    </row>
    <row r="42" spans="1:14" x14ac:dyDescent="0.2">
      <c r="A42" s="245"/>
      <c r="B42" s="845" t="s">
        <v>375</v>
      </c>
      <c r="C42" s="845" t="s">
        <v>183</v>
      </c>
      <c r="D42" s="846">
        <v>0</v>
      </c>
      <c r="E42" s="847">
        <v>0</v>
      </c>
      <c r="F42" s="847">
        <v>1</v>
      </c>
      <c r="G42" s="847">
        <v>1</v>
      </c>
      <c r="H42" s="49"/>
      <c r="I42" s="49"/>
      <c r="J42" s="49"/>
    </row>
    <row r="43" spans="1:14" x14ac:dyDescent="0.2">
      <c r="A43" s="245"/>
      <c r="B43" s="45" t="s">
        <v>334</v>
      </c>
      <c r="C43" s="45" t="s">
        <v>183</v>
      </c>
      <c r="D43" s="46">
        <v>0</v>
      </c>
      <c r="E43" s="57">
        <f t="shared" si="2"/>
        <v>0</v>
      </c>
      <c r="F43" s="488"/>
      <c r="G43" s="57">
        <v>1</v>
      </c>
      <c r="H43" s="49"/>
      <c r="I43" s="49"/>
      <c r="J43" s="49"/>
    </row>
    <row r="46" spans="1:14" ht="16.5" thickBot="1" x14ac:dyDescent="0.3">
      <c r="A46" s="43" t="s">
        <v>84</v>
      </c>
      <c r="M46" s="875"/>
    </row>
    <row r="47" spans="1:14" s="1208" customFormat="1" ht="25.5" x14ac:dyDescent="0.2">
      <c r="B47" s="1209" t="s">
        <v>50</v>
      </c>
      <c r="C47" s="1210" t="s">
        <v>78</v>
      </c>
      <c r="D47" s="1210" t="s">
        <v>166</v>
      </c>
      <c r="E47" s="1210" t="s">
        <v>27</v>
      </c>
      <c r="F47" s="1210" t="s">
        <v>167</v>
      </c>
      <c r="G47" s="1210" t="s">
        <v>124</v>
      </c>
      <c r="H47" s="1210" t="s">
        <v>79</v>
      </c>
      <c r="I47" s="1210" t="s">
        <v>80</v>
      </c>
      <c r="J47" s="1210" t="s">
        <v>81</v>
      </c>
      <c r="K47" s="1210" t="s">
        <v>819</v>
      </c>
      <c r="L47" s="1211" t="s">
        <v>820</v>
      </c>
      <c r="M47" s="1210" t="s">
        <v>821</v>
      </c>
      <c r="N47" s="1212" t="s">
        <v>775</v>
      </c>
    </row>
    <row r="48" spans="1:14" x14ac:dyDescent="0.2">
      <c r="B48" s="56" t="s">
        <v>180</v>
      </c>
      <c r="C48" s="45" t="s">
        <v>203</v>
      </c>
      <c r="D48" s="45" t="str">
        <f t="shared" ref="D48:D81" si="4">VLOOKUP(C48,$B$10:$D$43,2,FALSE)</f>
        <v>JJEP</v>
      </c>
      <c r="E48" s="57">
        <f t="shared" ref="E48:E81" si="5">VLOOKUP(C48,$B$10:$D$43,3,FALSE)</f>
        <v>8</v>
      </c>
      <c r="F48" s="57" t="str">
        <f>CONCATENATE(D48,E48)</f>
        <v>JJEP8</v>
      </c>
      <c r="G48" s="57" t="str">
        <f>CONCATENATE(C48,E48)</f>
        <v>CSSEA - Activity Worker8</v>
      </c>
      <c r="H48" s="58">
        <f>VLOOKUP($F48,'LOCK_ME - Page9 - RATES'!$F$34:$G$61,2,FALSE)</f>
        <v>17.14</v>
      </c>
      <c r="I48" s="58">
        <f>VLOOKUP($F48,'LOCK_ME - Page9 - RATES'!$F$65:$G$92,2,FALSE)</f>
        <v>18.05</v>
      </c>
      <c r="J48" s="58">
        <f>I48-H48</f>
        <v>0.91000000000000014</v>
      </c>
      <c r="K48" s="58">
        <f>J48*'LOCK_ME - Page9 - RATES'!$H$28</f>
        <v>0.54600000000000004</v>
      </c>
      <c r="L48" s="876">
        <f>H48+K48</f>
        <v>17.686</v>
      </c>
      <c r="M48" s="880">
        <f>IF(Page1!$D$31="(NEW) Post-January 1 2014",Page1!$N$31,0)</f>
        <v>0</v>
      </c>
      <c r="N48" s="883">
        <f>ROUND(L48*(1+M48),4)</f>
        <v>17.686</v>
      </c>
    </row>
    <row r="49" spans="2:14" x14ac:dyDescent="0.2">
      <c r="B49" s="56" t="s">
        <v>180</v>
      </c>
      <c r="C49" s="45" t="s">
        <v>204</v>
      </c>
      <c r="D49" s="45" t="str">
        <f t="shared" si="4"/>
        <v>PP</v>
      </c>
      <c r="E49" s="57">
        <f t="shared" si="5"/>
        <v>14</v>
      </c>
      <c r="F49" s="57" t="str">
        <f t="shared" ref="F49:F70" si="6">CONCATENATE(D49,E49)</f>
        <v>PP14</v>
      </c>
      <c r="G49" s="57" t="str">
        <f t="shared" ref="G49:G78" si="7">CONCATENATE(C49,E49)</f>
        <v>CSSEA - Adult, Youth and / or Child Counsellor14</v>
      </c>
      <c r="H49" s="58">
        <f>VLOOKUP($F49,'LOCK_ME - Page9 - RATES'!$F$34:$G$61,2,FALSE)</f>
        <v>26.37</v>
      </c>
      <c r="I49" s="58">
        <f>VLOOKUP($F49,'LOCK_ME - Page9 - RATES'!$F$65:$G$92,2,FALSE)</f>
        <v>27.75</v>
      </c>
      <c r="J49" s="58">
        <f t="shared" ref="J49:J70" si="8">I49-H49</f>
        <v>1.379999999999999</v>
      </c>
      <c r="K49" s="58">
        <f>J49*'LOCK_ME - Page9 - RATES'!$H$28</f>
        <v>0.8279999999999994</v>
      </c>
      <c r="L49" s="876">
        <f t="shared" ref="L49:L70" si="9">H49+K49</f>
        <v>27.198</v>
      </c>
      <c r="M49" s="880">
        <f>IF(Page1!$D$31="(NEW) Post-January 1 2014",Page1!$N$31,0)</f>
        <v>0</v>
      </c>
      <c r="N49" s="883">
        <f t="shared" ref="N49:N81" si="10">ROUND(L49*(1+M49),4)</f>
        <v>27.198</v>
      </c>
    </row>
    <row r="50" spans="2:14" x14ac:dyDescent="0.2">
      <c r="B50" s="56" t="s">
        <v>180</v>
      </c>
      <c r="C50" s="45" t="s">
        <v>205</v>
      </c>
      <c r="D50" s="45" t="str">
        <f t="shared" si="4"/>
        <v>JJEP</v>
      </c>
      <c r="E50" s="57">
        <f t="shared" si="5"/>
        <v>11</v>
      </c>
      <c r="F50" s="57" t="str">
        <f t="shared" si="6"/>
        <v>JJEP11</v>
      </c>
      <c r="G50" s="57" t="str">
        <f t="shared" si="7"/>
        <v>CSSEA - Adult, Youth and / or Child Worker11</v>
      </c>
      <c r="H50" s="58">
        <f>VLOOKUP($F50,'LOCK_ME - Page9 - RATES'!$F$34:$G$61,2,FALSE)</f>
        <v>19.11</v>
      </c>
      <c r="I50" s="58">
        <f>VLOOKUP($F50,'LOCK_ME - Page9 - RATES'!$F$65:$G$92,2,FALSE)</f>
        <v>20.12</v>
      </c>
      <c r="J50" s="58">
        <f t="shared" si="8"/>
        <v>1.0100000000000016</v>
      </c>
      <c r="K50" s="58">
        <f>J50*'LOCK_ME - Page9 - RATES'!$H$28</f>
        <v>0.60600000000000087</v>
      </c>
      <c r="L50" s="876">
        <f t="shared" si="9"/>
        <v>19.716000000000001</v>
      </c>
      <c r="M50" s="880">
        <f>IF(Page1!$D$31="(NEW) Post-January 1 2014",Page1!$N$31,0)</f>
        <v>0</v>
      </c>
      <c r="N50" s="883">
        <f t="shared" si="10"/>
        <v>19.716000000000001</v>
      </c>
    </row>
    <row r="51" spans="2:14" x14ac:dyDescent="0.2">
      <c r="B51" s="56" t="s">
        <v>180</v>
      </c>
      <c r="C51" s="45" t="s">
        <v>206</v>
      </c>
      <c r="D51" s="45" t="str">
        <f t="shared" si="4"/>
        <v>JJEP</v>
      </c>
      <c r="E51" s="57">
        <f t="shared" si="5"/>
        <v>5</v>
      </c>
      <c r="F51" s="57" t="str">
        <f t="shared" si="6"/>
        <v>JJEP5</v>
      </c>
      <c r="G51" s="57" t="str">
        <f t="shared" si="7"/>
        <v>CSSEA - Asleep Residential Night Worker5</v>
      </c>
      <c r="H51" s="58">
        <f>VLOOKUP($F51,'LOCK_ME - Page9 - RATES'!$F$34:$G$61,2,FALSE)</f>
        <v>15.33</v>
      </c>
      <c r="I51" s="58">
        <f>VLOOKUP($F51,'LOCK_ME - Page9 - RATES'!$F$65:$G$92,2,FALSE)</f>
        <v>16.14</v>
      </c>
      <c r="J51" s="58">
        <f t="shared" si="8"/>
        <v>0.8100000000000005</v>
      </c>
      <c r="K51" s="58">
        <f>J51*'LOCK_ME - Page9 - RATES'!$H$28</f>
        <v>0.48600000000000027</v>
      </c>
      <c r="L51" s="876">
        <f t="shared" si="9"/>
        <v>15.816000000000001</v>
      </c>
      <c r="M51" s="880">
        <f>IF(Page1!$D$31="(NEW) Post-January 1 2014",Page1!$N$31,0)</f>
        <v>0</v>
      </c>
      <c r="N51" s="883">
        <f>ROUND(L51*(1+M51),4)</f>
        <v>15.816000000000001</v>
      </c>
    </row>
    <row r="52" spans="2:14" x14ac:dyDescent="0.2">
      <c r="B52" s="56" t="s">
        <v>180</v>
      </c>
      <c r="C52" s="45" t="s">
        <v>207</v>
      </c>
      <c r="D52" s="45" t="str">
        <f t="shared" si="4"/>
        <v>JJEP</v>
      </c>
      <c r="E52" s="57">
        <f t="shared" si="5"/>
        <v>6</v>
      </c>
      <c r="F52" s="57" t="str">
        <f t="shared" si="6"/>
        <v>JJEP6</v>
      </c>
      <c r="G52" s="57" t="str">
        <f t="shared" si="7"/>
        <v>CSSEA - Awake Residential Night Worker6</v>
      </c>
      <c r="H52" s="58">
        <f>VLOOKUP($F52,'LOCK_ME - Page9 - RATES'!$F$34:$G$61,2,FALSE)</f>
        <v>15.89</v>
      </c>
      <c r="I52" s="58">
        <f>VLOOKUP($F52,'LOCK_ME - Page9 - RATES'!$F$65:$G$92,2,FALSE)</f>
        <v>16.72</v>
      </c>
      <c r="J52" s="58">
        <f>I52-H52</f>
        <v>0.82999999999999829</v>
      </c>
      <c r="K52" s="58">
        <f>J52*'LOCK_ME - Page9 - RATES'!$H$28</f>
        <v>0.49799999999999894</v>
      </c>
      <c r="L52" s="876">
        <f t="shared" si="9"/>
        <v>16.387999999999998</v>
      </c>
      <c r="M52" s="880">
        <f>IF(Page1!$D$31="(NEW) Post-January 1 2014",Page1!$N$31,0)</f>
        <v>0</v>
      </c>
      <c r="N52" s="883">
        <f t="shared" si="10"/>
        <v>16.388000000000002</v>
      </c>
    </row>
    <row r="53" spans="2:14" x14ac:dyDescent="0.2">
      <c r="B53" s="56" t="s">
        <v>180</v>
      </c>
      <c r="C53" s="45" t="s">
        <v>208</v>
      </c>
      <c r="D53" s="45" t="str">
        <f t="shared" si="4"/>
        <v>PP</v>
      </c>
      <c r="E53" s="57">
        <f t="shared" si="5"/>
        <v>16</v>
      </c>
      <c r="F53" s="57" t="str">
        <f t="shared" si="6"/>
        <v>PP16</v>
      </c>
      <c r="G53" s="57" t="str">
        <f t="shared" si="7"/>
        <v>CSSEA - Behavioural Therapist16</v>
      </c>
      <c r="H53" s="58">
        <f>VLOOKUP($F53,'LOCK_ME - Page9 - RATES'!$F$34:$G$61,2,FALSE)</f>
        <v>30.26</v>
      </c>
      <c r="I53" s="58">
        <f>VLOOKUP($F53,'LOCK_ME - Page9 - RATES'!$F$65:$G$92,2,FALSE)</f>
        <v>31.84</v>
      </c>
      <c r="J53" s="58">
        <f t="shared" si="8"/>
        <v>1.5799999999999983</v>
      </c>
      <c r="K53" s="58">
        <f>J53*'LOCK_ME - Page9 - RATES'!$H$28</f>
        <v>0.94799999999999895</v>
      </c>
      <c r="L53" s="876">
        <f t="shared" si="9"/>
        <v>31.208000000000002</v>
      </c>
      <c r="M53" s="880">
        <f>IF(Page1!$D$31="(NEW) Post-January 1 2014",Page1!$N$31,0)</f>
        <v>0</v>
      </c>
      <c r="N53" s="883">
        <f t="shared" si="10"/>
        <v>31.207999999999998</v>
      </c>
    </row>
    <row r="54" spans="2:14" x14ac:dyDescent="0.2">
      <c r="B54" s="56" t="s">
        <v>180</v>
      </c>
      <c r="C54" s="45" t="s">
        <v>209</v>
      </c>
      <c r="D54" s="45" t="str">
        <f t="shared" si="4"/>
        <v>PP</v>
      </c>
      <c r="E54" s="57">
        <f t="shared" si="5"/>
        <v>16</v>
      </c>
      <c r="F54" s="57" t="str">
        <f t="shared" si="6"/>
        <v>PP16</v>
      </c>
      <c r="G54" s="57" t="str">
        <f t="shared" si="7"/>
        <v>CSSEA - Clinical Counsellor16</v>
      </c>
      <c r="H54" s="58">
        <f>VLOOKUP($F54,'LOCK_ME - Page9 - RATES'!$F$34:$G$61,2,FALSE)</f>
        <v>30.26</v>
      </c>
      <c r="I54" s="58">
        <f>VLOOKUP($F54,'LOCK_ME - Page9 - RATES'!$F$65:$G$92,2,FALSE)</f>
        <v>31.84</v>
      </c>
      <c r="J54" s="58">
        <f t="shared" si="8"/>
        <v>1.5799999999999983</v>
      </c>
      <c r="K54" s="58">
        <f>J54*'LOCK_ME - Page9 - RATES'!$H$28</f>
        <v>0.94799999999999895</v>
      </c>
      <c r="L54" s="876">
        <f t="shared" si="9"/>
        <v>31.208000000000002</v>
      </c>
      <c r="M54" s="880">
        <f>IF(Page1!$D$31="(NEW) Post-January 1 2014",Page1!$N$31,0)</f>
        <v>0</v>
      </c>
      <c r="N54" s="883">
        <f t="shared" si="10"/>
        <v>31.207999999999998</v>
      </c>
    </row>
    <row r="55" spans="2:14" x14ac:dyDescent="0.2">
      <c r="B55" s="56" t="s">
        <v>180</v>
      </c>
      <c r="C55" s="45" t="s">
        <v>210</v>
      </c>
      <c r="D55" s="45" t="str">
        <f t="shared" si="4"/>
        <v>JJEP</v>
      </c>
      <c r="E55" s="57">
        <f t="shared" si="5"/>
        <v>10</v>
      </c>
      <c r="F55" s="57" t="str">
        <f t="shared" si="6"/>
        <v>JJEP10</v>
      </c>
      <c r="G55" s="57" t="str">
        <f t="shared" si="7"/>
        <v>CSSEA - Community Support Worker10</v>
      </c>
      <c r="H55" s="58">
        <f>VLOOKUP($F55,'LOCK_ME - Page9 - RATES'!$F$34:$G$61,2,FALSE)</f>
        <v>17.88</v>
      </c>
      <c r="I55" s="58">
        <f>VLOOKUP($F55,'LOCK_ME - Page9 - RATES'!$F$65:$G$92,2,FALSE)</f>
        <v>18.82</v>
      </c>
      <c r="J55" s="58">
        <f t="shared" si="8"/>
        <v>0.94000000000000128</v>
      </c>
      <c r="K55" s="58">
        <f>J55*'LOCK_ME - Page9 - RATES'!$H$28</f>
        <v>0.56400000000000072</v>
      </c>
      <c r="L55" s="876">
        <f t="shared" si="9"/>
        <v>18.443999999999999</v>
      </c>
      <c r="M55" s="880">
        <f>IF(Page1!$D$31="(NEW) Post-January 1 2014",Page1!$N$31,0)</f>
        <v>0</v>
      </c>
      <c r="N55" s="883">
        <f t="shared" si="10"/>
        <v>18.443999999999999</v>
      </c>
    </row>
    <row r="56" spans="2:14" x14ac:dyDescent="0.2">
      <c r="B56" s="56" t="s">
        <v>180</v>
      </c>
      <c r="C56" s="45" t="s">
        <v>211</v>
      </c>
      <c r="D56" s="45" t="str">
        <f t="shared" si="4"/>
        <v>JJEP</v>
      </c>
      <c r="E56" s="57">
        <f t="shared" si="5"/>
        <v>10</v>
      </c>
      <c r="F56" s="57" t="str">
        <f t="shared" si="6"/>
        <v>JJEP10</v>
      </c>
      <c r="G56" s="57" t="str">
        <f t="shared" si="7"/>
        <v>CSSEA - Employment Counsellor10</v>
      </c>
      <c r="H56" s="58">
        <f>VLOOKUP($F56,'LOCK_ME - Page9 - RATES'!$F$34:$G$61,2,FALSE)</f>
        <v>17.88</v>
      </c>
      <c r="I56" s="58">
        <f>VLOOKUP($F56,'LOCK_ME - Page9 - RATES'!$F$65:$G$92,2,FALSE)</f>
        <v>18.82</v>
      </c>
      <c r="J56" s="58">
        <f t="shared" si="8"/>
        <v>0.94000000000000128</v>
      </c>
      <c r="K56" s="58">
        <f>J56*'LOCK_ME - Page9 - RATES'!$H$28</f>
        <v>0.56400000000000072</v>
      </c>
      <c r="L56" s="876">
        <f t="shared" si="9"/>
        <v>18.443999999999999</v>
      </c>
      <c r="M56" s="880">
        <f>IF(Page1!$D$31="(NEW) Post-January 1 2014",Page1!$N$31,0)</f>
        <v>0</v>
      </c>
      <c r="N56" s="883">
        <f t="shared" si="10"/>
        <v>18.443999999999999</v>
      </c>
    </row>
    <row r="57" spans="2:14" x14ac:dyDescent="0.2">
      <c r="B57" s="56" t="s">
        <v>180</v>
      </c>
      <c r="C57" s="45" t="s">
        <v>212</v>
      </c>
      <c r="D57" s="45" t="str">
        <f t="shared" si="4"/>
        <v>PP</v>
      </c>
      <c r="E57" s="57">
        <f t="shared" si="5"/>
        <v>14</v>
      </c>
      <c r="F57" s="57" t="str">
        <f t="shared" si="6"/>
        <v>PP14</v>
      </c>
      <c r="G57" s="57" t="str">
        <f t="shared" si="7"/>
        <v>CSSEA - Family Counsellor14</v>
      </c>
      <c r="H57" s="58">
        <f>VLOOKUP($F57,'LOCK_ME - Page9 - RATES'!$F$34:$G$61,2,FALSE)</f>
        <v>26.37</v>
      </c>
      <c r="I57" s="58">
        <f>VLOOKUP($F57,'LOCK_ME - Page9 - RATES'!$F$65:$G$92,2,FALSE)</f>
        <v>27.75</v>
      </c>
      <c r="J57" s="58">
        <f t="shared" si="8"/>
        <v>1.379999999999999</v>
      </c>
      <c r="K57" s="58">
        <f>J57*'LOCK_ME - Page9 - RATES'!$H$28</f>
        <v>0.8279999999999994</v>
      </c>
      <c r="L57" s="876">
        <f t="shared" si="9"/>
        <v>27.198</v>
      </c>
      <c r="M57" s="880">
        <f>IF(Page1!$D$31="(NEW) Post-January 1 2014",Page1!$N$31,0)</f>
        <v>0</v>
      </c>
      <c r="N57" s="883">
        <f t="shared" si="10"/>
        <v>27.198</v>
      </c>
    </row>
    <row r="58" spans="2:14" x14ac:dyDescent="0.2">
      <c r="B58" s="56" t="s">
        <v>180</v>
      </c>
      <c r="C58" s="47" t="s">
        <v>213</v>
      </c>
      <c r="D58" s="45" t="str">
        <f t="shared" si="4"/>
        <v>JJEP</v>
      </c>
      <c r="E58" s="57">
        <f t="shared" si="5"/>
        <v>12</v>
      </c>
      <c r="F58" s="57" t="str">
        <f t="shared" si="6"/>
        <v>JJEP12</v>
      </c>
      <c r="G58" s="57" t="str">
        <f t="shared" si="7"/>
        <v>CSSEA - Family Support Worker12</v>
      </c>
      <c r="H58" s="58">
        <f>VLOOKUP($F58,'LOCK_ME - Page9 - RATES'!$F$34:$G$61,2,FALSE)</f>
        <v>20.260000000000002</v>
      </c>
      <c r="I58" s="58">
        <f>VLOOKUP($F58,'LOCK_ME - Page9 - RATES'!$F$65:$G$92,2,FALSE)</f>
        <v>21.33</v>
      </c>
      <c r="J58" s="58">
        <f t="shared" si="8"/>
        <v>1.0699999999999967</v>
      </c>
      <c r="K58" s="58">
        <f>J58*'LOCK_ME - Page9 - RATES'!$H$28</f>
        <v>0.64199999999999802</v>
      </c>
      <c r="L58" s="876">
        <f t="shared" si="9"/>
        <v>20.902000000000001</v>
      </c>
      <c r="M58" s="880">
        <f>IF(Page1!$D$31="(NEW) Post-January 1 2014",Page1!$N$31,0)</f>
        <v>0</v>
      </c>
      <c r="N58" s="883">
        <f t="shared" si="10"/>
        <v>20.902000000000001</v>
      </c>
    </row>
    <row r="59" spans="2:14" x14ac:dyDescent="0.2">
      <c r="B59" s="56" t="s">
        <v>180</v>
      </c>
      <c r="C59" s="47" t="s">
        <v>214</v>
      </c>
      <c r="D59" s="45" t="str">
        <f t="shared" si="4"/>
        <v>JJEP</v>
      </c>
      <c r="E59" s="57">
        <f t="shared" si="5"/>
        <v>9</v>
      </c>
      <c r="F59" s="57" t="str">
        <f t="shared" si="6"/>
        <v>JJEP9</v>
      </c>
      <c r="G59" s="57" t="str">
        <f t="shared" si="7"/>
        <v>CSSEA - Group Facilitator9</v>
      </c>
      <c r="H59" s="58">
        <f>VLOOKUP($F59,'LOCK_ME - Page9 - RATES'!$F$34:$G$61,2,FALSE)</f>
        <v>17.53</v>
      </c>
      <c r="I59" s="58">
        <f>VLOOKUP($F59,'LOCK_ME - Page9 - RATES'!$F$65:$G$92,2,FALSE)</f>
        <v>18.45</v>
      </c>
      <c r="J59" s="58">
        <f t="shared" si="8"/>
        <v>0.91999999999999815</v>
      </c>
      <c r="K59" s="58">
        <f>J59*'LOCK_ME - Page9 - RATES'!$H$28</f>
        <v>0.55199999999999882</v>
      </c>
      <c r="L59" s="876">
        <f t="shared" si="9"/>
        <v>18.082000000000001</v>
      </c>
      <c r="M59" s="880">
        <f>IF(Page1!$D$31="(NEW) Post-January 1 2014",Page1!$N$31,0)</f>
        <v>0</v>
      </c>
      <c r="N59" s="883">
        <f t="shared" si="10"/>
        <v>18.082000000000001</v>
      </c>
    </row>
    <row r="60" spans="2:14" x14ac:dyDescent="0.2">
      <c r="B60" s="56" t="s">
        <v>180</v>
      </c>
      <c r="C60" s="47" t="s">
        <v>215</v>
      </c>
      <c r="D60" s="45" t="str">
        <f t="shared" si="4"/>
        <v>JJEP</v>
      </c>
      <c r="E60" s="57">
        <f t="shared" si="5"/>
        <v>12</v>
      </c>
      <c r="F60" s="57" t="str">
        <f t="shared" si="6"/>
        <v>JJEP12</v>
      </c>
      <c r="G60" s="57" t="str">
        <f t="shared" si="7"/>
        <v>CSSEA - Program Coordinator 112</v>
      </c>
      <c r="H60" s="58">
        <f>VLOOKUP($F60,'LOCK_ME - Page9 - RATES'!$F$34:$G$61,2,FALSE)</f>
        <v>20.260000000000002</v>
      </c>
      <c r="I60" s="58">
        <f>VLOOKUP($F60,'LOCK_ME - Page9 - RATES'!$F$65:$G$92,2,FALSE)</f>
        <v>21.33</v>
      </c>
      <c r="J60" s="58">
        <f t="shared" si="8"/>
        <v>1.0699999999999967</v>
      </c>
      <c r="K60" s="58">
        <f>J60*'LOCK_ME - Page9 - RATES'!$H$28</f>
        <v>0.64199999999999802</v>
      </c>
      <c r="L60" s="876">
        <f t="shared" si="9"/>
        <v>20.902000000000001</v>
      </c>
      <c r="M60" s="880">
        <f>IF(Page1!$D$31="(NEW) Post-January 1 2014",Page1!$N$31,0)</f>
        <v>0</v>
      </c>
      <c r="N60" s="883">
        <f t="shared" si="10"/>
        <v>20.902000000000001</v>
      </c>
    </row>
    <row r="61" spans="2:14" x14ac:dyDescent="0.2">
      <c r="B61" s="56" t="s">
        <v>180</v>
      </c>
      <c r="C61" s="47" t="s">
        <v>216</v>
      </c>
      <c r="D61" s="45" t="str">
        <f t="shared" si="4"/>
        <v>JJEP</v>
      </c>
      <c r="E61" s="57">
        <f t="shared" si="5"/>
        <v>14</v>
      </c>
      <c r="F61" s="57" t="str">
        <f t="shared" si="6"/>
        <v>JJEP14</v>
      </c>
      <c r="G61" s="57" t="str">
        <f t="shared" si="7"/>
        <v>CSSEA - Program Coordinator 214</v>
      </c>
      <c r="H61" s="58">
        <f>VLOOKUP($F61,'LOCK_ME - Page9 - RATES'!$F$34:$G$61,2,FALSE)</f>
        <v>23.48</v>
      </c>
      <c r="I61" s="58">
        <f>VLOOKUP($F61,'LOCK_ME - Page9 - RATES'!$F$65:$G$92,2,FALSE)</f>
        <v>24.7</v>
      </c>
      <c r="J61" s="58">
        <f t="shared" si="8"/>
        <v>1.2199999999999989</v>
      </c>
      <c r="K61" s="58">
        <f>J61*'LOCK_ME - Page9 - RATES'!$H$28</f>
        <v>0.73199999999999932</v>
      </c>
      <c r="L61" s="876">
        <f t="shared" si="9"/>
        <v>24.212</v>
      </c>
      <c r="M61" s="880">
        <f>IF(Page1!$D$31="(NEW) Post-January 1 2014",Page1!$N$31,0)</f>
        <v>0</v>
      </c>
      <c r="N61" s="883">
        <f t="shared" si="10"/>
        <v>24.212</v>
      </c>
    </row>
    <row r="62" spans="2:14" x14ac:dyDescent="0.2">
      <c r="B62" s="56" t="s">
        <v>180</v>
      </c>
      <c r="C62" s="45" t="s">
        <v>217</v>
      </c>
      <c r="D62" s="45" t="str">
        <f t="shared" si="4"/>
        <v>JJEP</v>
      </c>
      <c r="E62" s="57">
        <f t="shared" si="5"/>
        <v>14</v>
      </c>
      <c r="F62" s="57" t="str">
        <f t="shared" si="6"/>
        <v>JJEP14</v>
      </c>
      <c r="G62" s="57" t="str">
        <f t="shared" si="7"/>
        <v>CSSEA - Residence Coordinator14</v>
      </c>
      <c r="H62" s="58">
        <f>VLOOKUP($F62,'LOCK_ME - Page9 - RATES'!$F$34:$G$61,2,FALSE)</f>
        <v>23.48</v>
      </c>
      <c r="I62" s="58">
        <f>VLOOKUP($F62,'LOCK_ME - Page9 - RATES'!$F$65:$G$92,2,FALSE)</f>
        <v>24.7</v>
      </c>
      <c r="J62" s="58">
        <f t="shared" si="8"/>
        <v>1.2199999999999989</v>
      </c>
      <c r="K62" s="58">
        <f>J62*'LOCK_ME - Page9 - RATES'!$H$28</f>
        <v>0.73199999999999932</v>
      </c>
      <c r="L62" s="876">
        <f t="shared" si="9"/>
        <v>24.212</v>
      </c>
      <c r="M62" s="880">
        <f>IF(Page1!$D$31="(NEW) Post-January 1 2014",Page1!$N$31,0)</f>
        <v>0</v>
      </c>
      <c r="N62" s="883">
        <f t="shared" si="10"/>
        <v>24.212</v>
      </c>
    </row>
    <row r="63" spans="2:14" x14ac:dyDescent="0.2">
      <c r="B63" s="56" t="s">
        <v>180</v>
      </c>
      <c r="C63" s="45" t="s">
        <v>218</v>
      </c>
      <c r="D63" s="45" t="str">
        <f t="shared" si="4"/>
        <v>PP</v>
      </c>
      <c r="E63" s="57">
        <f t="shared" si="5"/>
        <v>16</v>
      </c>
      <c r="F63" s="57" t="str">
        <f t="shared" si="6"/>
        <v>PP16</v>
      </c>
      <c r="G63" s="57" t="str">
        <f t="shared" si="7"/>
        <v>CSSEA - Residence Nurse16</v>
      </c>
      <c r="H63" s="58">
        <f>VLOOKUP($F63,'LOCK_ME - Page9 - RATES'!$F$34:$G$61,2,FALSE)</f>
        <v>30.26</v>
      </c>
      <c r="I63" s="58">
        <f>VLOOKUP($F63,'LOCK_ME - Page9 - RATES'!$F$65:$G$92,2,FALSE)</f>
        <v>31.84</v>
      </c>
      <c r="J63" s="58">
        <f t="shared" si="8"/>
        <v>1.5799999999999983</v>
      </c>
      <c r="K63" s="58">
        <f>J63*'LOCK_ME - Page9 - RATES'!$H$28</f>
        <v>0.94799999999999895</v>
      </c>
      <c r="L63" s="876">
        <f t="shared" si="9"/>
        <v>31.208000000000002</v>
      </c>
      <c r="M63" s="880">
        <f>IF(Page1!$D$31="(NEW) Post-January 1 2014",Page1!$N$31,0)</f>
        <v>0</v>
      </c>
      <c r="N63" s="883">
        <f t="shared" si="10"/>
        <v>31.207999999999998</v>
      </c>
    </row>
    <row r="64" spans="2:14" x14ac:dyDescent="0.2">
      <c r="B64" s="56" t="s">
        <v>180</v>
      </c>
      <c r="C64" s="45" t="s">
        <v>219</v>
      </c>
      <c r="D64" s="45" t="str">
        <f t="shared" si="4"/>
        <v>JJEP</v>
      </c>
      <c r="E64" s="57">
        <f t="shared" si="5"/>
        <v>10</v>
      </c>
      <c r="F64" s="57" t="str">
        <f t="shared" si="6"/>
        <v>JJEP10</v>
      </c>
      <c r="G64" s="57" t="str">
        <f t="shared" si="7"/>
        <v>CSSEA - Residence Worker10</v>
      </c>
      <c r="H64" s="58">
        <f>VLOOKUP($F64,'LOCK_ME - Page9 - RATES'!$F$34:$G$61,2,FALSE)</f>
        <v>17.88</v>
      </c>
      <c r="I64" s="58">
        <f>VLOOKUP($F64,'LOCK_ME - Page9 - RATES'!$F$65:$G$92,2,FALSE)</f>
        <v>18.82</v>
      </c>
      <c r="J64" s="58">
        <f t="shared" si="8"/>
        <v>0.94000000000000128</v>
      </c>
      <c r="K64" s="58">
        <f>J64*'LOCK_ME - Page9 - RATES'!$H$28</f>
        <v>0.56400000000000072</v>
      </c>
      <c r="L64" s="876">
        <f t="shared" si="9"/>
        <v>18.443999999999999</v>
      </c>
      <c r="M64" s="880">
        <f>IF(Page1!$D$31="(NEW) Post-January 1 2014",Page1!$N$31,0)</f>
        <v>0</v>
      </c>
      <c r="N64" s="883">
        <f t="shared" si="10"/>
        <v>18.443999999999999</v>
      </c>
    </row>
    <row r="65" spans="2:15" x14ac:dyDescent="0.2">
      <c r="B65" s="56" t="s">
        <v>180</v>
      </c>
      <c r="C65" s="45" t="s">
        <v>220</v>
      </c>
      <c r="D65" s="45" t="str">
        <f t="shared" si="4"/>
        <v>JJEP</v>
      </c>
      <c r="E65" s="57">
        <f t="shared" si="5"/>
        <v>12</v>
      </c>
      <c r="F65" s="57" t="str">
        <f t="shared" si="6"/>
        <v>JJEP12</v>
      </c>
      <c r="G65" s="57" t="str">
        <f t="shared" si="7"/>
        <v>CSSEA - Residence Worker, Senior12</v>
      </c>
      <c r="H65" s="58">
        <f>VLOOKUP($F65,'LOCK_ME - Page9 - RATES'!$F$34:$G$61,2,FALSE)</f>
        <v>20.260000000000002</v>
      </c>
      <c r="I65" s="58">
        <f>VLOOKUP($F65,'LOCK_ME - Page9 - RATES'!$F$65:$G$92,2,FALSE)</f>
        <v>21.33</v>
      </c>
      <c r="J65" s="58">
        <f t="shared" si="8"/>
        <v>1.0699999999999967</v>
      </c>
      <c r="K65" s="58">
        <f>J65*'LOCK_ME - Page9 - RATES'!$H$28</f>
        <v>0.64199999999999802</v>
      </c>
      <c r="L65" s="876">
        <f t="shared" si="9"/>
        <v>20.902000000000001</v>
      </c>
      <c r="M65" s="880">
        <f>IF(Page1!$D$31="(NEW) Post-January 1 2014",Page1!$N$31,0)</f>
        <v>0</v>
      </c>
      <c r="N65" s="883">
        <f t="shared" si="10"/>
        <v>20.902000000000001</v>
      </c>
    </row>
    <row r="66" spans="2:15" x14ac:dyDescent="0.2">
      <c r="B66" s="56" t="s">
        <v>180</v>
      </c>
      <c r="C66" s="45" t="s">
        <v>221</v>
      </c>
      <c r="D66" s="45" t="str">
        <f t="shared" si="4"/>
        <v>JJEP</v>
      </c>
      <c r="E66" s="57">
        <f t="shared" si="5"/>
        <v>11</v>
      </c>
      <c r="F66" s="57" t="str">
        <f t="shared" si="6"/>
        <v>JJEP11</v>
      </c>
      <c r="G66" s="57" t="str">
        <f t="shared" si="7"/>
        <v>CSSEA - Vocational Counsellor11</v>
      </c>
      <c r="H66" s="58">
        <f>VLOOKUP($F66,'LOCK_ME - Page9 - RATES'!$F$34:$G$61,2,FALSE)</f>
        <v>19.11</v>
      </c>
      <c r="I66" s="58">
        <f>VLOOKUP($F66,'LOCK_ME - Page9 - RATES'!$F$65:$G$92,2,FALSE)</f>
        <v>20.12</v>
      </c>
      <c r="J66" s="58">
        <f t="shared" si="8"/>
        <v>1.0100000000000016</v>
      </c>
      <c r="K66" s="58">
        <f>J66*'LOCK_ME - Page9 - RATES'!$H$28</f>
        <v>0.60600000000000087</v>
      </c>
      <c r="L66" s="876">
        <f t="shared" si="9"/>
        <v>19.716000000000001</v>
      </c>
      <c r="M66" s="880">
        <f>IF(Page1!$D$31="(NEW) Post-January 1 2014",Page1!$N$31,0)</f>
        <v>0</v>
      </c>
      <c r="N66" s="883">
        <f t="shared" si="10"/>
        <v>19.716000000000001</v>
      </c>
    </row>
    <row r="67" spans="2:15" x14ac:dyDescent="0.2">
      <c r="B67" s="56" t="s">
        <v>180</v>
      </c>
      <c r="C67" s="45" t="s">
        <v>222</v>
      </c>
      <c r="D67" s="45" t="str">
        <f t="shared" si="4"/>
        <v>JJEP</v>
      </c>
      <c r="E67" s="57">
        <f t="shared" si="5"/>
        <v>10</v>
      </c>
      <c r="F67" s="57" t="str">
        <f t="shared" si="6"/>
        <v>JJEP10</v>
      </c>
      <c r="G67" s="57" t="str">
        <f t="shared" si="7"/>
        <v>CSSEA - Vocational Worker10</v>
      </c>
      <c r="H67" s="58">
        <f>VLOOKUP($F67,'LOCK_ME - Page9 - RATES'!$F$34:$G$61,2,FALSE)</f>
        <v>17.88</v>
      </c>
      <c r="I67" s="58">
        <f>VLOOKUP($F67,'LOCK_ME - Page9 - RATES'!$F$65:$G$92,2,FALSE)</f>
        <v>18.82</v>
      </c>
      <c r="J67" s="58">
        <f t="shared" si="8"/>
        <v>0.94000000000000128</v>
      </c>
      <c r="K67" s="58">
        <f>J67*'LOCK_ME - Page9 - RATES'!$H$28</f>
        <v>0.56400000000000072</v>
      </c>
      <c r="L67" s="876">
        <f t="shared" si="9"/>
        <v>18.443999999999999</v>
      </c>
      <c r="M67" s="880">
        <f>IF(Page1!$D$31="(NEW) Post-January 1 2014",Page1!$N$31,0)</f>
        <v>0</v>
      </c>
      <c r="N67" s="883">
        <f t="shared" si="10"/>
        <v>18.443999999999999</v>
      </c>
    </row>
    <row r="68" spans="2:15" x14ac:dyDescent="0.2">
      <c r="B68" s="56" t="s">
        <v>180</v>
      </c>
      <c r="C68" s="45" t="s">
        <v>223</v>
      </c>
      <c r="D68" s="45" t="str">
        <f t="shared" si="4"/>
        <v>JJEP</v>
      </c>
      <c r="E68" s="57">
        <f t="shared" si="5"/>
        <v>12</v>
      </c>
      <c r="F68" s="57" t="str">
        <f t="shared" ref="F68" si="11">CONCATENATE(D68,E68)</f>
        <v>JJEP12</v>
      </c>
      <c r="G68" s="57" t="str">
        <f t="shared" ref="G68" si="12">CONCATENATE(C68,E68)</f>
        <v>CSSEA - Volunteer Coordinator12</v>
      </c>
      <c r="H68" s="58">
        <f>VLOOKUP($F68,'LOCK_ME - Page9 - RATES'!$F$34:$G$61,2,FALSE)</f>
        <v>20.260000000000002</v>
      </c>
      <c r="I68" s="58">
        <f>VLOOKUP($F68,'LOCK_ME - Page9 - RATES'!$F$65:$G$92,2,FALSE)</f>
        <v>21.33</v>
      </c>
      <c r="J68" s="58">
        <f t="shared" ref="J68" si="13">I68-H68</f>
        <v>1.0699999999999967</v>
      </c>
      <c r="K68" s="58">
        <f>J68*'LOCK_ME - Page9 - RATES'!$H$28</f>
        <v>0.64199999999999802</v>
      </c>
      <c r="L68" s="876">
        <f t="shared" ref="L68" si="14">H68+K68</f>
        <v>20.902000000000001</v>
      </c>
      <c r="M68" s="880">
        <f>IF(Page1!$D$31="(NEW) Post-January 1 2014",Page1!$N$31,0)</f>
        <v>0</v>
      </c>
      <c r="N68" s="883">
        <f t="shared" si="10"/>
        <v>20.902000000000001</v>
      </c>
    </row>
    <row r="69" spans="2:15" x14ac:dyDescent="0.2">
      <c r="B69" s="56" t="s">
        <v>180</v>
      </c>
      <c r="C69" s="485" t="s">
        <v>374</v>
      </c>
      <c r="D69" s="45" t="str">
        <f t="shared" si="4"/>
        <v>JJEP</v>
      </c>
      <c r="E69" s="57">
        <f t="shared" si="5"/>
        <v>0</v>
      </c>
      <c r="F69" s="57" t="str">
        <f t="shared" ref="F69" si="15">CONCATENATE(D69,E69)</f>
        <v>JJEP0</v>
      </c>
      <c r="G69" s="57" t="str">
        <f>CONCATENATE(C69,E69)</f>
        <v>CSSEA - Special Stat Day Worker Position0</v>
      </c>
      <c r="H69" s="490">
        <v>0</v>
      </c>
      <c r="I69" s="490">
        <v>0</v>
      </c>
      <c r="J69" s="58">
        <f t="shared" ref="J69" si="16">I69-H69</f>
        <v>0</v>
      </c>
      <c r="K69" s="58">
        <f>J69*'LOCK_ME - Page9 - RATES'!$H$28</f>
        <v>0</v>
      </c>
      <c r="L69" s="879">
        <f>L55*1.5</f>
        <v>27.665999999999997</v>
      </c>
      <c r="M69" s="880">
        <f>IF(Page1!$D$31="(NEW) Post-January 1 2014",Page1!$N$31,0)</f>
        <v>0</v>
      </c>
      <c r="N69" s="844">
        <f t="shared" si="10"/>
        <v>27.666</v>
      </c>
      <c r="O69" s="34" t="s">
        <v>371</v>
      </c>
    </row>
    <row r="70" spans="2:15" ht="13.5" thickBot="1" x14ac:dyDescent="0.25">
      <c r="B70" s="59" t="s">
        <v>180</v>
      </c>
      <c r="C70" s="60" t="s">
        <v>333</v>
      </c>
      <c r="D70" s="2" t="str">
        <f t="shared" si="4"/>
        <v>JJEP</v>
      </c>
      <c r="E70" s="61">
        <f t="shared" si="5"/>
        <v>0</v>
      </c>
      <c r="F70" s="61" t="str">
        <f t="shared" si="6"/>
        <v>JJEP0</v>
      </c>
      <c r="G70" s="61" t="str">
        <f t="shared" si="7"/>
        <v>CSSEA - Other0</v>
      </c>
      <c r="H70" s="392">
        <v>0</v>
      </c>
      <c r="I70" s="392">
        <v>0</v>
      </c>
      <c r="J70" s="62">
        <f t="shared" si="8"/>
        <v>0</v>
      </c>
      <c r="K70" s="62">
        <f>J70*'LOCK_ME - Page9 - RATES'!$H$28</f>
        <v>0</v>
      </c>
      <c r="L70" s="877">
        <f t="shared" si="9"/>
        <v>0</v>
      </c>
      <c r="M70" s="881">
        <f>IF(Page1!$D$31="(NEW) Post-January 1 2014",Page1!$N$31,0)</f>
        <v>0</v>
      </c>
      <c r="N70" s="884">
        <f t="shared" si="10"/>
        <v>0</v>
      </c>
    </row>
    <row r="71" spans="2:15" x14ac:dyDescent="0.2">
      <c r="B71" s="63" t="s">
        <v>183</v>
      </c>
      <c r="C71" s="64" t="s">
        <v>224</v>
      </c>
      <c r="D71" s="64" t="str">
        <f t="shared" si="4"/>
        <v>HEABC</v>
      </c>
      <c r="E71" s="65">
        <f t="shared" si="5"/>
        <v>3</v>
      </c>
      <c r="F71" s="65" t="str">
        <f>CONCATENATE(D71,E71)</f>
        <v>HEABC3</v>
      </c>
      <c r="G71" s="65" t="str">
        <f t="shared" si="7"/>
        <v>HEABC - Community Health Worker 13</v>
      </c>
      <c r="H71" s="66">
        <f>VLOOKUP($F71,'LOCK_ME - Page9 - RATES'!$L$34:$M$61,2,FALSE)</f>
        <v>17.170000000000002</v>
      </c>
      <c r="I71" s="66">
        <f>VLOOKUP($F71,'LOCK_ME - Page9 - RATES'!$L$65:$M$92,2,FALSE)</f>
        <v>17.78</v>
      </c>
      <c r="J71" s="66">
        <f>I71-H71</f>
        <v>0.60999999999999943</v>
      </c>
      <c r="K71" s="66">
        <f>J71*'LOCK_ME - Page9 - RATES'!$H$28</f>
        <v>0.36599999999999966</v>
      </c>
      <c r="L71" s="878">
        <f>H71+K71</f>
        <v>17.536000000000001</v>
      </c>
      <c r="M71" s="1226">
        <f>IF(Page1!$D$34="(NEW) Post-January 1 2014",Page1!$N$34,0)</f>
        <v>0</v>
      </c>
      <c r="N71" s="885">
        <f t="shared" si="10"/>
        <v>17.536000000000001</v>
      </c>
    </row>
    <row r="72" spans="2:15" x14ac:dyDescent="0.2">
      <c r="B72" s="56" t="s">
        <v>183</v>
      </c>
      <c r="C72" s="45" t="s">
        <v>225</v>
      </c>
      <c r="D72" s="45" t="str">
        <f t="shared" si="4"/>
        <v>HEABC</v>
      </c>
      <c r="E72" s="57">
        <f t="shared" si="5"/>
        <v>8</v>
      </c>
      <c r="F72" s="57" t="str">
        <f t="shared" ref="F72:F81" si="17">CONCATENATE(D72,E72)</f>
        <v>HEABC8</v>
      </c>
      <c r="G72" s="57" t="str">
        <f t="shared" si="7"/>
        <v>HEABC - Activity Worker8</v>
      </c>
      <c r="H72" s="58">
        <f>VLOOKUP($F72,'LOCK_ME - Page9 - RATES'!$L$34:$M$61,2,FALSE)</f>
        <v>20.14</v>
      </c>
      <c r="I72" s="58">
        <f>VLOOKUP($F72,'LOCK_ME - Page9 - RATES'!$L$65:$M$92,2,FALSE)</f>
        <v>20.72</v>
      </c>
      <c r="J72" s="58">
        <f t="shared" ref="J72:J81" si="18">I72-H72</f>
        <v>0.57999999999999829</v>
      </c>
      <c r="K72" s="58">
        <f>J72*'LOCK_ME - Page9 - RATES'!$H$28</f>
        <v>0.34799999999999898</v>
      </c>
      <c r="L72" s="876">
        <f t="shared" ref="L72:L81" si="19">H72+K72</f>
        <v>20.488</v>
      </c>
      <c r="M72" s="880">
        <f>IF(Page1!$D$34="(NEW) Post-January 1 2014",Page1!$N$34,0)</f>
        <v>0</v>
      </c>
      <c r="N72" s="883">
        <f t="shared" si="10"/>
        <v>20.488</v>
      </c>
    </row>
    <row r="73" spans="2:15" x14ac:dyDescent="0.2">
      <c r="B73" s="56" t="s">
        <v>183</v>
      </c>
      <c r="C73" s="45" t="s">
        <v>226</v>
      </c>
      <c r="D73" s="45" t="str">
        <f t="shared" si="4"/>
        <v>HEABC</v>
      </c>
      <c r="E73" s="57">
        <f t="shared" si="5"/>
        <v>8</v>
      </c>
      <c r="F73" s="57" t="str">
        <f t="shared" si="17"/>
        <v>HEABC8</v>
      </c>
      <c r="G73" s="57" t="str">
        <f t="shared" si="7"/>
        <v>HEABC - Community Health Worker 28</v>
      </c>
      <c r="H73" s="58">
        <f>VLOOKUP($F73,'LOCK_ME - Page9 - RATES'!$L$34:$M$61,2,FALSE)</f>
        <v>20.14</v>
      </c>
      <c r="I73" s="58">
        <f>VLOOKUP($F73,'LOCK_ME - Page9 - RATES'!$L$65:$M$92,2,FALSE)</f>
        <v>20.72</v>
      </c>
      <c r="J73" s="58">
        <f>I73-H73</f>
        <v>0.57999999999999829</v>
      </c>
      <c r="K73" s="58">
        <f>J73*'LOCK_ME - Page9 - RATES'!$H$28</f>
        <v>0.34799999999999898</v>
      </c>
      <c r="L73" s="876">
        <f t="shared" si="19"/>
        <v>20.488</v>
      </c>
      <c r="M73" s="880">
        <f>IF(Page1!$D$34="(NEW) Post-January 1 2014",Page1!$N$34,0)</f>
        <v>0</v>
      </c>
      <c r="N73" s="883">
        <f t="shared" si="10"/>
        <v>20.488</v>
      </c>
    </row>
    <row r="74" spans="2:15" x14ac:dyDescent="0.2">
      <c r="B74" s="56" t="s">
        <v>183</v>
      </c>
      <c r="C74" s="45" t="s">
        <v>227</v>
      </c>
      <c r="D74" s="45" t="str">
        <f t="shared" si="4"/>
        <v>HEABC</v>
      </c>
      <c r="E74" s="57">
        <f t="shared" si="5"/>
        <v>8</v>
      </c>
      <c r="F74" s="57" t="str">
        <f t="shared" si="17"/>
        <v>HEABC8</v>
      </c>
      <c r="G74" s="57" t="str">
        <f t="shared" si="7"/>
        <v>HEABC - Resident Care Aide8</v>
      </c>
      <c r="H74" s="58">
        <f>VLOOKUP($F74,'LOCK_ME - Page9 - RATES'!$L$34:$M$61,2,FALSE)</f>
        <v>20.14</v>
      </c>
      <c r="I74" s="58">
        <f>VLOOKUP($F74,'LOCK_ME - Page9 - RATES'!$L$65:$M$92,2,FALSE)</f>
        <v>20.72</v>
      </c>
      <c r="J74" s="58">
        <f t="shared" si="18"/>
        <v>0.57999999999999829</v>
      </c>
      <c r="K74" s="58">
        <f>J74*'LOCK_ME - Page9 - RATES'!$H$28</f>
        <v>0.34799999999999898</v>
      </c>
      <c r="L74" s="876">
        <f t="shared" si="19"/>
        <v>20.488</v>
      </c>
      <c r="M74" s="880">
        <f>IF(Page1!$D$34="(NEW) Post-January 1 2014",Page1!$N$34,0)</f>
        <v>0</v>
      </c>
      <c r="N74" s="883">
        <f t="shared" si="10"/>
        <v>20.488</v>
      </c>
    </row>
    <row r="75" spans="2:15" x14ac:dyDescent="0.2">
      <c r="B75" s="56" t="s">
        <v>183</v>
      </c>
      <c r="C75" s="45" t="s">
        <v>228</v>
      </c>
      <c r="D75" s="45" t="str">
        <f t="shared" si="4"/>
        <v>HEABC</v>
      </c>
      <c r="E75" s="57">
        <f t="shared" si="5"/>
        <v>8</v>
      </c>
      <c r="F75" s="57" t="str">
        <f t="shared" si="17"/>
        <v>HEABC8</v>
      </c>
      <c r="G75" s="57" t="str">
        <f t="shared" si="7"/>
        <v>HEABC - Support Worker 18</v>
      </c>
      <c r="H75" s="58">
        <f>VLOOKUP($F75,'LOCK_ME - Page9 - RATES'!$L$34:$M$61,2,FALSE)</f>
        <v>20.14</v>
      </c>
      <c r="I75" s="58">
        <f>VLOOKUP($F75,'LOCK_ME - Page9 - RATES'!$L$65:$M$92,2,FALSE)</f>
        <v>20.72</v>
      </c>
      <c r="J75" s="58">
        <f t="shared" si="18"/>
        <v>0.57999999999999829</v>
      </c>
      <c r="K75" s="58">
        <f>J75*'LOCK_ME - Page9 - RATES'!$H$28</f>
        <v>0.34799999999999898</v>
      </c>
      <c r="L75" s="876">
        <f>H75+K75</f>
        <v>20.488</v>
      </c>
      <c r="M75" s="880">
        <f>IF(Page1!$D$34="(NEW) Post-January 1 2014",Page1!$N$34,0)</f>
        <v>0</v>
      </c>
      <c r="N75" s="883">
        <f t="shared" si="10"/>
        <v>20.488</v>
      </c>
    </row>
    <row r="76" spans="2:15" x14ac:dyDescent="0.2">
      <c r="B76" s="56" t="s">
        <v>183</v>
      </c>
      <c r="C76" s="45" t="s">
        <v>229</v>
      </c>
      <c r="D76" s="45" t="str">
        <f t="shared" si="4"/>
        <v>HEABC</v>
      </c>
      <c r="E76" s="57">
        <f t="shared" si="5"/>
        <v>9</v>
      </c>
      <c r="F76" s="57" t="str">
        <f t="shared" si="17"/>
        <v>HEABC9</v>
      </c>
      <c r="G76" s="57" t="str">
        <f t="shared" si="7"/>
        <v>HEABC - Program Coordinator 19</v>
      </c>
      <c r="H76" s="58">
        <f>VLOOKUP($F76,'LOCK_ME - Page9 - RATES'!$L$34:$M$61,2,FALSE)</f>
        <v>21.01</v>
      </c>
      <c r="I76" s="58">
        <f>VLOOKUP($F76,'LOCK_ME - Page9 - RATES'!$L$65:$M$92,2,FALSE)</f>
        <v>21.59</v>
      </c>
      <c r="J76" s="58">
        <f t="shared" si="18"/>
        <v>0.57999999999999829</v>
      </c>
      <c r="K76" s="58">
        <f>J76*'LOCK_ME - Page9 - RATES'!$H$28</f>
        <v>0.34799999999999898</v>
      </c>
      <c r="L76" s="876">
        <f t="shared" si="19"/>
        <v>21.358000000000001</v>
      </c>
      <c r="M76" s="880">
        <f>IF(Page1!$D$34="(NEW) Post-January 1 2014",Page1!$N$34,0)</f>
        <v>0</v>
      </c>
      <c r="N76" s="883">
        <f t="shared" si="10"/>
        <v>21.358000000000001</v>
      </c>
    </row>
    <row r="77" spans="2:15" x14ac:dyDescent="0.2">
      <c r="B77" s="56" t="s">
        <v>183</v>
      </c>
      <c r="C77" s="45" t="s">
        <v>230</v>
      </c>
      <c r="D77" s="45" t="str">
        <f t="shared" si="4"/>
        <v>HEABC</v>
      </c>
      <c r="E77" s="57">
        <f t="shared" si="5"/>
        <v>10</v>
      </c>
      <c r="F77" s="57" t="str">
        <f t="shared" si="17"/>
        <v>HEABC10</v>
      </c>
      <c r="G77" s="57" t="str">
        <f t="shared" si="7"/>
        <v>HEABC - Support Worker 210</v>
      </c>
      <c r="H77" s="58">
        <f>VLOOKUP($F77,'LOCK_ME - Page9 - RATES'!$L$34:$M$61,2,FALSE)</f>
        <v>21.91</v>
      </c>
      <c r="I77" s="58">
        <f>VLOOKUP($F77,'LOCK_ME - Page9 - RATES'!$L$65:$M$92,2,FALSE)</f>
        <v>22.49</v>
      </c>
      <c r="J77" s="58">
        <f t="shared" si="18"/>
        <v>0.57999999999999829</v>
      </c>
      <c r="K77" s="58">
        <f>J77*'LOCK_ME - Page9 - RATES'!$H$28</f>
        <v>0.34799999999999898</v>
      </c>
      <c r="L77" s="876">
        <f t="shared" si="19"/>
        <v>22.257999999999999</v>
      </c>
      <c r="M77" s="880">
        <f>IF(Page1!$D$34="(NEW) Post-January 1 2014",Page1!$N$34,0)</f>
        <v>0</v>
      </c>
      <c r="N77" s="883">
        <f t="shared" si="10"/>
        <v>22.257999999999999</v>
      </c>
    </row>
    <row r="78" spans="2:15" x14ac:dyDescent="0.2">
      <c r="B78" s="56" t="s">
        <v>183</v>
      </c>
      <c r="C78" s="45" t="s">
        <v>231</v>
      </c>
      <c r="D78" s="45" t="str">
        <f t="shared" si="4"/>
        <v>HEABC</v>
      </c>
      <c r="E78" s="57">
        <f t="shared" si="5"/>
        <v>11</v>
      </c>
      <c r="F78" s="57" t="str">
        <f t="shared" si="17"/>
        <v>HEABC11</v>
      </c>
      <c r="G78" s="57" t="str">
        <f t="shared" si="7"/>
        <v>HEABC - Residence Coordinator11</v>
      </c>
      <c r="H78" s="58">
        <f>VLOOKUP($F78,'LOCK_ME - Page9 - RATES'!$L$34:$M$61,2,FALSE)</f>
        <v>23.09</v>
      </c>
      <c r="I78" s="58">
        <f>VLOOKUP($F78,'LOCK_ME - Page9 - RATES'!$L$65:$M$92,2,FALSE)</f>
        <v>23.67</v>
      </c>
      <c r="J78" s="58">
        <f t="shared" si="18"/>
        <v>0.58000000000000185</v>
      </c>
      <c r="K78" s="58">
        <f>J78*'LOCK_ME - Page9 - RATES'!$H$28</f>
        <v>0.34800000000000109</v>
      </c>
      <c r="L78" s="876">
        <f t="shared" si="19"/>
        <v>23.438000000000002</v>
      </c>
      <c r="M78" s="880">
        <f>IF(Page1!$D$34="(NEW) Post-January 1 2014",Page1!$N$34,0)</f>
        <v>0</v>
      </c>
      <c r="N78" s="883">
        <f t="shared" si="10"/>
        <v>23.437999999999999</v>
      </c>
    </row>
    <row r="79" spans="2:15" x14ac:dyDescent="0.2">
      <c r="B79" s="56" t="s">
        <v>183</v>
      </c>
      <c r="C79" s="45" t="s">
        <v>232</v>
      </c>
      <c r="D79" s="45" t="str">
        <f t="shared" si="4"/>
        <v>HEABC</v>
      </c>
      <c r="E79" s="57">
        <f t="shared" si="5"/>
        <v>13</v>
      </c>
      <c r="F79" s="57" t="str">
        <f t="shared" ref="F79" si="20">CONCATENATE(D79,E79)</f>
        <v>HEABC13</v>
      </c>
      <c r="G79" s="57" t="str">
        <f>CONCATENATE(C79,E79)</f>
        <v>HEABC - Program Coordinator 213</v>
      </c>
      <c r="H79" s="58">
        <f>VLOOKUP($F79,'LOCK_ME - Page9 - RATES'!$L$34:$M$61,2,FALSE)</f>
        <v>26.05</v>
      </c>
      <c r="I79" s="58">
        <f>VLOOKUP($F79,'LOCK_ME - Page9 - RATES'!$L$65:$M$92,2,FALSE)</f>
        <v>26.64</v>
      </c>
      <c r="J79" s="58">
        <f t="shared" ref="J79:J80" si="21">I79-H79</f>
        <v>0.58999999999999986</v>
      </c>
      <c r="K79" s="58">
        <f>J79*'LOCK_ME - Page9 - RATES'!$H$28</f>
        <v>0.35399999999999993</v>
      </c>
      <c r="L79" s="876">
        <f t="shared" ref="L79" si="22">H79+K79</f>
        <v>26.404</v>
      </c>
      <c r="M79" s="880">
        <f>IF(Page1!$D$34="(NEW) Post-January 1 2014",Page1!$N$34,0)</f>
        <v>0</v>
      </c>
      <c r="N79" s="883">
        <f t="shared" si="10"/>
        <v>26.404</v>
      </c>
    </row>
    <row r="80" spans="2:15" x14ac:dyDescent="0.2">
      <c r="B80" s="56" t="s">
        <v>183</v>
      </c>
      <c r="C80" s="485" t="s">
        <v>375</v>
      </c>
      <c r="D80" s="45" t="str">
        <f t="shared" si="4"/>
        <v>HEABC</v>
      </c>
      <c r="E80" s="57">
        <f t="shared" si="5"/>
        <v>0</v>
      </c>
      <c r="F80" s="57" t="str">
        <f t="shared" ref="F80" si="23">CONCATENATE(D80,E80)</f>
        <v>HEABC0</v>
      </c>
      <c r="G80" s="57" t="str">
        <f>CONCATENATE(C80,E80)</f>
        <v>HEABC - Special Stat Day Worker Position0</v>
      </c>
      <c r="H80" s="490">
        <v>0</v>
      </c>
      <c r="I80" s="490">
        <v>0</v>
      </c>
      <c r="J80" s="58">
        <f t="shared" si="21"/>
        <v>0</v>
      </c>
      <c r="K80" s="58">
        <f>J80*'LOCK_ME - Page9 - RATES'!$H$28</f>
        <v>0</v>
      </c>
      <c r="L80" s="879">
        <f>L73*1.5</f>
        <v>30.731999999999999</v>
      </c>
      <c r="M80" s="880">
        <f>IF(Page1!$D$34="(NEW) Post-January 1 2014",Page1!$N$34,0)</f>
        <v>0</v>
      </c>
      <c r="N80" s="844">
        <f>ROUND(L80*(1+M80),4)</f>
        <v>30.731999999999999</v>
      </c>
      <c r="O80" s="38" t="s">
        <v>405</v>
      </c>
    </row>
    <row r="81" spans="1:15" ht="13.5" thickBot="1" x14ac:dyDescent="0.25">
      <c r="B81" s="59" t="s">
        <v>183</v>
      </c>
      <c r="C81" s="60" t="s">
        <v>334</v>
      </c>
      <c r="D81" s="2" t="str">
        <f t="shared" si="4"/>
        <v>HEABC</v>
      </c>
      <c r="E81" s="61">
        <f t="shared" si="5"/>
        <v>0</v>
      </c>
      <c r="F81" s="61" t="str">
        <f t="shared" si="17"/>
        <v>HEABC0</v>
      </c>
      <c r="G81" s="61" t="str">
        <f>CONCATENATE(C81,E81)</f>
        <v>HEABC - Other0</v>
      </c>
      <c r="H81" s="392">
        <v>0</v>
      </c>
      <c r="I81" s="392">
        <v>0</v>
      </c>
      <c r="J81" s="62">
        <f t="shared" si="18"/>
        <v>0</v>
      </c>
      <c r="K81" s="62">
        <f>J81*'LOCK_ME - Page9 - RATES'!$H$28</f>
        <v>0</v>
      </c>
      <c r="L81" s="877">
        <f t="shared" si="19"/>
        <v>0</v>
      </c>
      <c r="M81" s="881">
        <f>IF(Page1!$D$34="(NEW) Post-January 1 2014",Page1!$N$34,0)</f>
        <v>0</v>
      </c>
      <c r="N81" s="884">
        <f t="shared" si="10"/>
        <v>0</v>
      </c>
    </row>
    <row r="82" spans="1:15" x14ac:dyDescent="0.2">
      <c r="C82" s="38"/>
      <c r="F82" s="67"/>
      <c r="G82" s="67"/>
      <c r="H82" s="67"/>
      <c r="I82" s="67"/>
      <c r="J82" s="67"/>
    </row>
    <row r="83" spans="1:15" s="40" customFormat="1" ht="15.75" x14ac:dyDescent="0.25">
      <c r="A83" s="43" t="s">
        <v>87</v>
      </c>
      <c r="B83" s="43"/>
      <c r="K83" s="38">
        <v>0.75</v>
      </c>
      <c r="L83" s="38">
        <v>0.5</v>
      </c>
    </row>
    <row r="84" spans="1:15" s="1208" customFormat="1" ht="38.25" x14ac:dyDescent="0.2">
      <c r="B84" s="1220" t="s">
        <v>88</v>
      </c>
      <c r="C84" s="1220" t="s">
        <v>78</v>
      </c>
      <c r="D84" s="1220" t="s">
        <v>166</v>
      </c>
      <c r="E84" s="1220" t="s">
        <v>27</v>
      </c>
      <c r="F84" s="1220" t="s">
        <v>167</v>
      </c>
      <c r="G84" s="1220" t="s">
        <v>124</v>
      </c>
      <c r="H84" s="1220" t="s">
        <v>79</v>
      </c>
      <c r="I84" s="1220" t="s">
        <v>80</v>
      </c>
      <c r="J84" s="1220" t="s">
        <v>81</v>
      </c>
      <c r="K84" s="1220" t="s">
        <v>82</v>
      </c>
      <c r="L84" s="1220" t="s">
        <v>103</v>
      </c>
      <c r="M84" s="1218" t="s">
        <v>776</v>
      </c>
      <c r="N84" s="1219" t="s">
        <v>777</v>
      </c>
      <c r="O84" s="1222"/>
    </row>
    <row r="85" spans="1:15" x14ac:dyDescent="0.2">
      <c r="B85" s="71" t="s">
        <v>50</v>
      </c>
      <c r="C85" s="71" t="s">
        <v>102</v>
      </c>
      <c r="D85" s="71" t="str">
        <f>VLOOKUP(C85,$H$10:$J$10,2,FALSE)</f>
        <v>JJEP</v>
      </c>
      <c r="E85" s="57">
        <f>VLOOKUP(C85,$H$10:$J$10,3,FALSE)</f>
        <v>14</v>
      </c>
      <c r="F85" s="57" t="str">
        <f>CONCATENATE(D85,E85)</f>
        <v>JJEP14</v>
      </c>
      <c r="G85" s="57" t="str">
        <f>CONCATENATE(C85,E85)</f>
        <v>Program Coordinator 214</v>
      </c>
      <c r="H85" s="58">
        <f>VLOOKUP($F85,'LOCK_ME - Page9 - RATES'!$F$34:$G$61,2,FALSE)</f>
        <v>23.48</v>
      </c>
      <c r="I85" s="58">
        <f>VLOOKUP($F85,'LOCK_ME - Page9 - RATES'!$F$65:$G$92,2,FALSE)</f>
        <v>24.7</v>
      </c>
      <c r="J85" s="58">
        <f>I85-H85</f>
        <v>1.2199999999999989</v>
      </c>
      <c r="K85" s="58">
        <f>J85*$K$83</f>
        <v>0.91499999999999915</v>
      </c>
      <c r="L85" s="58">
        <f>J85*$L$83</f>
        <v>0.60999999999999943</v>
      </c>
      <c r="M85" s="882">
        <f>IF(Page1!J9="CSSEA",'LOCK_ME - Page9 - RATES'!F118,'LOCK_ME - Page9 - RATES'!H118)</f>
        <v>26.57</v>
      </c>
      <c r="N85" s="882">
        <f>IF(Page1!D37="(NEW) Post-January 1 2014",Page1!N37,M85)</f>
        <v>26.57</v>
      </c>
      <c r="O85" s="1223" t="s">
        <v>822</v>
      </c>
    </row>
    <row r="87" spans="1:15" s="40" customFormat="1" ht="15.75" x14ac:dyDescent="0.25">
      <c r="A87" s="43" t="s">
        <v>95</v>
      </c>
    </row>
    <row r="88" spans="1:15" s="1208" customFormat="1" ht="25.5" x14ac:dyDescent="0.2">
      <c r="B88" s="1220" t="s">
        <v>88</v>
      </c>
      <c r="C88" s="1220" t="s">
        <v>90</v>
      </c>
      <c r="D88" s="1220" t="s">
        <v>91</v>
      </c>
      <c r="E88" s="1218" t="s">
        <v>92</v>
      </c>
      <c r="F88" s="1218" t="s">
        <v>55</v>
      </c>
      <c r="G88" s="1218" t="s">
        <v>114</v>
      </c>
      <c r="H88" s="1221" t="s">
        <v>160</v>
      </c>
      <c r="I88" s="1218" t="s">
        <v>93</v>
      </c>
      <c r="J88" s="1218" t="s">
        <v>94</v>
      </c>
      <c r="K88" s="1218" t="s">
        <v>544</v>
      </c>
    </row>
    <row r="89" spans="1:15" x14ac:dyDescent="0.2">
      <c r="B89" s="71" t="s">
        <v>50</v>
      </c>
      <c r="C89" s="71" t="s">
        <v>49</v>
      </c>
      <c r="D89" s="57" t="str">
        <f>CONCATENATE(B89,C89)</f>
        <v>UnionResidential</v>
      </c>
      <c r="E89" s="72">
        <f>SUM('LOCK_ME - Page9 - RATES'!H105,'LOCK_ME - Page9 - RATES'!H109)</f>
        <v>0.1835</v>
      </c>
      <c r="F89" s="72">
        <f>IF(Page1!$J$13=$C89,Page5!$W$44,0)</f>
        <v>0</v>
      </c>
      <c r="G89" s="72">
        <f>IF(Page1!$J$13=$C89,Page5!$L$42,0)</f>
        <v>0</v>
      </c>
      <c r="H89" s="73">
        <f>SUM(F89:G89)</f>
        <v>0</v>
      </c>
      <c r="I89" s="72">
        <f>'LOCK_ME - Page9 - RATES'!H120</f>
        <v>0.20750000000000002</v>
      </c>
      <c r="J89" s="72">
        <f>'LOCK_ME - Page9 - RATES'!H125</f>
        <v>0.19989999999999999</v>
      </c>
      <c r="K89" s="72">
        <f>'LOCK_ME - Page9 - RATES'!H132</f>
        <v>0.1845</v>
      </c>
    </row>
    <row r="90" spans="1:15" x14ac:dyDescent="0.2">
      <c r="B90" s="71" t="s">
        <v>50</v>
      </c>
      <c r="C90" s="71" t="s">
        <v>372</v>
      </c>
      <c r="D90" s="57" t="str">
        <f>CONCATENATE(B90,C90)</f>
        <v>UnionHome Based Community Inclusion</v>
      </c>
      <c r="E90" s="72">
        <f>SUM('LOCK_ME - Page9 - RATES'!H105,'LOCK_ME - Page9 - RATES'!H109)</f>
        <v>0.1835</v>
      </c>
      <c r="F90" s="72">
        <f>IF(Page1!$J$13=$C90,Page5!$W$44,0)</f>
        <v>0</v>
      </c>
      <c r="G90" s="72">
        <f>IF(Page1!$J$13=$C90,Page5!$L$42,0)</f>
        <v>0</v>
      </c>
      <c r="H90" s="73">
        <f>SUM(F90:G90)</f>
        <v>0</v>
      </c>
      <c r="I90" s="72">
        <f>'LOCK_ME - Page9 - RATES'!H120</f>
        <v>0.20750000000000002</v>
      </c>
      <c r="J90" s="72">
        <f>'LOCK_ME - Page9 - RATES'!H125</f>
        <v>0.19989999999999999</v>
      </c>
      <c r="K90" s="72">
        <f>'LOCK_ME - Page9 - RATES'!H132</f>
        <v>0.1845</v>
      </c>
    </row>
    <row r="91" spans="1:15" x14ac:dyDescent="0.2">
      <c r="B91" s="71" t="s">
        <v>50</v>
      </c>
      <c r="C91" s="71" t="s">
        <v>48</v>
      </c>
      <c r="D91" s="57" t="str">
        <f>CONCATENATE(B91,C91)</f>
        <v>UnionNon-Residential</v>
      </c>
      <c r="E91" s="72">
        <f>SUM('LOCK_ME - Page9 - RATES'!F105,'LOCK_ME - Page9 - RATES'!F109)</f>
        <v>0.17070000000000002</v>
      </c>
      <c r="F91" s="72">
        <f>IF(Page1!$J$13=$C91,Page5!$W$44,0)</f>
        <v>6.201624E-2</v>
      </c>
      <c r="G91" s="72">
        <f>IF(Page1!$J$13=$C91,Page5!$L$42,0)</f>
        <v>2.7649999999999997E-2</v>
      </c>
      <c r="H91" s="73">
        <f>SUM(F91:G91)</f>
        <v>8.9666239999999994E-2</v>
      </c>
      <c r="I91" s="72">
        <f>'LOCK_ME - Page9 - RATES'!F120</f>
        <v>0.13830000000000001</v>
      </c>
      <c r="J91" s="72">
        <f>'LOCK_ME - Page9 - RATES'!F125</f>
        <v>0.18709999999999999</v>
      </c>
      <c r="K91" s="72">
        <f>'LOCK_ME - Page9 - RATES'!F132</f>
        <v>0.13830000000000001</v>
      </c>
    </row>
    <row r="92" spans="1:15" x14ac:dyDescent="0.2">
      <c r="F92" s="52"/>
      <c r="G92" s="52"/>
      <c r="H92" s="52"/>
      <c r="L92" s="38"/>
    </row>
    <row r="93" spans="1:15" s="40" customFormat="1" ht="15.75" hidden="1" outlineLevel="1" x14ac:dyDescent="0.25">
      <c r="A93" s="900" t="s">
        <v>781</v>
      </c>
      <c r="B93" s="901"/>
      <c r="C93" s="901"/>
      <c r="D93" s="901"/>
      <c r="E93" s="901"/>
      <c r="F93" s="74"/>
      <c r="G93" s="74"/>
      <c r="H93" s="74"/>
    </row>
    <row r="94" spans="1:15" s="55" customFormat="1" hidden="1" outlineLevel="1" x14ac:dyDescent="0.2">
      <c r="B94" s="68" t="s">
        <v>88</v>
      </c>
      <c r="C94" s="68" t="s">
        <v>90</v>
      </c>
      <c r="D94" s="68" t="s">
        <v>91</v>
      </c>
      <c r="E94" s="69" t="s">
        <v>92</v>
      </c>
      <c r="F94" s="69" t="s">
        <v>55</v>
      </c>
      <c r="G94" s="69" t="s">
        <v>114</v>
      </c>
      <c r="H94" s="44" t="s">
        <v>160</v>
      </c>
      <c r="I94" s="69" t="s">
        <v>93</v>
      </c>
      <c r="J94" s="69" t="s">
        <v>94</v>
      </c>
    </row>
    <row r="95" spans="1:15" hidden="1" outlineLevel="1" x14ac:dyDescent="0.2">
      <c r="B95" s="71" t="s">
        <v>50</v>
      </c>
      <c r="C95" s="71" t="s">
        <v>49</v>
      </c>
      <c r="D95" s="57" t="str">
        <f>CONCATENATE(B95,C95)</f>
        <v>UnionResidential</v>
      </c>
      <c r="E95" s="72">
        <f>E89</f>
        <v>0.1835</v>
      </c>
      <c r="F95" s="72">
        <f>IF(Page1!$J$13=$C95,Page5!$W$44,0)</f>
        <v>0</v>
      </c>
      <c r="G95" s="72">
        <f>IF(Page1!$J$13=$C95,Page5!$L$42,0)</f>
        <v>0</v>
      </c>
      <c r="H95" s="73">
        <f>SUM(F95:G95)</f>
        <v>0</v>
      </c>
      <c r="I95" s="72"/>
      <c r="J95" s="72"/>
    </row>
    <row r="96" spans="1:15" hidden="1" outlineLevel="1" x14ac:dyDescent="0.2">
      <c r="B96" s="71" t="s">
        <v>50</v>
      </c>
      <c r="C96" s="71" t="s">
        <v>372</v>
      </c>
      <c r="D96" s="57" t="str">
        <f>CONCATENATE(B96,C96)</f>
        <v>UnionHome Based Community Inclusion</v>
      </c>
      <c r="E96" s="72">
        <f>E89</f>
        <v>0.1835</v>
      </c>
      <c r="F96" s="72">
        <f>IF(Page1!$J$13=$C96,Page5!$W$44,0)</f>
        <v>0</v>
      </c>
      <c r="G96" s="72">
        <f>IF(Page1!$J$13=$C96,Page5!$L$42,0)</f>
        <v>0</v>
      </c>
      <c r="H96" s="73">
        <f>SUM(F96:G96)</f>
        <v>0</v>
      </c>
      <c r="I96" s="72"/>
      <c r="J96" s="72"/>
    </row>
    <row r="97" spans="1:10" hidden="1" outlineLevel="1" x14ac:dyDescent="0.2">
      <c r="B97" s="71" t="s">
        <v>50</v>
      </c>
      <c r="C97" s="71" t="s">
        <v>48</v>
      </c>
      <c r="D97" s="57" t="str">
        <f>CONCATENATE(B97,C97)</f>
        <v>UnionNon-Residential</v>
      </c>
      <c r="E97" s="72">
        <f t="shared" ref="E97" si="24">E91</f>
        <v>0.17070000000000002</v>
      </c>
      <c r="F97" s="72">
        <f>IF(Page1!$J$13=$C97,Page5!$W$44,0)</f>
        <v>6.201624E-2</v>
      </c>
      <c r="G97" s="72">
        <f>IF(Page1!$J$13=$C97,Page5!$L$42,0)</f>
        <v>2.7649999999999997E-2</v>
      </c>
      <c r="H97" s="73">
        <f>SUM(F97:G97)</f>
        <v>8.9666239999999994E-2</v>
      </c>
      <c r="I97" s="72"/>
      <c r="J97" s="72"/>
    </row>
    <row r="98" spans="1:10" hidden="1" outlineLevel="1" x14ac:dyDescent="0.2"/>
    <row r="99" spans="1:10" hidden="1" outlineLevel="1" x14ac:dyDescent="0.2"/>
    <row r="100" spans="1:10" ht="15.75" collapsed="1" x14ac:dyDescent="0.25">
      <c r="A100" s="43" t="s">
        <v>351</v>
      </c>
      <c r="C100" s="524"/>
    </row>
    <row r="101" spans="1:10" x14ac:dyDescent="0.2">
      <c r="B101" s="71" t="s">
        <v>414</v>
      </c>
      <c r="C101" s="272"/>
    </row>
    <row r="102" spans="1:10" x14ac:dyDescent="0.2">
      <c r="B102" s="57" t="s">
        <v>352</v>
      </c>
      <c r="C102" s="272"/>
    </row>
    <row r="103" spans="1:10" x14ac:dyDescent="0.2">
      <c r="B103" s="57" t="s">
        <v>353</v>
      </c>
      <c r="C103" s="272"/>
    </row>
    <row r="104" spans="1:10" x14ac:dyDescent="0.2">
      <c r="B104" s="57" t="s">
        <v>354</v>
      </c>
      <c r="C104" s="272"/>
    </row>
    <row r="105" spans="1:10" x14ac:dyDescent="0.2">
      <c r="B105" s="57" t="s">
        <v>355</v>
      </c>
      <c r="C105" s="272"/>
    </row>
    <row r="106" spans="1:10" x14ac:dyDescent="0.2">
      <c r="B106" s="57" t="s">
        <v>356</v>
      </c>
      <c r="C106" s="272"/>
    </row>
    <row r="107" spans="1:10" x14ac:dyDescent="0.2">
      <c r="B107" s="57" t="s">
        <v>357</v>
      </c>
      <c r="C107" s="272"/>
    </row>
    <row r="108" spans="1:10" x14ac:dyDescent="0.2">
      <c r="B108" s="57" t="s">
        <v>358</v>
      </c>
    </row>
    <row r="110" spans="1:10" ht="15.75" x14ac:dyDescent="0.25">
      <c r="A110" s="43" t="s">
        <v>402</v>
      </c>
    </row>
    <row r="111" spans="1:10" x14ac:dyDescent="0.2">
      <c r="A111" s="272"/>
      <c r="B111" s="57" t="s">
        <v>352</v>
      </c>
    </row>
    <row r="112" spans="1:10" x14ac:dyDescent="0.2">
      <c r="A112" s="272"/>
      <c r="B112" s="57" t="s">
        <v>353</v>
      </c>
    </row>
    <row r="113" spans="1:2" x14ac:dyDescent="0.2">
      <c r="A113" s="272"/>
      <c r="B113" s="57" t="s">
        <v>354</v>
      </c>
    </row>
    <row r="114" spans="1:2" x14ac:dyDescent="0.2">
      <c r="A114" s="272"/>
      <c r="B114" s="57" t="s">
        <v>355</v>
      </c>
    </row>
    <row r="115" spans="1:2" x14ac:dyDescent="0.2">
      <c r="A115" s="272"/>
      <c r="B115" s="57" t="s">
        <v>356</v>
      </c>
    </row>
    <row r="116" spans="1:2" x14ac:dyDescent="0.2">
      <c r="A116" s="272"/>
      <c r="B116" s="57" t="s">
        <v>357</v>
      </c>
    </row>
    <row r="117" spans="1:2" x14ac:dyDescent="0.2">
      <c r="A117" s="272"/>
      <c r="B117" s="57" t="s">
        <v>358</v>
      </c>
    </row>
    <row r="119" spans="1:2" ht="15.75" x14ac:dyDescent="0.25">
      <c r="A119" s="43" t="s">
        <v>373</v>
      </c>
    </row>
    <row r="120" spans="1:2" x14ac:dyDescent="0.2">
      <c r="B120" s="44" t="s">
        <v>83</v>
      </c>
    </row>
    <row r="121" spans="1:2" x14ac:dyDescent="0.2">
      <c r="B121" s="45" t="s">
        <v>203</v>
      </c>
    </row>
    <row r="122" spans="1:2" x14ac:dyDescent="0.2">
      <c r="B122" s="45" t="s">
        <v>204</v>
      </c>
    </row>
    <row r="123" spans="1:2" x14ac:dyDescent="0.2">
      <c r="B123" s="45" t="s">
        <v>205</v>
      </c>
    </row>
    <row r="124" spans="1:2" x14ac:dyDescent="0.2">
      <c r="B124" s="45" t="s">
        <v>206</v>
      </c>
    </row>
    <row r="125" spans="1:2" x14ac:dyDescent="0.2">
      <c r="B125" s="45" t="s">
        <v>207</v>
      </c>
    </row>
    <row r="126" spans="1:2" x14ac:dyDescent="0.2">
      <c r="B126" s="45" t="s">
        <v>208</v>
      </c>
    </row>
    <row r="127" spans="1:2" x14ac:dyDescent="0.2">
      <c r="B127" s="45" t="s">
        <v>209</v>
      </c>
    </row>
    <row r="128" spans="1:2" x14ac:dyDescent="0.2">
      <c r="B128" s="45" t="s">
        <v>210</v>
      </c>
    </row>
    <row r="129" spans="2:2" x14ac:dyDescent="0.2">
      <c r="B129" s="45" t="s">
        <v>211</v>
      </c>
    </row>
    <row r="130" spans="2:2" x14ac:dyDescent="0.2">
      <c r="B130" s="45" t="s">
        <v>212</v>
      </c>
    </row>
    <row r="131" spans="2:2" x14ac:dyDescent="0.2">
      <c r="B131" s="45" t="s">
        <v>213</v>
      </c>
    </row>
    <row r="132" spans="2:2" x14ac:dyDescent="0.2">
      <c r="B132" s="45" t="s">
        <v>214</v>
      </c>
    </row>
    <row r="133" spans="2:2" x14ac:dyDescent="0.2">
      <c r="B133" s="47" t="s">
        <v>215</v>
      </c>
    </row>
    <row r="134" spans="2:2" x14ac:dyDescent="0.2">
      <c r="B134" s="47" t="s">
        <v>216</v>
      </c>
    </row>
    <row r="135" spans="2:2" x14ac:dyDescent="0.2">
      <c r="B135" s="47" t="s">
        <v>217</v>
      </c>
    </row>
    <row r="136" spans="2:2" x14ac:dyDescent="0.2">
      <c r="B136" s="45" t="s">
        <v>218</v>
      </c>
    </row>
    <row r="137" spans="2:2" x14ac:dyDescent="0.2">
      <c r="B137" s="45" t="s">
        <v>219</v>
      </c>
    </row>
    <row r="138" spans="2:2" x14ac:dyDescent="0.2">
      <c r="B138" s="45" t="s">
        <v>220</v>
      </c>
    </row>
    <row r="139" spans="2:2" x14ac:dyDescent="0.2">
      <c r="B139" s="45" t="s">
        <v>221</v>
      </c>
    </row>
    <row r="140" spans="2:2" x14ac:dyDescent="0.2">
      <c r="B140" s="45" t="s">
        <v>222</v>
      </c>
    </row>
    <row r="141" spans="2:2" x14ac:dyDescent="0.2">
      <c r="B141" s="47" t="s">
        <v>223</v>
      </c>
    </row>
    <row r="142" spans="2:2" x14ac:dyDescent="0.2">
      <c r="B142" s="47" t="s">
        <v>333</v>
      </c>
    </row>
    <row r="143" spans="2:2" x14ac:dyDescent="0.2">
      <c r="B143" s="45" t="s">
        <v>225</v>
      </c>
    </row>
    <row r="144" spans="2:2" x14ac:dyDescent="0.2">
      <c r="B144" s="45" t="s">
        <v>224</v>
      </c>
    </row>
    <row r="145" spans="1:2" x14ac:dyDescent="0.2">
      <c r="B145" s="45" t="s">
        <v>226</v>
      </c>
    </row>
    <row r="146" spans="1:2" x14ac:dyDescent="0.2">
      <c r="B146" s="45" t="s">
        <v>229</v>
      </c>
    </row>
    <row r="147" spans="1:2" x14ac:dyDescent="0.2">
      <c r="B147" s="45" t="s">
        <v>232</v>
      </c>
    </row>
    <row r="148" spans="1:2" x14ac:dyDescent="0.2">
      <c r="B148" s="45" t="s">
        <v>231</v>
      </c>
    </row>
    <row r="149" spans="1:2" x14ac:dyDescent="0.2">
      <c r="B149" s="45" t="s">
        <v>227</v>
      </c>
    </row>
    <row r="150" spans="1:2" x14ac:dyDescent="0.2">
      <c r="B150" s="45" t="s">
        <v>228</v>
      </c>
    </row>
    <row r="151" spans="1:2" x14ac:dyDescent="0.2">
      <c r="B151" s="45" t="s">
        <v>230</v>
      </c>
    </row>
    <row r="152" spans="1:2" x14ac:dyDescent="0.2">
      <c r="B152" s="45" t="s">
        <v>334</v>
      </c>
    </row>
    <row r="155" spans="1:2" ht="15.75" x14ac:dyDescent="0.25">
      <c r="A155" s="299"/>
      <c r="B155" s="254"/>
    </row>
    <row r="156" spans="1:2" x14ac:dyDescent="0.2">
      <c r="A156" s="254"/>
      <c r="B156" s="253"/>
    </row>
    <row r="157" spans="1:2" x14ac:dyDescent="0.2">
      <c r="A157" s="254"/>
      <c r="B157" s="1248"/>
    </row>
    <row r="158" spans="1:2" x14ac:dyDescent="0.2">
      <c r="A158" s="254"/>
      <c r="B158" s="1248"/>
    </row>
  </sheetData>
  <sheetProtection password="DCF0" sheet="1" objects="1" scenarios="1"/>
  <sortState ref="A67:X75">
    <sortCondition ref="B67:B75"/>
  </sortState>
  <mergeCells count="5">
    <mergeCell ref="B1:G1"/>
    <mergeCell ref="B2:G2"/>
    <mergeCell ref="B3:G3"/>
    <mergeCell ref="C5:G5"/>
    <mergeCell ref="C4:G4"/>
  </mergeCells>
  <pageMargins left="0.35433070866141736" right="0.39370078740157483" top="0.47244094488188981" bottom="0.62992125984251968" header="0.31496062992125984" footer="0.31496062992125984"/>
  <pageSetup paperSize="5" scale="60" fitToHeight="4" orientation="landscape" r:id="rId1"/>
  <headerFooter>
    <oddFooter>&amp;L&amp;F  
Tab: FGT&amp;A&amp;CPrinted: &amp;D&amp;T&amp;RPage &amp;P of &amp;N</oddFooter>
  </headerFooter>
  <rowBreaks count="2" manualBreakCount="2">
    <brk id="44" max="14" man="1"/>
    <brk id="99" max="14" man="1"/>
  </rowBreaks>
  <ignoredErrors>
    <ignoredError sqref="E96" formula="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26</vt:i4>
      </vt:variant>
    </vt:vector>
  </HeadingPairs>
  <TitlesOfParts>
    <vt:vector size="40" baseType="lpstr">
      <vt:lpstr>Instructions</vt:lpstr>
      <vt:lpstr>Page1</vt:lpstr>
      <vt:lpstr>Page2A</vt:lpstr>
      <vt:lpstr>Page2B</vt:lpstr>
      <vt:lpstr>Page2B - Data</vt:lpstr>
      <vt:lpstr>Page3</vt:lpstr>
      <vt:lpstr>Page4</vt:lpstr>
      <vt:lpstr>Page5</vt:lpstr>
      <vt:lpstr>VPage6A</vt:lpstr>
      <vt:lpstr>OTOPage6B</vt:lpstr>
      <vt:lpstr>PTPage7</vt:lpstr>
      <vt:lpstr>LOCK_ME - Page8</vt:lpstr>
      <vt:lpstr>LOCK_ME - Page9 - RATES</vt:lpstr>
      <vt:lpstr>LOCK_ME - Page10 - Lookups</vt:lpstr>
      <vt:lpstr>Grid</vt:lpstr>
      <vt:lpstr>JobList</vt:lpstr>
      <vt:lpstr>Instructions!Print_Area</vt:lpstr>
      <vt:lpstr>'LOCK_ME - Page10 - Lookups'!Print_Area</vt:lpstr>
      <vt:lpstr>'LOCK_ME - Page8'!Print_Area</vt:lpstr>
      <vt:lpstr>'LOCK_ME - Page9 - RATES'!Print_Area</vt:lpstr>
      <vt:lpstr>OTOPage6B!Print_Area</vt:lpstr>
      <vt:lpstr>Page1!Print_Area</vt:lpstr>
      <vt:lpstr>Page2A!Print_Area</vt:lpstr>
      <vt:lpstr>Page2B!Print_Area</vt:lpstr>
      <vt:lpstr>Page3!Print_Area</vt:lpstr>
      <vt:lpstr>Page4!Print_Area</vt:lpstr>
      <vt:lpstr>Page5!Print_Area</vt:lpstr>
      <vt:lpstr>PTPage7!Print_Area</vt:lpstr>
      <vt:lpstr>VPage6A!Print_Area</vt:lpstr>
      <vt:lpstr>'LOCK_ME - Page10 - Lookups'!Print_Titles</vt:lpstr>
      <vt:lpstr>OTOPage6B!Print_Titles</vt:lpstr>
      <vt:lpstr>Page2B!Print_Titles</vt:lpstr>
      <vt:lpstr>'Page2B - Data'!Print_Titles</vt:lpstr>
      <vt:lpstr>Page3!Print_Titles</vt:lpstr>
      <vt:lpstr>VPage6A!Print_Titles</vt:lpstr>
      <vt:lpstr>PTSL</vt:lpstr>
      <vt:lpstr>ServiceLine</vt:lpstr>
      <vt:lpstr>Supervisor</vt:lpstr>
      <vt:lpstr>SupervisorGrid</vt:lpstr>
      <vt:lpstr>VariableJobList</vt:lpstr>
    </vt:vector>
  </TitlesOfParts>
  <Company>Province of British Columbia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Goldberg</dc:creator>
  <cp:lastModifiedBy>Lilian Shih</cp:lastModifiedBy>
  <cp:lastPrinted>2014-12-03T21:06:56Z</cp:lastPrinted>
  <dcterms:created xsi:type="dcterms:W3CDTF">2007-02-20T16:37:34Z</dcterms:created>
  <dcterms:modified xsi:type="dcterms:W3CDTF">2015-04-16T21:53:50Z</dcterms:modified>
</cp:coreProperties>
</file>